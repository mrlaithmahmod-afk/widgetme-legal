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Unit_Costs" sheetId="3" state="visible" r:id="rId5"/>
    <sheet name="Pricing" sheetId="4" state="visible" r:id="rId6"/>
    <sheet name="Model_Bear" sheetId="5" state="visible" r:id="rId7"/>
    <sheet name="Model_Base" sheetId="6" state="visible" r:id="rId8"/>
    <sheet name="Model_Bull" sheetId="7" state="visible" r:id="rId9"/>
    <sheet name="Milestones" sheetId="8" state="visible" r:id="rId10"/>
    <sheet name="Summary"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<sst xmlns="http://schemas.openxmlformats.org/spreadsheetml/2006/main" count="1804" uniqueCount="744">
  <si>
    <t xml:space="preserve">Property Visualisation SaaS — 36-month financial model</t>
  </si>
  <si>
    <t xml:space="preserve">Purpose</t>
  </si>
  <si>
    <t xml:space="preserve">Test whether a UK-first AI property visualisation SaaS (floor plans / CAD / IFC → geometry-true 3D, renders, tours, video, white-label viewers and configurators) can become a viable business. Built to be conservative: the aim is to find out whether the idea deserves to exist, not to flatter it.</t>
  </si>
  <si>
    <t xml:space="preserve">Date / currency</t>
  </si>
  <si>
    <t xml:space="preserve">Built 20 Oct 2026. Model currency GBP (£); vendor prices in USD converted at the FX rate below. Prices ex VAT. No corporation tax, VAT timing, R&amp;D credits, capex or working-capital effects (annual prepayments ignored).</t>
  </si>
  <si>
    <t xml:space="preserve">FX rate</t>
  </si>
  <si>
    <t xml:space="preserve">£0.755 per US$1 (≈ $1.324 per £) — X-Rates October 2026 monthly average (0.755183, 20 days). Editable at Assumptions!D6.</t>
  </si>
  <si>
    <t xml:space="preserve">How to use</t>
  </si>
  <si>
    <t xml:space="preserve">1) Change blue cells on Assumptions (and the target-GM row on Pricing, milestone thresholds on Milestones). 2) Everything else recalculates. 3) Read Summary first, then Milestones, Pricing, Unit_Costs. Scenario sheets (Model_Bear / Model_Base / Model_Bull) use Assumptions columns C / D / E respectively. Unit-cost Low/Base/High also use columns C / D / E; each scenario picks a cost case via 'Unit-cost case used'.</t>
  </si>
  <si>
    <t xml:space="preserve">Colour legend</t>
  </si>
  <si>
    <t xml:space="preserve">Blue text = hard-coded input you can change. Black text = formula. Green text = direct link to another sheet. Yellow-shaded label = ASSUMPTION (modeller's judgement, no source in notes). Light-yellow rows in model sheets = key outputs.</t>
  </si>
  <si>
    <t xml:space="preserve">Source labels</t>
  </si>
  <si>
    <t xml:space="preserve">VERIFIED = quoted from a vendor or primary page cited in the research notes. ESTIMATE = researcher estimate built from cited prices. ASSUMPTION = modeller's judgement where the notes have no figure (replace with pilot data).</t>
  </si>
  <si>
    <t xml:space="preserve">Sheets</t>
  </si>
  <si>
    <t xml:space="preserve">Assumptions · Unit_Costs (cost per successful deliverable, Low/Base/High, retry/failure table) · Pricing (tiers, allowances, overage, setup, per-development; GM at included usage; price for 60/70/80/85% GM) · Model_Bear / Model_Base / Model_Bull (monthly, 36m) · Milestones · Summary.</t>
  </si>
  <si>
    <t xml:space="preserve">Key modelling choices</t>
  </si>
  <si>
    <t xml:space="preserve">MRR milestone metric = subscription MRR only (overage, setup and per-development fees are revenue but not MRR). Customers are expected values (fractional). Hires are step functions triggered by the previous month's customers or MRR. Human QA is costed at contractor rates in COGS even when the founder does it (conservative). Enterprise wins cannot start before month 12 (Base), 18 (Bear), 10 (Bull). Self-serve launch month 6 (Base), 9 (Bear), 4 (Bull).</t>
  </si>
  <si>
    <t xml:space="preserve">Research notes</t>
  </si>
  <si>
    <t xml:space="preserve">/home/user/widgetme-legal/research_notes/AI property visualisation SaaS audit/ : pricing_inputs.md, market_segments.md, gtm_benchmarks.md, competitors.md, technical_feasibility.md, legal_compliance.md</t>
  </si>
  <si>
    <t xml:space="preserve">Sources (from notes)</t>
  </si>
  <si>
    <t xml:space="preserve">Claude API pricing (LLM tokens)</t>
  </si>
  <si>
    <t xml:space="preserve">https://platform.claude.com/docs/en/about-claude/pricing</t>
  </si>
  <si>
    <t xml:space="preserve">Gemini API pricing (Nano Banana images, Veo video)</t>
  </si>
  <si>
    <t xml:space="preserve">https://ai.google.dev/gemini-api/docs/pricing</t>
  </si>
  <si>
    <t xml:space="preserve">Kling API video pricing</t>
  </si>
  <si>
    <t xml:space="preserve">https://kling.ai/document-api/pricing/base/video.md</t>
  </si>
  <si>
    <t xml:space="preserve">RunPod GPU pricing</t>
  </si>
  <si>
    <t xml:space="preserve">https://www.runpod.io/pricing</t>
  </si>
  <si>
    <t xml:space="preserve">AWS g6e.xlarge (Vantage)</t>
  </si>
  <si>
    <t xml:space="preserve">https://instances.vantage.sh/aws/ec2/g6e.xlarge</t>
  </si>
  <si>
    <t xml:space="preserve">AWS GameLift Streams pricing</t>
  </si>
  <si>
    <t xml:space="preserve">https://aws.amazon.com/gamelift/streams/pricing/</t>
  </si>
  <si>
    <t xml:space="preserve">Vagon Streams pricing</t>
  </si>
  <si>
    <t xml:space="preserve">https://vagon.io/streams/pricing</t>
  </si>
  <si>
    <t xml:space="preserve">Cloudflare R2 pricing</t>
  </si>
  <si>
    <t xml:space="preserve">https://developers.cloudflare.com/r2/pricing/</t>
  </si>
  <si>
    <t xml:space="preserve">Bunny CDN pricing</t>
  </si>
  <si>
    <t xml:space="preserve">https://bunny.net/pricing/</t>
  </si>
  <si>
    <t xml:space="preserve">Autodesk Flex tokens (APS)</t>
  </si>
  <si>
    <t xml:space="preserve">https://www.autodesk.com/buying/flex</t>
  </si>
  <si>
    <t xml:space="preserve">APS business model change</t>
  </si>
  <si>
    <t xml:space="preserve">https://aps.autodesk.com/blog/aps-business-model-evolution</t>
  </si>
  <si>
    <t xml:space="preserve">Upwork rendering freelancer rates</t>
  </si>
  <si>
    <t xml:space="preserve">https://www.upwork.com/hire/architectural-rendering-freelancers/cost/</t>
  </si>
  <si>
    <t xml:space="preserve">Stripe UK pricing</t>
  </si>
  <si>
    <t xml:space="preserve">https://stripe.com/gb/pricing</t>
  </si>
  <si>
    <t xml:space="preserve">WorkOS SSO pricing</t>
  </si>
  <si>
    <t xml:space="preserve">https://workos.com/pricing</t>
  </si>
  <si>
    <t xml:space="preserve">Vercel pricing</t>
  </si>
  <si>
    <t xml:space="preserve">https://vercel.com/pricing</t>
  </si>
  <si>
    <t xml:space="preserve">X-Rates USD/GBP 2026 averages</t>
  </si>
  <si>
    <t xml:space="preserve">https://www.x-rates.com/average/?from=USD&amp;to=GBP&amp;amount=1&amp;year=2026</t>
  </si>
  <si>
    <t xml:space="preserve">Open Design Alliance membership pricing</t>
  </si>
  <si>
    <t xml:space="preserve">https://www.opendesign.com/pricing.md</t>
  </si>
  <si>
    <t xml:space="preserve">SaaS Capital retention benchmarks 2025</t>
  </si>
  <si>
    <t xml:space="preserve">https://www.saas-capital.com/research/saas-retention-benchmarks-for-private-b2b-companies/</t>
  </si>
  <si>
    <t xml:space="preserve">ICONIQ AI gross margins (via SaaStr)</t>
  </si>
  <si>
    <t xml:space="preserve">https://saastr.com/whats-truly-great-now-in-b2b-ai-per-iconiq-115-growth-at-100m-55-gross-margins-and-655k-in-revenue-per-employee</t>
  </si>
  <si>
    <t xml:space="preserve">CAC payback benchmarks (Aleph)</t>
  </si>
  <si>
    <t xml:space="preserve">https://www.getaleph.com/answers/cac-payback-period-saas-2026</t>
  </si>
  <si>
    <t xml:space="preserve">Sales cycle benchmarks</t>
  </si>
  <si>
    <t xml:space="preserve">https://sales-mind.ai/blog/post/kpi-benchmarks-saas-sales-teams-2025</t>
  </si>
  <si>
    <t xml:space="preserve">Henderson Scott Technology Salary Guide 2026</t>
  </si>
  <si>
    <t xml:space="preserve">https://www.hendersonscott.co.uk/media/11zjl0na/hs-technology-salary-guide-2026.pdf</t>
  </si>
  <si>
    <t xml:space="preserve">ISO 27001 UK cost (Pyralink)</t>
  </si>
  <si>
    <t xml:space="preserve">https://pyralink.co.uk/insights/2026-05-26-iso-27001-cost-uk-certification/</t>
  </si>
  <si>
    <t xml:space="preserve">ISO 27001 3-year cycle (HighTable)</t>
  </si>
  <si>
    <t xml:space="preserve">https://hightable.io/iso-27001-3-year-cost-cycle-guide</t>
  </si>
  <si>
    <t xml:space="preserve">Barbour ABI subscriptions</t>
  </si>
  <si>
    <t xml:space="preserve">https://barbour-abi.com/construction-leads/get-10-free-leads/</t>
  </si>
  <si>
    <t xml:space="preserve">Reapit developer network fee (secondhand)</t>
  </si>
  <si>
    <t xml:space="preserve">https://wppropertyfeed.co.uk/knowledge-base/category/feeds</t>
  </si>
  <si>
    <t xml:space="preserve">ProPlan Studio pricing</t>
  </si>
  <si>
    <t xml:space="preserve">https://www.proplanstudio.com/</t>
  </si>
  <si>
    <t xml:space="preserve">Realitiq per-unit pricing</t>
  </si>
  <si>
    <t xml:space="preserve">https://www.realitiq.com/en/prices-for-projects/</t>
  </si>
  <si>
    <t xml:space="preserve">IdealTwin per-unit pricing</t>
  </si>
  <si>
    <t xml:space="preserve">https://www.idealtwin.com/pricing</t>
  </si>
  <si>
    <t xml:space="preserve">Getfloorplan pricing</t>
  </si>
  <si>
    <t xml:space="preserve">https://getfloorplan.com/pricing</t>
  </si>
  <si>
    <t xml:space="preserve">Landmark Metropix pricing</t>
  </si>
  <si>
    <t xml:space="preserve">https://www.landmark.co.uk/products/metropix/pricing/</t>
  </si>
  <si>
    <t xml:space="preserve">Rightmove FY2025 ARPA</t>
  </si>
  <si>
    <t xml:space="preserve">https://www.londonstockexchange.com/news-article/RMV/annual-financial-report/17479517</t>
  </si>
  <si>
    <t xml:space="preserve">Blockout Digital CGI pricing guide</t>
  </si>
  <si>
    <t xml:space="preserve">https://www.blockoutdigital.com/guides/how-much-does-architectural-cgi-cost</t>
  </si>
  <si>
    <t xml:space="preserve">Planner 5D B2B recognition (human review)</t>
  </si>
  <si>
    <t xml:space="preserve">https://tool.planner5d.com/b2b-floor-plan-recognition</t>
  </si>
  <si>
    <t xml:space="preserve">UK stand sample budget</t>
  </si>
  <si>
    <t xml:space="preserve">https://boothexhibits.com/?p=19816</t>
  </si>
  <si>
    <t xml:space="preserve">Assumptions — all model inputs (blue = editable input; black = formula)</t>
  </si>
  <si>
    <t xml:space="preserve">Columns C/D/E: for unit-cost inputs = Low / Base / High cost case; for growth inputs = Bear / Base / Bull scenario. Single-value inputs sit in column D. Labels: VERIFIED = quoted from a vendor/primary page in the research notes; ESTIMATE = researcher estimate built from cited prices; ASSUMPTION = modeller's judgement where the notes have no figure.</t>
  </si>
  <si>
    <t xml:space="preserve">1. General</t>
  </si>
  <si>
    <t xml:space="preserve">Parameter</t>
  </si>
  <si>
    <t xml:space="preserve">Unit</t>
  </si>
  <si>
    <t xml:space="preserve">Low / Bear</t>
  </si>
  <si>
    <t xml:space="preserve">Base</t>
  </si>
  <si>
    <t xml:space="preserve">High / Bull</t>
  </si>
  <si>
    <t xml:space="preserve">Label</t>
  </si>
  <si>
    <t xml:space="preserve">Source / reasoning</t>
  </si>
  <si>
    <t xml:space="preserve">FX rate: GBP per 1 USD</t>
  </si>
  <si>
    <t xml:space="preserve">£ per $</t>
  </si>
  <si>
    <t xml:space="preserve">VERIFIED</t>
  </si>
  <si>
    <t xml:space="preserve">X-Rates Oct-2026 monthly average 0.755183 (20 days) — https://www.x-rates.com/average/?from=USD&amp;to=GBP&amp;amount=1&amp;year=2026</t>
  </si>
  <si>
    <t xml:space="preserve">Starting cash (founder-funded)</t>
  </si>
  <si>
    <t xml:space="preserve">£</t>
  </si>
  <si>
    <t xml:space="preserve">ASSUMPTION</t>
  </si>
  <si>
    <t xml:space="preserve">Brief example: £50k founder-funded. No external funding modelled.</t>
  </si>
  <si>
    <t xml:space="preserve">Model horizon</t>
  </si>
  <si>
    <t xml:space="preserve">months</t>
  </si>
  <si>
    <t xml:space="preserve">36 monthly periods; month 1 = first month of company operation (pre-launch build included)</t>
  </si>
  <si>
    <t xml:space="preserve">2. Unit-cost component prices (USD unless stated) — Low / Base / High cost case</t>
  </si>
  <si>
    <t xml:space="preserve">LLM floor-plan parse (one high-res plan, structured JSON)</t>
  </si>
  <si>
    <t xml:space="preserve">$ / plan</t>
  </si>
  <si>
    <t xml:space="preserve">ESTIMATE</t>
  </si>
  <si>
    <t xml:space="preserve">pricing_inputs §1: Sonnet 5.5 ≈ $0.052; Batch ≈ $0.026; Opus 5.5 ≈ $0.10 — https://platform.claude.com/docs/en/about-claude/pricing</t>
  </si>
  <si>
    <t xml:space="preserve">LLM orchestration + vision QA per generated image</t>
  </si>
  <si>
    <t xml:space="preserve">$ / image</t>
  </si>
  <si>
    <t xml:space="preserve">pricing_inputs §1: $0.02–0.05 per room image on Sonnet 5.5 — https://platform.claude.com/docs/en/about-claude/pricing</t>
  </si>
  <si>
    <t xml:space="preserve">LLM shot planning / prompting per video</t>
  </si>
  <si>
    <t xml:space="preserve">$ / video</t>
  </si>
  <si>
    <t xml:space="preserve">Not in notes; scaled from per-image orchestration cost (a video = ~6 shots).</t>
  </si>
  <si>
    <t xml:space="preserve">Image generation per attempt (4K photoreal)</t>
  </si>
  <si>
    <t xml:space="preserve">$ / attempt</t>
  </si>
  <si>
    <t xml:space="preserve">Gemini Nano Banana 2.1 4K $0.113 (low); Nano Banana Pro 4K $0.24 (base/high) — https://ai.google.dev/gemini-api/docs/pricing</t>
  </si>
  <si>
    <t xml:space="preserve">Generation attempts per accepted image</t>
  </si>
  <si>
    <t xml:space="preserve">x</t>
  </si>
  <si>
    <t xml:space="preserve">pricing_inputs §12: 3 attempts per accepted 4K image (gap: replace with pilot data)</t>
  </si>
  <si>
    <t xml:space="preserve">Standard walkthrough video generation</t>
  </si>
  <si>
    <t xml:space="preserve">$ / second</t>
  </si>
  <si>
    <t xml:space="preserve">Kling 2.6 1080p $0.07/s; Veo 3.1 Fast 1080p $0.12/s; Kling 3.0 with audio 1080p $0.168/s — https://ai.google.dev/gemini-api/docs/pricing ; https://kling.ai/document-api/pricing/base/video.md</t>
  </si>
  <si>
    <t xml:space="preserve">Cinematic video generation</t>
  </si>
  <si>
    <t xml:space="preserve">Veo 3.1 Fast $0.12/s (low); Veo 3.1 Std 1080p $0.40/s (base); Veo Std 4K $0.60/s (high) — https://ai.google.dev/gemini-api/docs/pricing</t>
  </si>
  <si>
    <t xml:space="preserve">Video retake multiplier (seconds billed / seconds delivered)</t>
  </si>
  <si>
    <t xml:space="preserve">pricing_inputs §12: 2x retakes assumed; range is modeller's</t>
  </si>
  <si>
    <t xml:space="preserve">Length of standard walkthrough video</t>
  </si>
  <si>
    <t xml:space="preserve">seconds</t>
  </si>
  <si>
    <t xml:space="preserve">Deliverable definition (30s walkthrough)</t>
  </si>
  <si>
    <t xml:space="preserve">Length of cinematic video</t>
  </si>
  <si>
    <t xml:space="preserve">Deliverable definition (60s cinematic)</t>
  </si>
  <si>
    <t xml:space="preserve">GPU rental for scene build / base render (Blender headless)</t>
  </si>
  <si>
    <t xml:space="preserve">$ / GPU-hour</t>
  </si>
  <si>
    <t xml:space="preserve">RunPod L4 $0.59/h; RunPod L40S $1.09/h; AWS g6e.xlarge L40S $1.861/h — https://www.runpod.io/pricing ; https://instances.vantage.sh/aws/ec2/g6e.xlarge</t>
  </si>
  <si>
    <t xml:space="preserve">GPU-hours multiplier vs base quantities</t>
  </si>
  <si>
    <t xml:space="preserve">pricing_inputs §5: 4K Cycles still 2–10 min on RTX 4090; scene build ~1h L40S. Modelling/asset setup can dominate.</t>
  </si>
  <si>
    <t xml:space="preserve">Interactive viewer: pixel-streaming hours per hosted property per month</t>
  </si>
  <si>
    <t xml:space="preserve">hours</t>
  </si>
  <si>
    <t xml:space="preserve">pricing_inputs §6: 100 sessions x 8 min = 13.3 h if fully pixel-streamed; high = 50% of sessions streamed (6.65 h). Low = WebGL/three.js only (≈$0). Base = WebGL default + occasional streaming (ASSUMPTION).</t>
  </si>
  <si>
    <t xml:space="preserve">Pixel-streaming capacity price</t>
  </si>
  <si>
    <t xml:space="preserve">$ / user-hour</t>
  </si>
  <si>
    <t xml:space="preserve">AWS GameLift Streams gen6n_ultra L4 $1.82/h; Vagon L4 Pro G3 $2.82/h — https://aws.amazon.com/gamelift/streams/pricing/ ; https://vagon.io/streams/pricing</t>
  </si>
  <si>
    <t xml:space="preserve">Object storage (Cloudflare R2 Standard)</t>
  </si>
  <si>
    <t xml:space="preserve">$ / GB-month</t>
  </si>
  <si>
    <t xml:space="preserve">Storage retention charged per deliverable</t>
  </si>
  <si>
    <t xml:space="preserve">Assets kept 12 months in hot storage</t>
  </si>
  <si>
    <t xml:space="preserve">CDN delivery (Bunny)</t>
  </si>
  <si>
    <t xml:space="preserve">$ / GB</t>
  </si>
  <si>
    <t xml:space="preserve">Bunny $0.01/GB EU/NA; $0.005 volume network — https://bunny.net/pricing/</t>
  </si>
  <si>
    <t xml:space="preserve">CDN GB per hosted interactive property per month</t>
  </si>
  <si>
    <t xml:space="preserve">GB</t>
  </si>
  <si>
    <t xml:space="preserve">~100 WebGL sessions x ~100 MB (modeller's estimate based on pricing_inputs §6 session count)</t>
  </si>
  <si>
    <t xml:space="preserve">CAD translation fee (Autodesk APS Flex) per DWG/RVT file</t>
  </si>
  <si>
    <t xml:space="preserve">$ / file</t>
  </si>
  <si>
    <t xml:space="preserve">pricing_inputs §8: budget $1.50–$3/file (UNVERIFIED after Dec-2025 APS price change); low = IFC/DXF via open-source parsers — https://www.autodesk.com/buying/flex</t>
  </si>
  <si>
    <t xml:space="preserve">Share of plans needing paid CAD translation</t>
  </si>
  <si>
    <t xml:space="preserve">%</t>
  </si>
  <si>
    <t xml:space="preserve">Most inputs are PDF/raster or IFC/DXF (free parsers); ODA SDK licence covers DWG in-house</t>
  </si>
  <si>
    <t xml:space="preserve">Human QA / 2D-confirm operator rate (fully loaded)</t>
  </si>
  <si>
    <t xml:space="preserve">$ / hour</t>
  </si>
  <si>
    <t xml:space="preserve">pricing_inputs §11: offshore $15–25/h (Upwork median $20–30/h; 3D artists $25–40/h); high = $35/h — https://www.upwork.com/hire/architectural-rendering-freelancers/cost/</t>
  </si>
  <si>
    <t xml:space="preserve">Human 2D vector/scale confirm-edit per plan</t>
  </si>
  <si>
    <t xml:space="preserve">minutes / plan</t>
  </si>
  <si>
    <t xml:space="preserve">technical_feasibility §7: target 3–5 min clean CAD, 10–15 min scans; pricing_inputs §11: 10–20 min per plan. Mandatory HITL step for raster input — https://tool.planner5d.com/b2b-floor-plan-recognition</t>
  </si>
  <si>
    <t xml:space="preserve">Human review per delivered image attempt</t>
  </si>
  <si>
    <t xml:space="preserve">minutes / image</t>
  </si>
  <si>
    <t xml:space="preserve">Not measured in notes. Automated drift QA + human spot-check of every customer-facing image (DMCC 2024 misdescription risk).</t>
  </si>
  <si>
    <t xml:space="preserve">Human review per video attempt</t>
  </si>
  <si>
    <t xml:space="preserve">minutes / video</t>
  </si>
  <si>
    <t xml:space="preserve">Watch-through + shot check; not in notes</t>
  </si>
  <si>
    <t xml:space="preserve">Human check per development unit (finish swaps / availability data)</t>
  </si>
  <si>
    <t xml:space="preserve">minutes / unit</t>
  </si>
  <si>
    <t xml:space="preserve">Not in notes</t>
  </si>
  <si>
    <t xml:space="preserve">Customer support handling rate (allocated to COGS)</t>
  </si>
  <si>
    <t xml:space="preserve">UK part-time/outsourced support; no UK support salary in notes (gtm_benchmarks gaps)</t>
  </si>
  <si>
    <t xml:space="preserve">Support minutes multiplier vs base quantities</t>
  </si>
  <si>
    <t xml:space="preserve">Tickets, revision requests, re-uploads</t>
  </si>
  <si>
    <t xml:space="preserve">Deliverable-level QA rejection / redo rate used for COGS</t>
  </si>
  <si>
    <t xml:space="preserve">On top of per-image attempts. Applied as cost per success = fixed + repeatable/(1-f). Replace with pilot data.</t>
  </si>
  <si>
    <t xml:space="preserve">Failure-table rate 1</t>
  </si>
  <si>
    <t xml:space="preserve">Retry/failure sensitivity table</t>
  </si>
  <si>
    <t xml:space="preserve">Failure-table rate 2</t>
  </si>
  <si>
    <t xml:space="preserve">Failure-table rate 3</t>
  </si>
  <si>
    <t xml:space="preserve">Failure-table rate 4</t>
  </si>
  <si>
    <t xml:space="preserve">Storage per hosted interactive property</t>
  </si>
  <si>
    <t xml:space="preserve">pricing_inputs §7: ~2 GB source scenes per property</t>
  </si>
  <si>
    <t xml:space="preserve">3. Development deliverable definitions</t>
  </si>
  <si>
    <t xml:space="preserve">50-unit development: distinct plan (house) types</t>
  </si>
  <si>
    <t xml:space="preserve">types</t>
  </si>
  <si>
    <t xml:space="preserve">pricing_inputs §12 example: 6 floor-plan types</t>
  </si>
  <si>
    <t xml:space="preserve">50-unit development: units</t>
  </si>
  <si>
    <t xml:space="preserve">units</t>
  </si>
  <si>
    <t xml:space="preserve">pricing_inputs §12</t>
  </si>
  <si>
    <t xml:space="preserve">200-unit development: distinct plan types</t>
  </si>
  <si>
    <t xml:space="preserve">pricing_inputs §12 example: 15 types (repeated plan types)</t>
  </si>
  <si>
    <t xml:space="preserve">200-unit development: units</t>
  </si>
  <si>
    <t xml:space="preserve">Images per unit (1 plan render + 2 finish swaps)</t>
  </si>
  <si>
    <t xml:space="preserve">images / unit</t>
  </si>
  <si>
    <t xml:space="preserve">pricing_inputs §12: 50 x (1 plan render + 2 finish swaps)</t>
  </si>
  <si>
    <t xml:space="preserve">Site-plan / availability setup QA per development</t>
  </si>
  <si>
    <t xml:space="preserve">minutes</t>
  </si>
  <si>
    <t xml:space="preserve">Site-plan / aerial GPU hours per development</t>
  </si>
  <si>
    <t xml:space="preserve">GPU-hours</t>
  </si>
  <si>
    <t xml:space="preserve">Credits charged per development unit</t>
  </si>
  <si>
    <t xml:space="preserve">credits / unit</t>
  </si>
  <si>
    <t xml:space="preserve">Credit design choice</t>
  </si>
  <si>
    <t xml:space="preserve">4. Deliverable quantity drivers (base quantities; cost case changes prices/minutes, not quantities)</t>
  </si>
  <si>
    <t xml:space="preserve">Deliverable</t>
  </si>
  <si>
    <t xml:space="preserve">Plans (2D confirm)</t>
  </si>
  <si>
    <t xml:space="preserve">Accepted images</t>
  </si>
  <si>
    <t xml:space="preserve">30s videos</t>
  </si>
  <si>
    <t xml:space="preserve">60s videos</t>
  </si>
  <si>
    <t xml:space="preserve">Interactive props</t>
  </si>
  <si>
    <t xml:space="preserve">Storage GB</t>
  </si>
  <si>
    <t xml:space="preserve">CDN GB</t>
  </si>
  <si>
    <t xml:space="preserve">Dev units</t>
  </si>
  <si>
    <t xml:space="preserve">Extra QA min</t>
  </si>
  <si>
    <t xml:space="preserve">Support min</t>
  </si>
  <si>
    <t xml:space="preserve">Credits charged</t>
  </si>
  <si>
    <t xml:space="preserve">Single room image</t>
  </si>
  <si>
    <t xml:space="preserve">5 room images</t>
  </si>
  <si>
    <t xml:space="preserve">2-bed flat (8 images + plan)</t>
  </si>
  <si>
    <t xml:space="preserve">4-bed house (19 images, 2 floors)</t>
  </si>
  <si>
    <t xml:space="preserve">Interactive 3D property (WebGL tour, 1st month hosting)</t>
  </si>
  <si>
    <t xml:space="preserve">30s walkthrough video</t>
  </si>
  <si>
    <t xml:space="preserve">60s cinematic video</t>
  </si>
  <si>
    <t xml:space="preserve">Developer marketing package (per house type)</t>
  </si>
  <si>
    <t xml:space="preserve">50-unit development (6 plan types)</t>
  </si>
  <si>
    <t xml:space="preserve">200-unit development (15 plan types)</t>
  </si>
  <si>
    <t xml:space="preserve">Rows 1–8 quantities: ESTIMATE from pricing_inputs §12 (image counts per flat/house/package) and §5–7 (GPU, storage, CDN); support minutes and credits are ASSUMPTIONS. Rows 9–10 are formulas: plan types x house-type package + units x per-unit images (cost scales with plan types, not units). Development support minutes (120/240) are ASSUMPTIONS.</t>
  </si>
  <si>
    <t xml:space="preserve">5. Pricing inputs (recommended structure; prices are hypotheses — none observed for this product)</t>
  </si>
  <si>
    <t xml:space="preserve">Studio list price</t>
  </si>
  <si>
    <t xml:space="preserve">£ / month</t>
  </si>
  <si>
    <t xml:space="preserve">Brief hypothesis. Anchors: Metropix £44.90–£59.75/office/mo; agent WTP £50–£150/branch/mo (market_segments Q4) — https://www.landmark.co.uk/products/metropix/pricing/</t>
  </si>
  <si>
    <t xml:space="preserve">Agency list price (white-label viewer)</t>
  </si>
  <si>
    <t xml:space="preserve">Brief hypothesis. Anchors: prime agents £400–£1,000/office/mo; marketing agencies £3k–£10k/yr seats (market_segments Q4/Q6)</t>
  </si>
  <si>
    <t xml:space="preserve">Developer Pro list price (1 live development hosted)</t>
  </si>
  <si>
    <t xml:space="preserve">Brief hypothesis. Anchors: developers £5k–£25k/scheme/yr; Rightmove New Homes £2,135/dev/mo; ProPlan configurator $499/mo — https://www.londonstockexchange.com/news-article/RMV/annual-financial-report/17479517</t>
  </si>
  <si>
    <t xml:space="preserve">Enterprise price used in model (range £3k–£10k+)</t>
  </si>
  <si>
    <t xml:space="preserve">Brief range £3k–£10k+. Nationals WTP £50k–£250k/yr enterprise licence (market_segments Q4 [HYP])</t>
  </si>
  <si>
    <t xml:space="preserve">Enterprise hypothesis — low point</t>
  </si>
  <si>
    <t xml:space="preserve">Brief range</t>
  </si>
  <si>
    <t xml:space="preserve">Enterprise hypothesis — high point</t>
  </si>
  <si>
    <t xml:space="preserve">Studio overage price</t>
  </si>
  <si>
    <t xml:space="preserve">£ / credit</t>
  </si>
  <si>
    <t xml:space="preserve">Set above included-credit value to protect margin</t>
  </si>
  <si>
    <t xml:space="preserve">Agency overage price</t>
  </si>
  <si>
    <t xml:space="preserve">Developer Pro overage price</t>
  </si>
  <si>
    <t xml:space="preserve">Enterprise overage price</t>
  </si>
  <si>
    <t xml:space="preserve">Studio setup fee</t>
  </si>
  <si>
    <t xml:space="preserve">£ one-off</t>
  </si>
  <si>
    <t xml:space="preserve">Self-serve</t>
  </si>
  <si>
    <t xml:space="preserve">Agency setup fee (white-label branding)</t>
  </si>
  <si>
    <t xml:space="preserve">Developer Pro setup fee</t>
  </si>
  <si>
    <t xml:space="preserve">Anchors: ProPlan $1,000 per-model setup; Realitiq €2,000 setup — https://www.proplanstudio.com/ ; https://www.realitiq.com/en/prices-for-projects/</t>
  </si>
  <si>
    <t xml:space="preserve">Enterprise setup / integration fee</t>
  </si>
  <si>
    <t xml:space="preserve">realtySTUDIO launch packages $12.5k–$59.5k (competitors Q3)</t>
  </si>
  <si>
    <t xml:space="preserve">Per-development fee: price per plan (house) type, additional developments</t>
  </si>
  <si>
    <t xml:space="preserve">£ / plan type</t>
  </si>
  <si>
    <t xml:space="preserve">competitors Q3 inference: UK entrant could anchor £300–£600 per plot type + platform fee; Realitiq €400–600/unit</t>
  </si>
  <si>
    <t xml:space="preserve">Studio: hosted interactive properties (avg)</t>
  </si>
  <si>
    <t xml:space="preserve">properties</t>
  </si>
  <si>
    <t xml:space="preserve">Agency: hosted interactive properties (avg)</t>
  </si>
  <si>
    <t xml:space="preserve">Developer Pro: hosted interactive properties / plots (avg)</t>
  </si>
  <si>
    <t xml:space="preserve">Enterprise: hosted interactive properties / plots (avg)</t>
  </si>
  <si>
    <t xml:space="preserve">Studio: SSO connections</t>
  </si>
  <si>
    <t xml:space="preserve">connections</t>
  </si>
  <si>
    <t xml:space="preserve">Agency: SSO connections</t>
  </si>
  <si>
    <t xml:space="preserve">Developer Pro: SSO connections</t>
  </si>
  <si>
    <t xml:space="preserve">Enterprise: SSO connections</t>
  </si>
  <si>
    <t xml:space="preserve">Enterprise requires SAML SSO (legal_compliance: procurement norms UNVERIFIED)</t>
  </si>
  <si>
    <t xml:space="preserve">WorkOS SSO price per connection (1–15)</t>
  </si>
  <si>
    <t xml:space="preserve">$ / month</t>
  </si>
  <si>
    <t xml:space="preserve">Studio payment fees (% of billing)</t>
  </si>
  <si>
    <t xml:space="preserve">Stripe UK card 1.5% + Billing 0.7% — https://stripe.com/gb/pricing</t>
  </si>
  <si>
    <t xml:space="preserve">Agency payment fees (% of billing)</t>
  </si>
  <si>
    <t xml:space="preserve">Stripe UK card 1.5% + Billing 0.7%</t>
  </si>
  <si>
    <t xml:space="preserve">Developer Pro payment fees (% of billing)</t>
  </si>
  <si>
    <t xml:space="preserve">Invoice 0.4% + Billing 0.7% + Bacs (capped £4, below) — https://stripe.com/gb/pricing</t>
  </si>
  <si>
    <t xml:space="preserve">Enterprise payment fees (% of billing)</t>
  </si>
  <si>
    <t xml:space="preserve">Invoice 0.4% + Billing 0.7% + Bacs cap £4</t>
  </si>
  <si>
    <t xml:space="preserve">Studio payment fixed fee</t>
  </si>
  <si>
    <t xml:space="preserve">£ / invoice</t>
  </si>
  <si>
    <t xml:space="preserve">Stripe 20p per card transaction</t>
  </si>
  <si>
    <t xml:space="preserve">Agency payment fixed fee</t>
  </si>
  <si>
    <t xml:space="preserve">Stripe 20p</t>
  </si>
  <si>
    <t xml:space="preserve">Developer Pro payment fixed fee</t>
  </si>
  <si>
    <t xml:space="preserve">Bacs Direct Debit 1% capped at £4</t>
  </si>
  <si>
    <t xml:space="preserve">Enterprise payment fixed fee</t>
  </si>
  <si>
    <t xml:space="preserve">Bacs cap £4</t>
  </si>
  <si>
    <t xml:space="preserve">Studio onboarding labour</t>
  </si>
  <si>
    <t xml:space="preserve">hours / new customer</t>
  </si>
  <si>
    <t xml:space="preserve">Agency onboarding labour (branding, integration)</t>
  </si>
  <si>
    <t xml:space="preserve">Developer Pro onboarding labour</t>
  </si>
  <si>
    <t xml:space="preserve">Enterprise onboarding labour (security review, SSO, integration)</t>
  </si>
  <si>
    <t xml:space="preserve">Onboarding labour rate (UK)</t>
  </si>
  <si>
    <t xml:space="preserve">£ / hour</t>
  </si>
  <si>
    <t xml:space="preserve">UK CS/solutions rate incl. on-costs; no UK CSM salary in notes</t>
  </si>
  <si>
    <t xml:space="preserve">6. Included usage per tier (deliverables per month at 100% of allowance) — allowance credits are derived from this mix</t>
  </si>
  <si>
    <t xml:space="preserve">Tier</t>
  </si>
  <si>
    <t xml:space="preserve">1 image</t>
  </si>
  <si>
    <t xml:space="preserve">5 rooms</t>
  </si>
  <si>
    <t xml:space="preserve">2-bed flat</t>
  </si>
  <si>
    <t xml:space="preserve">4-bed house</t>
  </si>
  <si>
    <t xml:space="preserve">Interactive 3D</t>
  </si>
  <si>
    <t xml:space="preserve">30s video</t>
  </si>
  <si>
    <t xml:space="preserve">60s cine</t>
  </si>
  <si>
    <t xml:space="preserve">Dev package</t>
  </si>
  <si>
    <t xml:space="preserve">50-unit dev</t>
  </si>
  <si>
    <t xml:space="preserve">200-unit dev</t>
  </si>
  <si>
    <t xml:space="preserve">Studio</t>
  </si>
  <si>
    <t xml:space="preserve">Agency</t>
  </si>
  <si>
    <t xml:space="preserve">Developer Pro</t>
  </si>
  <si>
    <t xml:space="preserve">Enterprise</t>
  </si>
  <si>
    <t xml:space="preserve">ASSUMPTION: typical monthly deliverable mix per tier (Studio = small agent/designer; Agency = multi-listing agent or marketing agency; Developer Pro = SME developer with 1 live scheme; Enterprise = national/off-plan seller with a 50-unit launch per month). Allowance credits = SUMPRODUCT(mix, credits per deliverable).</t>
  </si>
  <si>
    <t xml:space="preserve">7. Scenario inputs — Bear / Base / Bull (columns C / D / E)</t>
  </si>
  <si>
    <t xml:space="preserve">Unit-cost case used (1 = Low, 2 = Base, 3 = High)</t>
  </si>
  <si>
    <t xml:space="preserve">index</t>
  </si>
  <si>
    <t xml:space="preserve">Conservative: Bull still uses Base costs; Bear uses High (pessimistic-but-plausible) costs</t>
  </si>
  <si>
    <t xml:space="preserve">Studio: first month new customers can sign</t>
  </si>
  <si>
    <t xml:space="preserve">month</t>
  </si>
  <si>
    <t xml:space="preserve">Pre-launch build + paid pilots; agent self-serve first; developer cycles 1–3 months (market_segments Q6)</t>
  </si>
  <si>
    <t xml:space="preserve">Agency: first month new customers can sign</t>
  </si>
  <si>
    <t xml:space="preserve">Developer Pro: first month new customers can sign</t>
  </si>
  <si>
    <t xml:space="preserve">Enterprise: first month new customers can sign</t>
  </si>
  <si>
    <t xml:space="preserve">Base: build months 1–5 (6–15 eng-months of work per technical_feasibility §8). Enterprise: no wins before month 9+; enterprise cycle ~180 days (https://sales-mind.ai/blog/post/kpi-benchmarks-saas-sales-teams-2025); nationals 6–18 months (market_segments Q6)</t>
  </si>
  <si>
    <t xml:space="preserve">Studio: new customers in launch month</t>
  </si>
  <si>
    <t xml:space="preserve">customers / month</t>
  </si>
  <si>
    <t xml:space="preserve">Founder-led outbound: ~8–12 meetings per 1,000 contacts (gtm_benchmarks outbound [ASSUMPTION]); fractional customers = expected value</t>
  </si>
  <si>
    <t xml:space="preserve">Agency: new customers in launch month</t>
  </si>
  <si>
    <t xml:space="preserve">Developer Pro: new customers in launch month</t>
  </si>
  <si>
    <t xml:space="preserve">Enterprise: new customers in launch month</t>
  </si>
  <si>
    <t xml:space="preserve">Studio: monthly increase in new-customer rate</t>
  </si>
  <si>
    <t xml:space="preserve">customers / month per month</t>
  </si>
  <si>
    <t xml:space="preserve">Linear ramp from launch; capped below</t>
  </si>
  <si>
    <t xml:space="preserve">Agency: monthly increase in new-customer rate</t>
  </si>
  <si>
    <t xml:space="preserve">Developer Pro: monthly increase in new-customer rate</t>
  </si>
  <si>
    <t xml:space="preserve">Enterprise: monthly increase in new-customer rate</t>
  </si>
  <si>
    <t xml:space="preserve">Studio: cap on founder/marketing-driven new customers</t>
  </si>
  <si>
    <t xml:space="preserve">Cap keeps base case near SOM ≈ £1.25m ARR by yr3 (market_segments Q7) or below</t>
  </si>
  <si>
    <t xml:space="preserve">Agency: cap on founder/marketing-driven new customers</t>
  </si>
  <si>
    <t xml:space="preserve">Developer Pro: cap on founder/marketing-driven new customers</t>
  </si>
  <si>
    <t xml:space="preserve">Enterprise: cap on founder/marketing-driven new customers</t>
  </si>
  <si>
    <t xml:space="preserve">Extra Developer Pro wins per productive AE</t>
  </si>
  <si>
    <t xml:space="preserve">No UK win-rate benchmarks found (gtm_benchmarks gaps)</t>
  </si>
  <si>
    <t xml:space="preserve">Extra Enterprise wins per productive AE</t>
  </si>
  <si>
    <t xml:space="preserve">Long cycles; tiny universe (~25 nationals)</t>
  </si>
  <si>
    <t xml:space="preserve">AE ramp time before productive</t>
  </si>
  <si>
    <t xml:space="preserve">Sales cycle 75–180 days (https://sales-mind.ai/blog/post/kpi-benchmarks-saas-sales-teams-2025)</t>
  </si>
  <si>
    <t xml:space="preserve">Studio: monthly logo churn</t>
  </si>
  <si>
    <t xml:space="preserve">% / month</t>
  </si>
  <si>
    <t xml:space="preserve">gtm_benchmarks: SMB agents 2.5–3.5%/mo; Studio skewed higher (smallest, most price-sensitive)</t>
  </si>
  <si>
    <t xml:space="preserve">Agency: monthly logo churn</t>
  </si>
  <si>
    <t xml:space="preserve">Developer Pro: monthly logo churn</t>
  </si>
  <si>
    <t xml:space="preserve">SaaS Capital 2025: median GRR ~91% (&lt;$250k ACV) =&gt; ~0.8%/mo; 95% (&gt;$250k) =&gt; ~0.4%/mo; developers project-based (scheme ends) — https://www.saas-capital.com/research/saas-retention-benchmarks-for-private-b2b-companies/</t>
  </si>
  <si>
    <t xml:space="preserve">Enterprise: monthly logo churn</t>
  </si>
  <si>
    <t xml:space="preserve">Studio: monthly expansion on retained MRR</t>
  </si>
  <si>
    <t xml:space="preserve">Sized so NRR ≈ 95–102% base (SaaS Capital median NRR 102% at $25–50k ACV; gtm_benchmarks [ASSUMPTION] 95–102%)</t>
  </si>
  <si>
    <t xml:space="preserve">Agency: monthly expansion on retained MRR</t>
  </si>
  <si>
    <t xml:space="preserve">Developer Pro: monthly expansion on retained MRR</t>
  </si>
  <si>
    <t xml:space="preserve">Enterprise: monthly expansion on retained MRR</t>
  </si>
  <si>
    <t xml:space="preserve">Studio: realised price as % of list (discounts, annual prepay, resellers)</t>
  </si>
  <si>
    <t xml:space="preserve">Reseller discounts 20–30% on a share of deals (gtm_benchmarks [ASSUMPTION])</t>
  </si>
  <si>
    <t xml:space="preserve">Agency: realised price as % of list (discounts, annual prepay, resellers)</t>
  </si>
  <si>
    <t xml:space="preserve">Developer Pro: realised price as % of list (discounts, annual prepay, resellers)</t>
  </si>
  <si>
    <t xml:space="preserve">Enterprise: realised price as % of list (discounts, annual prepay, resellers)</t>
  </si>
  <si>
    <t xml:space="preserve">Reseller discounts 20–30% and referral 10–20% (gtm_benchmarks [ASSUMPTION], unverified); Enterprise realised = £3.5k/£5k/£5.5k</t>
  </si>
  <si>
    <t xml:space="preserve">Average utilisation of included credits</t>
  </si>
  <si>
    <t xml:space="preserve">Higher utilisation = more COGS (Bear)</t>
  </si>
  <si>
    <t xml:space="preserve">Overage credits as % of included credits (portfolio average)</t>
  </si>
  <si>
    <t xml:space="preserve">Share of list setup fees actually collected</t>
  </si>
  <si>
    <t xml:space="preserve">Setup fees commonly discounted/waived to close</t>
  </si>
  <si>
    <t xml:space="preserve">Additional developments per Developer Pro customer per year</t>
  </si>
  <si>
    <t xml:space="preserve">developments / yr</t>
  </si>
  <si>
    <t xml:space="preserve">SME developers run 1–5 live sites (market_segments Q6)</t>
  </si>
  <si>
    <t xml:space="preserve">Month ISO 27001 programme starts</t>
  </si>
  <si>
    <t xml:space="preserve">Needed before enterprise procurement (UNVERIFIED norm, legal_compliance Q3)</t>
  </si>
  <si>
    <t xml:space="preserve">8. Operating cost inputs (single value, all scenarios)</t>
  </si>
  <si>
    <t xml:space="preserve">Founder salary (below market until MRR trigger)</t>
  </si>
  <si>
    <t xml:space="preserve">£ / year</t>
  </si>
  <si>
    <t xml:space="preserve">Survival salary; uplift is a hire-table step</t>
  </si>
  <si>
    <t xml:space="preserve">Employer on-costs (NIC + pension + benefits)</t>
  </si>
  <si>
    <t xml:space="preserve">% of salary</t>
  </si>
  <si>
    <t xml:space="preserve">gtm_benchmarks: ~15% employer NIC + 3–5% pension ≈ 18–22%</t>
  </si>
  <si>
    <t xml:space="preserve">Contract engineering budget until Engineer #1 is hired</t>
  </si>
  <si>
    <t xml:space="preserve">Senior contractors £400–£600/day (Henderson Scott 2026) =&gt; ~4 days/month — https://www.hendersonscott.co.uk/media/11zjl0na/hs-technology-salary-guide-2026.pdf</t>
  </si>
  <si>
    <t xml:space="preserve">Digital marketing programmes</t>
  </si>
  <si>
    <t xml:space="preserve">Content, ads, outbound tooling</t>
  </si>
  <si>
    <t xml:space="preserve">Events (delegate passes, fringe sponsorship)</t>
  </si>
  <si>
    <t xml:space="preserve">gtm_benchmarks: realistic yr-1 events £15k–£40k; small UK stand ~£9.7k — https://boothexhibits.com/?p=19816</t>
  </si>
  <si>
    <t xml:space="preserve">Reapit developer network membership</t>
  </si>
  <si>
    <t xml:space="preserve">Reported '£1500+ per annum' (secondhand) — https://wppropertyfeed.co.uk/knowledge-base/category/feeds</t>
  </si>
  <si>
    <t xml:space="preserve">Developer pipeline data (Barbour ABI) from Developer Pro launch</t>
  </si>
  <si>
    <t xml:space="preserve">Subscriptions start ~£4k — https://barbour-abi.com/construction-leads/get-10-free-leads/</t>
  </si>
  <si>
    <t xml:space="preserve">Variable marketing</t>
  </si>
  <si>
    <t xml:space="preserve">% of revenue</t>
  </si>
  <si>
    <t xml:space="preserve">Sales commission on new Developer Pro + Enterprise first-year ACV (once an AE exists)</t>
  </si>
  <si>
    <t xml:space="preserve">No UK AE comp data in notes</t>
  </si>
  <si>
    <t xml:space="preserve">Software &amp; tools (base)</t>
  </si>
  <si>
    <t xml:space="preserve">Vercel Pro $20/seat, Clerk/WorkOS AuthKit free tier, Sentry etc. — https://vercel.com/pricing</t>
  </si>
  <si>
    <t xml:space="preserve">Software &amp; tools per head</t>
  </si>
  <si>
    <t xml:space="preserve">£ / head / month</t>
  </si>
  <si>
    <t xml:space="preserve">Platform infrastructure (always-on services, DB, queues)</t>
  </si>
  <si>
    <t xml:space="preserve">Small fixed costs $0–$100/mo each (pricing_inputs §9 gaps)</t>
  </si>
  <si>
    <t xml:space="preserve">Platform infrastructure per customer</t>
  </si>
  <si>
    <t xml:space="preserve">£ / customer / month</t>
  </si>
  <si>
    <t xml:space="preserve">ODA Drawings SDK — Sustaining membership (SaaS use), first year</t>
  </si>
  <si>
    <t xml:space="preserve">$</t>
  </si>
  <si>
    <t xml:space="preserve">technical_feasibility §4 (reconfirm) — https://www.opendesign.com/pricing.md</t>
  </si>
  <si>
    <t xml:space="preserve">ODA Sustaining renewal</t>
  </si>
  <si>
    <t xml:space="preserve">$ / year</t>
  </si>
  <si>
    <t xml:space="preserve">Month ODA licence purchased (DWG support goes live)</t>
  </si>
  <si>
    <t xml:space="preserve">Before Developer Pro launch; DXF/IFC via free parsers before that</t>
  </si>
  <si>
    <t xml:space="preserve">ISO 27001 year-1 programme (consultant + compliance platform + Stage 1/2 audit)</t>
  </si>
  <si>
    <t xml:space="preserve">gtm_benchmarks: £12k–£25k first year (Pyralink); auditor £4k–£8k — https://pyralink.co.uk/insights/2026-05-26-iso-27001-cost-uk-certification/</t>
  </si>
  <si>
    <t xml:space="preserve">ISO 27001 ongoing (surveillance audits + platform)</t>
  </si>
  <si>
    <t xml:space="preserve">gtm_benchmarks: ~£8k–£12k/yr after (surveillance 30–40% of initial fee) — https://hightable.io/iso-27001-3-year-cost-cycle-guide</t>
  </si>
  <si>
    <t xml:space="preserve">Insurance: cyber + PI/tech E&amp;O + public liability</t>
  </si>
  <si>
    <t xml:space="preserve">gtm_benchmarks [ESTIMATE] £2k–£6k/yr; get broker quotes</t>
  </si>
  <si>
    <t xml:space="preserve">Legal, accounting, admin</t>
  </si>
  <si>
    <t xml:space="preserve">Not researched (gtm_benchmarks gaps)</t>
  </si>
  <si>
    <t xml:space="preserve">One-off legal set-up (T&amp;Cs, DPA, AI-output disclaimers) in month 1</t>
  </si>
  <si>
    <t xml:space="preserve">legal_compliance flags solicitor review of DMCC 2024 / UK GDPR terms</t>
  </si>
  <si>
    <t xml:space="preserve">Founder working hours per month</t>
  </si>
  <si>
    <t xml:space="preserve">~42 h/week</t>
  </si>
  <si>
    <t xml:space="preserve">Share of founder time available for delivery ops (2D confirm, QA, support, onboarding)</t>
  </si>
  <si>
    <t xml:space="preserve">Remainder goes to product/engineering (6–15 eng-months of build), sales and admin. Basis of solo-founder capacity estimate.</t>
  </si>
  <si>
    <t xml:space="preserve">9. Hiring plan — step functions (role hired in the month AFTER the trigger is first met; never un-hired)</t>
  </si>
  <si>
    <t xml:space="preserve">Role</t>
  </si>
  <si>
    <t xml:space="preserve">Trigger metric</t>
  </si>
  <si>
    <t xml:space="preserve">Threshold</t>
  </si>
  <si>
    <t xml:space="preserve">Salary £/yr</t>
  </si>
  <si>
    <t xml:space="preserve">Recruit fee %</t>
  </si>
  <si>
    <t xml:space="preserve">Reasoning / source</t>
  </si>
  <si>
    <t xml:space="preserve">Customer support / QA lead #1</t>
  </si>
  <si>
    <t xml:space="preserve">Customers</t>
  </si>
  <si>
    <t xml:space="preserve">Founder ops capacity (see Summary) is exhausted around this customer count</t>
  </si>
  <si>
    <t xml:space="preserve">Senior engineer #1</t>
  </si>
  <si>
    <t xml:space="preserve">MRR</t>
  </si>
  <si>
    <t xml:space="preserve">UK senior £70k–£100k base (Henderson Scott 2026) — https://www.hendersonscott.co.uk/media/11zjl0na/hs-technology-salary-guide-2026.pdf</t>
  </si>
  <si>
    <t xml:space="preserve">Account executive #1 (developers)</t>
  </si>
  <si>
    <t xml:space="preserve">No UK AE salary in notes; OTE commission modelled separately</t>
  </si>
  <si>
    <t xml:space="preserve">Founder salary uplift to market</t>
  </si>
  <si>
    <t xml:space="preserve">Founder moves from £30k to £60k</t>
  </si>
  <si>
    <t xml:space="preserve">Senior engineer #2</t>
  </si>
  <si>
    <t xml:space="preserve">Henderson Scott 2026</t>
  </si>
  <si>
    <t xml:space="preserve">Customer success #2</t>
  </si>
  <si>
    <t xml:space="preserve">Marketing manager</t>
  </si>
  <si>
    <t xml:space="preserve">Account executive #2</t>
  </si>
  <si>
    <t xml:space="preserve">Graphics / 3D engineer #3</t>
  </si>
  <si>
    <t xml:space="preserve">Graphics premium on £70k–£100k senior band (gaps: no sourced premium)</t>
  </si>
  <si>
    <t xml:space="preserve">Customer success #3</t>
  </si>
  <si>
    <t xml:space="preserve">Trigger metric must be 'Customers' (total paying customers) or 'MRR' (subscription MRR, £). Evaluated on the previous month's value to avoid circularity.</t>
  </si>
  <si>
    <t xml:space="preserve">Unit costs — cost per SUCCESSFUL deliverable, built from components (USD unless stated)</t>
  </si>
  <si>
    <t xml:space="preserve">Repeatable components (LLM, image gen, video gen, GPU, output-review QA) are re-incurred when a deliverable is rejected; fixed components (2D confirm, hosting, storage, CDN, CAD fees, support) are incurred once. Cost per success = fixed + repeatable / (1 − failure rate). Human labour (2D confirm + QA + support) is shown explicitly.</t>
  </si>
  <si>
    <t xml:space="preserve">LOW cost case</t>
  </si>
  <si>
    <t xml:space="preserve">LLM tokens</t>
  </si>
  <si>
    <t xml:space="preserve">Image gen</t>
  </si>
  <si>
    <t xml:space="preserve">Video gen</t>
  </si>
  <si>
    <t xml:space="preserve">GPU render</t>
  </si>
  <si>
    <t xml:space="preserve">3D streaming (1st mo)</t>
  </si>
  <si>
    <t xml:space="preserve">Storage</t>
  </si>
  <si>
    <t xml:space="preserve">CDN</t>
  </si>
  <si>
    <t xml:space="preserve">3rd-party fees (CAD)</t>
  </si>
  <si>
    <t xml:space="preserve">Human 2D confirm</t>
  </si>
  <si>
    <t xml:space="preserve">Human output QA</t>
  </si>
  <si>
    <t xml:space="preserve">Support alloc.</t>
  </si>
  <si>
    <t xml:space="preserve">Attempt cost (USD)</t>
  </si>
  <si>
    <t xml:space="preserve">of which repeatable</t>
  </si>
  <si>
    <t xml:space="preserve">Failure rate</t>
  </si>
  <si>
    <t xml:space="preserve">Cost / success (USD)</t>
  </si>
  <si>
    <t xml:space="preserve">Cost / success (GBP)</t>
  </si>
  <si>
    <t xml:space="preserve">Human labour share</t>
  </si>
  <si>
    <t xml:space="preserve">Human minutes / success</t>
  </si>
  <si>
    <t xml:space="preserve">Ongoing hosting per interactive property per month (streaming + CDN + storage)</t>
  </si>
  <si>
    <t xml:space="preserve">BASE cost case</t>
  </si>
  <si>
    <t xml:space="preserve">HIGH cost case</t>
  </si>
  <si>
    <t xml:space="preserve">Cost per successful deliverable — summary</t>
  </si>
  <si>
    <t xml:space="preserve">Low (USD)</t>
  </si>
  <si>
    <t xml:space="preserve">Base (USD)</t>
  </si>
  <si>
    <t xml:space="preserve">High (USD)</t>
  </si>
  <si>
    <t xml:space="preserve">Low (GBP)</t>
  </si>
  <si>
    <t xml:space="preserve">Base (GBP)</t>
  </si>
  <si>
    <t xml:space="preserve">High (GBP)</t>
  </si>
  <si>
    <t xml:space="preserve">Base human labour share</t>
  </si>
  <si>
    <t xml:space="preserve">Ongoing hosting per interactive property-month</t>
  </si>
  <si>
    <t xml:space="preserve">Retry / failure sensitivity — BASE cost case: cost per success at deliverable-level rejection rates (QA on rejects included)</t>
  </si>
  <si>
    <t xml:space="preserve">Note: the base case already assumes 3 generation attempts per accepted image and 2x video retakes; this table adds deliverable-level rejection (whole set redone after QA/customer rejection). Rejected attempts re-incur generation AND human output-review minutes; 2D confirm, storage and support are not repeated.</t>
  </si>
  <si>
    <t xml:space="preserve">Pricing — tiers, allowances, overages, setup &amp; per-development fees; gross margin at included usage</t>
  </si>
  <si>
    <t xml:space="preserve">A. Recommended structure: subscription + included credits + overage + setup fee + per-development fee</t>
  </si>
  <si>
    <t xml:space="preserve">Metric</t>
  </si>
  <si>
    <t xml:space="preserve">List price (£ / month)</t>
  </si>
  <si>
    <t xml:space="preserve">Included credits / month (= tier usage mix)</t>
  </si>
  <si>
    <t xml:space="preserve">Effective price per included credit (£)</t>
  </si>
  <si>
    <t xml:space="preserve">Overage price (£ / credit)</t>
  </si>
  <si>
    <t xml:space="preserve">Setup fee (£ one-off)</t>
  </si>
  <si>
    <t xml:space="preserve">Per-development fee, extra developments (£ per plan type; Developer Pro/Enterprise)</t>
  </si>
  <si>
    <t xml:space="preserve">Hosted interactive properties included</t>
  </si>
  <si>
    <t xml:space="preserve">SSO connections included</t>
  </si>
  <si>
    <t xml:space="preserve">  Cost of included usage at 100% (£ / month)</t>
  </si>
  <si>
    <t xml:space="preserve">  Per-account fixed cost: hosting + SSO (£ / month)</t>
  </si>
  <si>
    <t xml:space="preserve">  Payment fees at list price (£ / month)</t>
  </si>
  <si>
    <t xml:space="preserve">  Gross margin at 100% of included usage</t>
  </si>
  <si>
    <t xml:space="preserve">  Gross margin at Base-scenario utilisation</t>
  </si>
  <si>
    <t xml:space="preserve">  Cost per credit (£)</t>
  </si>
  <si>
    <t xml:space="preserve">  Overage gross margin</t>
  </si>
  <si>
    <t xml:space="preserve">  Setup fee gross margin (onboarding labour)</t>
  </si>
  <si>
    <t xml:space="preserve">  Human minutes per credit</t>
  </si>
  <si>
    <t xml:space="preserve">Per-development fee economics (extra development = 50-unit, 6 plan types)</t>
  </si>
  <si>
    <t xml:space="preserve">  Fee charged (£) = plan types x £ per plan type</t>
  </si>
  <si>
    <t xml:space="preserve">  Delivery cost (£), LOW case</t>
  </si>
  <si>
    <t xml:space="preserve">← gross margin</t>
  </si>
  <si>
    <t xml:space="preserve">  Delivery cost (£), BASE case</t>
  </si>
  <si>
    <t xml:space="preserve">  Delivery cost (£), HIGH case</t>
  </si>
  <si>
    <t xml:space="preserve">B. Hypothesis price points evaluated against the tier usage mix (gross margin at 100% included usage / at Base utilisation)</t>
  </si>
  <si>
    <t xml:space="preserve">Hypothesis</t>
  </si>
  <si>
    <t xml:space="preserve">Price £/mo</t>
  </si>
  <si>
    <t xml:space="preserve">Usage mix</t>
  </si>
  <si>
    <t xml:space="preserve">GM @100% Base cost</t>
  </si>
  <si>
    <t xml:space="preserve">GM @100% High cost</t>
  </si>
  <si>
    <t xml:space="preserve">GM @util Base cost</t>
  </si>
  <si>
    <t xml:space="preserve">GM @util High cost</t>
  </si>
  <si>
    <t xml:space="preserve">Studio £149</t>
  </si>
  <si>
    <t xml:space="preserve">Agency £499</t>
  </si>
  <si>
    <t xml:space="preserve">Developer Pro £1,499</t>
  </si>
  <si>
    <t xml:space="preserve">Enterprise £3k</t>
  </si>
  <si>
    <t xml:space="preserve">Enterprise £5k</t>
  </si>
  <si>
    <t xml:space="preserve">Enterprise £10k</t>
  </si>
  <si>
    <t xml:space="preserve">C. Price required for target gross margin (price = (cost + fixed payment fee) / (1 − GM − payment %))</t>
  </si>
  <si>
    <t xml:space="preserve">Target gross margin →</t>
  </si>
  <si>
    <t xml:space="preserve">Item</t>
  </si>
  <si>
    <t xml:space="preserve">Base cost £</t>
  </si>
  <si>
    <t xml:space="preserve">High cost £</t>
  </si>
  <si>
    <t xml:space="preserve">Subscription tiers at 100% of included usage (£ / month)</t>
  </si>
  <si>
    <t xml:space="preserve">One-off deliverables / per-development pricing (£ each, card payment)</t>
  </si>
  <si>
    <t xml:space="preserve">Recommendation (see financial_model_summary.md): keep the £149 / £499 / £1,499 / £5k+ anchors but sell CREDITS, not 'unlimited'. Every geometry-true output needs a human 2D confirm per plan, so a single-image order is labour-dominated: charge per plan conversion inside the credit price.</t>
  </si>
  <si>
    <t xml:space="preserve">Overages are priced above the effective included-credit price; setup fees cover onboarding labour; developments beyond the first are billed per plan type, because delivery cost scales with plan types, not units.</t>
  </si>
  <si>
    <t xml:space="preserve">Pixel streaming is the margin risk for interactive tours: default to WebGL/three.js viewers (pricing_inputs §6) and charge for streamed tours separately.</t>
  </si>
  <si>
    <t xml:space="preserve">Model Bear scenario — monthly model, 36 months (£). All cells are formulas driven by Assumptions column C.</t>
  </si>
  <si>
    <t xml:space="preserve">Month</t>
  </si>
  <si>
    <t xml:space="preserve">Year</t>
  </si>
  <si>
    <t xml:space="preserve">Headcount (step functions; triggers evaluated on previous month)</t>
  </si>
  <si>
    <t xml:space="preserve">Customer support / QA lead #1 (1 = hired)</t>
  </si>
  <si>
    <t xml:space="preserve">flag</t>
  </si>
  <si>
    <t xml:space="preserve">Senior engineer #1 (1 = hired)</t>
  </si>
  <si>
    <t xml:space="preserve">Account executive #1 (developers) (1 = hired)</t>
  </si>
  <si>
    <t xml:space="preserve">Founder salary uplift to market (1 = hired)</t>
  </si>
  <si>
    <t xml:space="preserve">Senior engineer #2 (1 = hired)</t>
  </si>
  <si>
    <t xml:space="preserve">Customer success #2 (1 = hired)</t>
  </si>
  <si>
    <t xml:space="preserve">Marketing manager (1 = hired)</t>
  </si>
  <si>
    <t xml:space="preserve">Account executive #2 (1 = hired)</t>
  </si>
  <si>
    <t xml:space="preserve">Graphics / 3D engineer #3 (1 = hired)</t>
  </si>
  <si>
    <t xml:space="preserve">Customer success #3 (1 = hired)</t>
  </si>
  <si>
    <t xml:space="preserve">Total headcount incl. founder</t>
  </si>
  <si>
    <t xml:space="preserve">FTE</t>
  </si>
  <si>
    <t xml:space="preserve">Account executives in seat</t>
  </si>
  <si>
    <t xml:space="preserve">Productive AEs (in seat ≥ ramp months)</t>
  </si>
  <si>
    <t xml:space="preserve">New customers — Studio</t>
  </si>
  <si>
    <t xml:space="preserve">logos</t>
  </si>
  <si>
    <t xml:space="preserve">New customers — Agency</t>
  </si>
  <si>
    <t xml:space="preserve">New customers — Developer Pro</t>
  </si>
  <si>
    <t xml:space="preserve">New customers — Enterprise</t>
  </si>
  <si>
    <t xml:space="preserve">Churned customers — Studio</t>
  </si>
  <si>
    <t xml:space="preserve">Churned customers — Agency</t>
  </si>
  <si>
    <t xml:space="preserve">Churned customers — Developer Pro</t>
  </si>
  <si>
    <t xml:space="preserve">Churned customers — Enterprise</t>
  </si>
  <si>
    <t xml:space="preserve">Customers (end of month) — Studio</t>
  </si>
  <si>
    <t xml:space="preserve">Customers (end of month) — Agency</t>
  </si>
  <si>
    <t xml:space="preserve">Customers (end of month) — Developer Pro</t>
  </si>
  <si>
    <t xml:space="preserve">Customers (end of month) — Enterprise</t>
  </si>
  <si>
    <t xml:space="preserve">Total new customers</t>
  </si>
  <si>
    <t xml:space="preserve">Total churned customers</t>
  </si>
  <si>
    <t xml:space="preserve">Total paying customers</t>
  </si>
  <si>
    <t xml:space="preserve">Revenue</t>
  </si>
  <si>
    <t xml:space="preserve">Subscription MRR — Studio</t>
  </si>
  <si>
    <t xml:space="preserve">Subscription MRR — Agency</t>
  </si>
  <si>
    <t xml:space="preserve">Subscription MRR — Developer Pro</t>
  </si>
  <si>
    <t xml:space="preserve">Subscription MRR — Enterprise</t>
  </si>
  <si>
    <t xml:space="preserve">Subscription MRR (total) — milestone metric</t>
  </si>
  <si>
    <t xml:space="preserve">ARR (subscription MRR x 12)</t>
  </si>
  <si>
    <t xml:space="preserve">ARPA — Studio</t>
  </si>
  <si>
    <t xml:space="preserve">ARPA — Agency</t>
  </si>
  <si>
    <t xml:space="preserve">ARPA — Developer Pro</t>
  </si>
  <si>
    <t xml:space="preserve">ARPA — Enterprise</t>
  </si>
  <si>
    <t xml:space="preserve">ARPA — blended</t>
  </si>
  <si>
    <t xml:space="preserve">Overage revenue — Studio</t>
  </si>
  <si>
    <t xml:space="preserve">Overage revenue — Agency</t>
  </si>
  <si>
    <t xml:space="preserve">Overage revenue — Developer Pro</t>
  </si>
  <si>
    <t xml:space="preserve">Overage revenue — Enterprise</t>
  </si>
  <si>
    <t xml:space="preserve">Setup fees — Studio</t>
  </si>
  <si>
    <t xml:space="preserve">Setup fees — Agency</t>
  </si>
  <si>
    <t xml:space="preserve">Setup fees — Developer Pro</t>
  </si>
  <si>
    <t xml:space="preserve">Setup fees — Enterprise</t>
  </si>
  <si>
    <t xml:space="preserve">Additional developments launched (Developer Pro)</t>
  </si>
  <si>
    <t xml:space="preserve">developments</t>
  </si>
  <si>
    <t xml:space="preserve">Per-development fees</t>
  </si>
  <si>
    <t xml:space="preserve">Revenue — subscription</t>
  </si>
  <si>
    <t xml:space="preserve">Revenue — overage</t>
  </si>
  <si>
    <t xml:space="preserve">Revenue — setup + per-development fees</t>
  </si>
  <si>
    <t xml:space="preserve">Total revenue</t>
  </si>
  <si>
    <t xml:space="preserve">Cost of goods sold</t>
  </si>
  <si>
    <t xml:space="preserve">Generation + human QA on included usage — Studio</t>
  </si>
  <si>
    <t xml:space="preserve">Generation + human QA on included usage — Agency</t>
  </si>
  <si>
    <t xml:space="preserve">Generation + human QA on included usage — Developer Pro</t>
  </si>
  <si>
    <t xml:space="preserve">Generation + human QA on included usage — Enterprise</t>
  </si>
  <si>
    <t xml:space="preserve">Generation + human QA on overage usage</t>
  </si>
  <si>
    <t xml:space="preserve">Interactive hosting / streaming (per account)</t>
  </si>
  <si>
    <t xml:space="preserve">SSO connections (WorkOS)</t>
  </si>
  <si>
    <t xml:space="preserve">Onboarding labour (new customers)</t>
  </si>
  <si>
    <t xml:space="preserve">Delivery of additional developments</t>
  </si>
  <si>
    <t xml:space="preserve">Payment processing fees</t>
  </si>
  <si>
    <t xml:space="preserve">Platform infrastructure</t>
  </si>
  <si>
    <t xml:space="preserve">ODA Drawings SDK licence (DWG)</t>
  </si>
  <si>
    <t xml:space="preserve">Total COGS</t>
  </si>
  <si>
    <t xml:space="preserve">Gross profit</t>
  </si>
  <si>
    <t xml:space="preserve">Gross margin</t>
  </si>
  <si>
    <t xml:space="preserve">Operating expenses</t>
  </si>
  <si>
    <t xml:space="preserve">Founder salary (incl. on-costs)</t>
  </si>
  <si>
    <t xml:space="preserve">Customer support / QA lead #1 (incl. on-costs)</t>
  </si>
  <si>
    <t xml:space="preserve">Senior engineer #1 (incl. on-costs)</t>
  </si>
  <si>
    <t xml:space="preserve">Account executive #1 (developers) (incl. on-costs)</t>
  </si>
  <si>
    <t xml:space="preserve">Founder salary uplift to market (incl. on-costs)</t>
  </si>
  <si>
    <t xml:space="preserve">Senior engineer #2 (incl. on-costs)</t>
  </si>
  <si>
    <t xml:space="preserve">Customer success #2 (incl. on-costs)</t>
  </si>
  <si>
    <t xml:space="preserve">Marketing manager (incl. on-costs)</t>
  </si>
  <si>
    <t xml:space="preserve">Account executive #2 (incl. on-costs)</t>
  </si>
  <si>
    <t xml:space="preserve">Graphics / 3D engineer #3 (incl. on-costs)</t>
  </si>
  <si>
    <t xml:space="preserve">Customer success #3 (incl. on-costs)</t>
  </si>
  <si>
    <t xml:space="preserve">Recruitment fees (hire month)</t>
  </si>
  <si>
    <t xml:space="preserve">Contract engineering (until Engineer #1)</t>
  </si>
  <si>
    <t xml:space="preserve">Marketing programmes + events</t>
  </si>
  <si>
    <t xml:space="preserve">Channel &amp; data subscriptions (Reapit network, Barbour ABI)</t>
  </si>
  <si>
    <t xml:space="preserve">Variable marketing (% revenue)</t>
  </si>
  <si>
    <t xml:space="preserve">Sales commission (Developer Pro + Enterprise new ACV)</t>
  </si>
  <si>
    <t xml:space="preserve">Software &amp; tools</t>
  </si>
  <si>
    <t xml:space="preserve">ISO 27001 programme + compliance platform</t>
  </si>
  <si>
    <t xml:space="preserve">Insurance (cyber, PI, public liability)</t>
  </si>
  <si>
    <t xml:space="preserve">Total operating expenses</t>
  </si>
  <si>
    <t xml:space="preserve">  memo: engineering (eng hires + contract)</t>
  </si>
  <si>
    <t xml:space="preserve">  memo: sales &amp; marketing (AEs, marketing hire, programmes, commission)</t>
  </si>
  <si>
    <t xml:space="preserve">  memo: support / customer success hires</t>
  </si>
  <si>
    <t xml:space="preserve">Profitability &amp; cash</t>
  </si>
  <si>
    <t xml:space="preserve">Contribution (gross profit − direct S&amp;M: programmes, data, variable mkt, commission)</t>
  </si>
  <si>
    <t xml:space="preserve">Contribution margin</t>
  </si>
  <si>
    <t xml:space="preserve">EBITDA (monthly operating profit)</t>
  </si>
  <si>
    <t xml:space="preserve">EBITDA margin</t>
  </si>
  <si>
    <t xml:space="preserve">Cumulative EBITDA</t>
  </si>
  <si>
    <t xml:space="preserve">Opening cash</t>
  </si>
  <si>
    <t xml:space="preserve">Closing cash balance (negative = funding required)</t>
  </si>
  <si>
    <t xml:space="preserve">Net burn (cash outflow)</t>
  </si>
  <si>
    <t xml:space="preserve">Runway at current burn</t>
  </si>
  <si>
    <t xml:space="preserve">Helpers (used by Milestones / Summary)</t>
  </si>
  <si>
    <t xml:space="preserve">Running max subscription MRR</t>
  </si>
  <si>
    <t xml:space="preserve">EBITDA ≥ 0 (1 = yes)</t>
  </si>
  <si>
    <t xml:space="preserve">EBITDA ≥ 0 this month and every later month (1 = yes)</t>
  </si>
  <si>
    <t xml:space="preserve">Human delivery hours needed (QA, 2D confirm, support, onboarding)</t>
  </si>
  <si>
    <t xml:space="preserve">Memo: gross margin if support/CS salaries were treated as COGS</t>
  </si>
  <si>
    <t xml:space="preserve">Cash balance &lt; 0 (1 = yes)</t>
  </si>
  <si>
    <t xml:space="preserve">Enterprise new customers &gt; 0 (1 = yes)</t>
  </si>
  <si>
    <t xml:space="preserve">Founder delivery capacity</t>
  </si>
  <si>
    <t xml:space="preserve">Delivery hours exceed solo-founder capacity (1 = yes)</t>
  </si>
  <si>
    <t xml:space="preserve">Model Base scenario — monthly model, 36 months (£). All cells are formulas driven by Assumptions column D.</t>
  </si>
  <si>
    <t xml:space="preserve">Model Bull scenario — monthly model, 36 months (£). All cells are formulas driven by Assumptions column E.</t>
  </si>
  <si>
    <t xml:space="preserve">Milestones — first month reached (subscription MRR basis; ARR = MRR x 12)</t>
  </si>
  <si>
    <t xml:space="preserve">Milestone</t>
  </si>
  <si>
    <t xml:space="preserve">MRR threshold £</t>
  </si>
  <si>
    <t xml:space="preserve">Bear</t>
  </si>
  <si>
    <t xml:space="preserve">Bull</t>
  </si>
  <si>
    <t xml:space="preserve">£10k MRR</t>
  </si>
  <si>
    <t xml:space="preserve">£25k MRR</t>
  </si>
  <si>
    <t xml:space="preserve">£50k MRR</t>
  </si>
  <si>
    <t xml:space="preserve">£100k MRR</t>
  </si>
  <si>
    <t xml:space="preserve">£250k MRR</t>
  </si>
  <si>
    <t xml:space="preserve">£1m ARR</t>
  </si>
  <si>
    <t xml:space="preserve">£5m ARR</t>
  </si>
  <si>
    <t xml:space="preserve">Example customer mix needed to hit each milestone (uses Base-case month-36 MRR mix by tier and month-36 ARPA)</t>
  </si>
  <si>
    <t xml:space="preserve">MRR £</t>
  </si>
  <si>
    <t xml:space="preserve">Total customers</t>
  </si>
  <si>
    <t xml:space="preserve">Base m36 share of MRR</t>
  </si>
  <si>
    <t xml:space="preserve">Base m36 ARPA £/month</t>
  </si>
  <si>
    <t xml:space="preserve">Read: e.g. '£100k MRR' needs roughly the customers shown at today's modelled price realisation and mix. Compare with the UK universes (market_segments Q1/Q7): ~500 medium developers, ~200 off-plan sellers, ~25 nationals, ~10,650 independent agent branches; SOM estimate ≈ £1.25m ARR by year 3.</t>
  </si>
  <si>
    <t xml:space="preserve">Summary — key outputs by scenario (months 12 / 24 / 36)</t>
  </si>
  <si>
    <t xml:space="preserve">Bear M12</t>
  </si>
  <si>
    <t xml:space="preserve">Bear M24</t>
  </si>
  <si>
    <t xml:space="preserve">Bear M36</t>
  </si>
  <si>
    <t xml:space="preserve">Base M12</t>
  </si>
  <si>
    <t xml:space="preserve">Base M24</t>
  </si>
  <si>
    <t xml:space="preserve">Base M36</t>
  </si>
  <si>
    <t xml:space="preserve">Bull M12</t>
  </si>
  <si>
    <t xml:space="preserve">Bull M24</t>
  </si>
  <si>
    <t xml:space="preserve">Bull M36</t>
  </si>
  <si>
    <t xml:space="preserve">Subscription MRR (£)</t>
  </si>
  <si>
    <t xml:space="preserve">ARR (£)</t>
  </si>
  <si>
    <t xml:space="preserve">Total revenue in month (£)</t>
  </si>
  <si>
    <t xml:space="preserve">Paying customers</t>
  </si>
  <si>
    <t xml:space="preserve">  Studio</t>
  </si>
  <si>
    <t xml:space="preserve">  Agency</t>
  </si>
  <si>
    <t xml:space="preserve">  Developer Pro</t>
  </si>
  <si>
    <t xml:space="preserve">  Enterprise</t>
  </si>
  <si>
    <t xml:space="preserve">Blended ARPA (£/mo)</t>
  </si>
  <si>
    <t xml:space="preserve">Gross margin (month)</t>
  </si>
  <si>
    <t xml:space="preserve">  memo: GM incl. support/CS salaries</t>
  </si>
  <si>
    <t xml:space="preserve">Monthly EBITDA (£)</t>
  </si>
  <si>
    <t xml:space="preserve">Cumulative EBITDA (£)</t>
  </si>
  <si>
    <t xml:space="preserve">Cash balance (£; negative = funding needed)</t>
  </si>
  <si>
    <t xml:space="preserve">Headcount incl. founder</t>
  </si>
  <si>
    <t xml:space="preserve">Scenario-level outputs</t>
  </si>
  <si>
    <t xml:space="preserve">First month with EBITDA ≥ 0</t>
  </si>
  <si>
    <t xml:space="preserve">Sustained break-even month (EBITDA ≥ 0 from then on)</t>
  </si>
  <si>
    <t xml:space="preserve">Lowest cash balance (£)</t>
  </si>
  <si>
    <t xml:space="preserve">Month of lowest cash</t>
  </si>
  <si>
    <t xml:space="preserve">External funding needed to stay ≥ £0 (£)</t>
  </si>
  <si>
    <t xml:space="preserve">First month cash goes negative</t>
  </si>
  <si>
    <t xml:space="preserve">Cumulative revenue, 36 months (£)</t>
  </si>
  <si>
    <t xml:space="preserve">Gross margin, 36-month cumulative</t>
  </si>
  <si>
    <t xml:space="preserve">First month human delivery hours exceed solo-founder capacity</t>
  </si>
  <si>
    <t xml:space="preserve">Customers in that month</t>
  </si>
  <si>
    <t xml:space="preserve">Month first support/QA hire starts</t>
  </si>
  <si>
    <t xml:space="preserve">Month Engineer #1 starts</t>
  </si>
  <si>
    <t xml:space="preserve">Month AE #1 starts</t>
  </si>
  <si>
    <t xml:space="preserve">Month first Enterprise customer signs (any fraction)</t>
  </si>
  <si>
    <t xml:space="preserve">Solo-founder delivery capacity estimate (Base cost case)</t>
  </si>
  <si>
    <t xml:space="preserve">Founder hours available for delivery ops / month</t>
  </si>
  <si>
    <t xml:space="preserve">Human minutes each</t>
  </si>
  <si>
    <t xml:space="preserve">Max per month (founder only)</t>
  </si>
  <si>
    <t xml:space="preserve">Studio customer-month at Base utilisation (+overage)</t>
  </si>
  <si>
    <t xml:space="preserve">Agency customer-month at Base utilisation (+overage)</t>
  </si>
  <si>
    <t xml:space="preserve">Developer Pro customer-month at Base utilisation (+overage)</t>
  </si>
  <si>
    <t xml:space="preserve">Enterprise customer-month at Base utilisation (+overage)</t>
  </si>
  <si>
    <t xml:space="preserve">Reasoning: founder works ~180 h/month; ~35% is assumed available for delivery operations (mandatory human 2D confirm per plan, output QA, support, onboarding) because the rest goes to building the product (6–15 engineering-months per technical_feasibility), selling and admin. Capacity = available minutes / human minutes per unit (Unit_Costs column S, Base case incl. rejects). Onboarding hours for new customers reduce this further.</t>
  </si>
  <si>
    <t xml:space="preserve">Key unit-economics references</t>
  </si>
  <si>
    <t xml:space="preserve">GM @100% (Base)</t>
  </si>
  <si>
    <t xml:space="preserve">GM @util (Base)</t>
  </si>
  <si>
    <t xml:space="preserve">GM @100% (High)</t>
  </si>
  <si>
    <t xml:space="preserve">Cost/credit Base £</t>
  </si>
</sst>
</file>

<file path=xl/styles.xml><?xml version="1.0" encoding="utf-8"?>
<styleSheet xmlns="http://schemas.openxmlformats.org/spreadsheetml/2006/main">
  <numFmts count="11">
    <numFmt numFmtId="164" formatCode="General"/>
    <numFmt numFmtId="165" formatCode="0.000"/>
    <numFmt numFmtId="166" formatCode="\£#,##0;&quot;(£&quot;#,##0\);\-"/>
    <numFmt numFmtId="167" formatCode="\$#,##0.00;&quot;($&quot;#,##0.00\);\-"/>
    <numFmt numFmtId="168" formatCode="0.0%;\(0.0%\);\-"/>
    <numFmt numFmtId="169" formatCode="#,##0.0;\(#,##0.0\);\-"/>
    <numFmt numFmtId="170" formatCode="#,##0.00;\(#,##0.00\);\-"/>
    <numFmt numFmtId="171" formatCode="\£#,##0.00;&quot;(£&quot;#,##0.00\);\-"/>
    <numFmt numFmtId="172" formatCode="\$#,##0;&quot;($&quot;#,##0\);\-"/>
    <numFmt numFmtId="173" formatCode="#,##0;\(#,##0\);\-"/>
    <numFmt numFmtId="174" formatCode="#,##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b val="true"/>
      <sz val="10"/>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8" fontId="5" fillId="0" borderId="0" xfId="0" applyFont="true" applyBorder="false" applyAlignment="true" applyProtection="false">
      <alignment horizontal="right" vertical="bottom" textRotation="0" wrapText="false" indent="0" shrinkToFit="false"/>
      <protection locked="true" hidden="false"/>
    </xf>
    <xf numFmtId="169" fontId="5"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7.35" hidden="false" customHeight="false" outlineLevel="0" collapsed="false">
      <c r="A1" s="1" t="s">
        <v>0</v>
      </c>
      <c r="B1" s="2"/>
    </row>
    <row r="2" customFormat="false" ht="45" hidden="false" customHeight="true" outlineLevel="0" collapsed="false">
      <c r="A2" s="3" t="s">
        <v>1</v>
      </c>
      <c r="B2" s="4" t="s">
        <v>2</v>
      </c>
    </row>
    <row r="3" customFormat="false" ht="30" hidden="false" customHeight="true" outlineLevel="0" collapsed="false">
      <c r="A3" s="3" t="s">
        <v>3</v>
      </c>
      <c r="B3" s="4" t="s">
        <v>4</v>
      </c>
    </row>
    <row r="4" customFormat="false" ht="30" hidden="false" customHeight="true" outlineLevel="0" collapsed="false">
      <c r="A4" s="3" t="s">
        <v>5</v>
      </c>
      <c r="B4" s="4" t="s">
        <v>6</v>
      </c>
    </row>
    <row r="5" customFormat="false" ht="60" hidden="false" customHeight="true" outlineLevel="0" collapsed="false">
      <c r="A5" s="3" t="s">
        <v>7</v>
      </c>
      <c r="B5" s="4" t="s">
        <v>8</v>
      </c>
    </row>
    <row r="6" customFormat="false" ht="45" hidden="false" customHeight="true" outlineLevel="0" collapsed="false">
      <c r="A6" s="3" t="s">
        <v>9</v>
      </c>
      <c r="B6" s="4" t="s">
        <v>10</v>
      </c>
    </row>
    <row r="7" customFormat="false" ht="30" hidden="false" customHeight="true" outlineLevel="0" collapsed="false">
      <c r="A7" s="3" t="s">
        <v>11</v>
      </c>
      <c r="B7" s="4" t="s">
        <v>12</v>
      </c>
    </row>
    <row r="8" customFormat="false" ht="45" hidden="false" customHeight="true" outlineLevel="0" collapsed="false">
      <c r="A8" s="3" t="s">
        <v>13</v>
      </c>
      <c r="B8" s="4" t="s">
        <v>14</v>
      </c>
    </row>
    <row r="9" customFormat="false" ht="60" hidden="false" customHeight="true" outlineLevel="0" collapsed="false">
      <c r="A9" s="3" t="s">
        <v>15</v>
      </c>
      <c r="B9" s="4" t="s">
        <v>16</v>
      </c>
    </row>
    <row r="10" customFormat="false" ht="30" hidden="false" customHeight="true" outlineLevel="0" collapsed="false">
      <c r="A10" s="3" t="s">
        <v>17</v>
      </c>
      <c r="B10" s="4" t="s">
        <v>18</v>
      </c>
    </row>
    <row r="11" customFormat="false" ht="15" hidden="false" customHeight="false" outlineLevel="0" collapsed="false">
      <c r="A11" s="2"/>
      <c r="B11" s="2"/>
    </row>
    <row r="12" customFormat="false" ht="15" hidden="false" customHeight="false" outlineLevel="0" collapsed="false">
      <c r="A12" s="5" t="s">
        <v>19</v>
      </c>
      <c r="B12" s="6"/>
    </row>
    <row r="13" customFormat="false" ht="15" hidden="false" customHeight="false" outlineLevel="0" collapsed="false">
      <c r="A13" s="2" t="s">
        <v>20</v>
      </c>
      <c r="B13" s="2" t="s">
        <v>21</v>
      </c>
    </row>
    <row r="14" customFormat="false" ht="15" hidden="false" customHeight="false" outlineLevel="0" collapsed="false">
      <c r="A14" s="2" t="s">
        <v>22</v>
      </c>
      <c r="B14" s="2" t="s">
        <v>23</v>
      </c>
    </row>
    <row r="15" customFormat="false" ht="15" hidden="false" customHeight="false" outlineLevel="0" collapsed="false">
      <c r="A15" s="2" t="s">
        <v>24</v>
      </c>
      <c r="B15" s="2" t="s">
        <v>25</v>
      </c>
    </row>
    <row r="16" customFormat="false" ht="15" hidden="false" customHeight="false" outlineLevel="0" collapsed="false">
      <c r="A16" s="2" t="s">
        <v>26</v>
      </c>
      <c r="B16" s="2" t="s">
        <v>27</v>
      </c>
    </row>
    <row r="17" customFormat="false" ht="15" hidden="false" customHeight="false" outlineLevel="0" collapsed="false">
      <c r="A17" s="2" t="s">
        <v>28</v>
      </c>
      <c r="B17" s="2" t="s">
        <v>29</v>
      </c>
    </row>
    <row r="18" customFormat="false" ht="15" hidden="false" customHeight="false" outlineLevel="0" collapsed="false">
      <c r="A18" s="2" t="s">
        <v>30</v>
      </c>
      <c r="B18" s="2" t="s">
        <v>31</v>
      </c>
    </row>
    <row r="19" customFormat="false" ht="15" hidden="false" customHeight="false" outlineLevel="0" collapsed="false">
      <c r="A19" s="2" t="s">
        <v>32</v>
      </c>
      <c r="B19" s="2" t="s">
        <v>33</v>
      </c>
    </row>
    <row r="20" customFormat="false" ht="15" hidden="false" customHeight="false" outlineLevel="0" collapsed="false">
      <c r="A20" s="2" t="s">
        <v>34</v>
      </c>
      <c r="B20" s="2" t="s">
        <v>35</v>
      </c>
    </row>
    <row r="21" customFormat="false" ht="15" hidden="false" customHeight="false" outlineLevel="0" collapsed="false">
      <c r="A21" s="2" t="s">
        <v>36</v>
      </c>
      <c r="B21" s="2" t="s">
        <v>37</v>
      </c>
    </row>
    <row r="22" customFormat="false" ht="15" hidden="false" customHeight="false" outlineLevel="0" collapsed="false">
      <c r="A22" s="2" t="s">
        <v>38</v>
      </c>
      <c r="B22" s="2" t="s">
        <v>39</v>
      </c>
    </row>
    <row r="23" customFormat="false" ht="15" hidden="false" customHeight="false" outlineLevel="0" collapsed="false">
      <c r="A23" s="2" t="s">
        <v>40</v>
      </c>
      <c r="B23" s="2" t="s">
        <v>41</v>
      </c>
    </row>
    <row r="24" customFormat="false" ht="15" hidden="false" customHeight="false" outlineLevel="0" collapsed="false">
      <c r="A24" s="2" t="s">
        <v>42</v>
      </c>
      <c r="B24" s="2" t="s">
        <v>43</v>
      </c>
    </row>
    <row r="25" customFormat="false" ht="15" hidden="false" customHeight="false" outlineLevel="0" collapsed="false">
      <c r="A25" s="2" t="s">
        <v>44</v>
      </c>
      <c r="B25" s="2" t="s">
        <v>45</v>
      </c>
    </row>
    <row r="26" customFormat="false" ht="15" hidden="false" customHeight="false" outlineLevel="0" collapsed="false">
      <c r="A26" s="2" t="s">
        <v>46</v>
      </c>
      <c r="B26" s="2" t="s">
        <v>47</v>
      </c>
    </row>
    <row r="27" customFormat="false" ht="15" hidden="false" customHeight="false" outlineLevel="0" collapsed="false">
      <c r="A27" s="2" t="s">
        <v>48</v>
      </c>
      <c r="B27" s="2" t="s">
        <v>49</v>
      </c>
    </row>
    <row r="28" customFormat="false" ht="15" hidden="false" customHeight="false" outlineLevel="0" collapsed="false">
      <c r="A28" s="2" t="s">
        <v>50</v>
      </c>
      <c r="B28" s="2" t="s">
        <v>51</v>
      </c>
    </row>
    <row r="29" customFormat="false" ht="15" hidden="false" customHeight="false" outlineLevel="0" collapsed="false">
      <c r="A29" s="2" t="s">
        <v>52</v>
      </c>
      <c r="B29" s="2" t="s">
        <v>53</v>
      </c>
    </row>
    <row r="30" customFormat="false" ht="15" hidden="false" customHeight="false" outlineLevel="0" collapsed="false">
      <c r="A30" s="2" t="s">
        <v>54</v>
      </c>
      <c r="B30" s="2" t="s">
        <v>55</v>
      </c>
    </row>
    <row r="31" customFormat="false" ht="15" hidden="false" customHeight="false" outlineLevel="0" collapsed="false">
      <c r="A31" s="2" t="s">
        <v>56</v>
      </c>
      <c r="B31" s="2" t="s">
        <v>57</v>
      </c>
    </row>
    <row r="32" customFormat="false" ht="15" hidden="false" customHeight="false" outlineLevel="0" collapsed="false">
      <c r="A32" s="2" t="s">
        <v>58</v>
      </c>
      <c r="B32" s="2" t="s">
        <v>59</v>
      </c>
    </row>
    <row r="33" customFormat="false" ht="15" hidden="false" customHeight="false" outlineLevel="0" collapsed="false">
      <c r="A33" s="2" t="s">
        <v>60</v>
      </c>
      <c r="B33" s="2" t="s">
        <v>61</v>
      </c>
    </row>
    <row r="34" customFormat="false" ht="15" hidden="false" customHeight="false" outlineLevel="0" collapsed="false">
      <c r="A34" s="2" t="s">
        <v>62</v>
      </c>
      <c r="B34" s="2" t="s">
        <v>63</v>
      </c>
    </row>
    <row r="35" customFormat="false" ht="15" hidden="false" customHeight="false" outlineLevel="0" collapsed="false">
      <c r="A35" s="2" t="s">
        <v>64</v>
      </c>
      <c r="B35" s="2" t="s">
        <v>65</v>
      </c>
    </row>
    <row r="36" customFormat="false" ht="15" hidden="false" customHeight="false" outlineLevel="0" collapsed="false">
      <c r="A36" s="2" t="s">
        <v>66</v>
      </c>
      <c r="B36" s="2" t="s">
        <v>67</v>
      </c>
    </row>
    <row r="37" customFormat="false" ht="15" hidden="false" customHeight="false" outlineLevel="0" collapsed="false">
      <c r="A37" s="2" t="s">
        <v>68</v>
      </c>
      <c r="B37" s="2" t="s">
        <v>69</v>
      </c>
    </row>
    <row r="38" customFormat="false" ht="15" hidden="false" customHeight="false" outlineLevel="0" collapsed="false">
      <c r="A38" s="2" t="s">
        <v>70</v>
      </c>
      <c r="B38" s="2" t="s">
        <v>71</v>
      </c>
    </row>
    <row r="39" customFormat="false" ht="15" hidden="false" customHeight="false" outlineLevel="0" collapsed="false">
      <c r="A39" s="2" t="s">
        <v>72</v>
      </c>
      <c r="B39" s="2" t="s">
        <v>73</v>
      </c>
    </row>
    <row r="40" customFormat="false" ht="15" hidden="false" customHeight="false" outlineLevel="0" collapsed="false">
      <c r="A40" s="2" t="s">
        <v>74</v>
      </c>
      <c r="B40" s="2" t="s">
        <v>75</v>
      </c>
    </row>
    <row r="41" customFormat="false" ht="15" hidden="false" customHeight="false" outlineLevel="0" collapsed="false">
      <c r="A41" s="2" t="s">
        <v>76</v>
      </c>
      <c r="B41" s="2" t="s">
        <v>77</v>
      </c>
    </row>
    <row r="42" customFormat="false" ht="15" hidden="false" customHeight="false" outlineLevel="0" collapsed="false">
      <c r="A42" s="2" t="s">
        <v>78</v>
      </c>
      <c r="B42" s="2" t="s">
        <v>79</v>
      </c>
    </row>
    <row r="43" customFormat="false" ht="15" hidden="false" customHeight="false" outlineLevel="0" collapsed="false">
      <c r="A43" s="2" t="s">
        <v>80</v>
      </c>
      <c r="B43" s="2" t="s">
        <v>81</v>
      </c>
    </row>
    <row r="44" customFormat="false" ht="15" hidden="false" customHeight="false" outlineLevel="0" collapsed="false">
      <c r="A44" s="2" t="s">
        <v>82</v>
      </c>
      <c r="B44" s="2" t="s">
        <v>83</v>
      </c>
    </row>
    <row r="45" customFormat="false" ht="15" hidden="false" customHeight="false" outlineLevel="0" collapsed="false">
      <c r="A45" s="2" t="s">
        <v>84</v>
      </c>
      <c r="B45" s="2" t="s">
        <v>85</v>
      </c>
    </row>
    <row r="46" customFormat="false" ht="15" hidden="false" customHeight="false" outlineLevel="0" collapsed="false">
      <c r="A46" s="2" t="s">
        <v>86</v>
      </c>
      <c r="B46" s="2" t="s">
        <v>87</v>
      </c>
    </row>
    <row r="47" customFormat="false" ht="15" hidden="false" customHeight="false" outlineLevel="0" collapsed="false">
      <c r="A47" s="2" t="s">
        <v>88</v>
      </c>
      <c r="B47" s="2"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6" min="3" style="0" width="13"/>
    <col collapsed="false" customWidth="true" hidden="false" outlineLevel="0" max="7" min="7" style="0" width="95"/>
    <col collapsed="false" customWidth="true" hidden="false" outlineLevel="0" max="13" min="8" style="0" width="13"/>
  </cols>
  <sheetData>
    <row r="1" customFormat="false" ht="17.35" hidden="false" customHeight="false" outlineLevel="0" collapsed="false">
      <c r="A1" s="1" t="s">
        <v>90</v>
      </c>
      <c r="B1" s="2"/>
      <c r="C1" s="2"/>
      <c r="D1" s="2"/>
      <c r="E1" s="2"/>
      <c r="F1" s="2"/>
      <c r="G1" s="2"/>
      <c r="H1" s="2"/>
      <c r="I1" s="2"/>
      <c r="J1" s="2"/>
      <c r="K1" s="2"/>
      <c r="L1" s="2"/>
      <c r="M1" s="2"/>
    </row>
    <row r="2" customFormat="false" ht="45" hidden="false" customHeight="true" outlineLevel="0" collapsed="false">
      <c r="A2" s="7" t="s">
        <v>91</v>
      </c>
      <c r="B2" s="7"/>
      <c r="C2" s="7"/>
      <c r="D2" s="7"/>
      <c r="E2" s="7"/>
      <c r="F2" s="7"/>
      <c r="G2" s="7"/>
      <c r="H2" s="2"/>
      <c r="I2" s="2"/>
      <c r="J2" s="2"/>
      <c r="K2" s="2"/>
      <c r="L2" s="2"/>
      <c r="M2" s="2"/>
    </row>
    <row r="3" customFormat="false" ht="15" hidden="false" customHeight="false" outlineLevel="0" collapsed="false">
      <c r="A3" s="2"/>
      <c r="B3" s="2"/>
      <c r="C3" s="2"/>
      <c r="D3" s="2"/>
      <c r="E3" s="2"/>
      <c r="F3" s="2"/>
      <c r="G3" s="2"/>
      <c r="H3" s="2"/>
      <c r="I3" s="2"/>
      <c r="J3" s="2"/>
      <c r="K3" s="2"/>
      <c r="L3" s="2"/>
      <c r="M3" s="2"/>
    </row>
    <row r="4" customFormat="false" ht="15" hidden="false" customHeight="false" outlineLevel="0" collapsed="false">
      <c r="A4" s="5" t="s">
        <v>92</v>
      </c>
      <c r="B4" s="6"/>
      <c r="C4" s="6"/>
      <c r="D4" s="6"/>
      <c r="E4" s="6"/>
      <c r="F4" s="6"/>
      <c r="G4" s="6"/>
      <c r="H4" s="2"/>
      <c r="I4" s="2"/>
      <c r="J4" s="2"/>
      <c r="K4" s="2"/>
      <c r="L4" s="2"/>
      <c r="M4" s="2"/>
    </row>
    <row r="5" customFormat="false" ht="15" hidden="false" customHeight="false" outlineLevel="0" collapsed="false">
      <c r="A5" s="8" t="s">
        <v>93</v>
      </c>
      <c r="B5" s="8" t="s">
        <v>94</v>
      </c>
      <c r="C5" s="8" t="s">
        <v>95</v>
      </c>
      <c r="D5" s="8" t="s">
        <v>96</v>
      </c>
      <c r="E5" s="8" t="s">
        <v>97</v>
      </c>
      <c r="F5" s="8" t="s">
        <v>98</v>
      </c>
      <c r="G5" s="8" t="s">
        <v>99</v>
      </c>
      <c r="H5" s="2"/>
      <c r="I5" s="2"/>
      <c r="J5" s="2"/>
      <c r="K5" s="2"/>
      <c r="L5" s="2"/>
      <c r="M5" s="2"/>
    </row>
    <row r="6" customFormat="false" ht="15" hidden="false" customHeight="false" outlineLevel="0" collapsed="false">
      <c r="A6" s="9" t="s">
        <v>100</v>
      </c>
      <c r="B6" s="9" t="s">
        <v>101</v>
      </c>
      <c r="C6" s="2"/>
      <c r="D6" s="10" t="n">
        <v>0.755</v>
      </c>
      <c r="E6" s="2"/>
      <c r="F6" s="9" t="s">
        <v>102</v>
      </c>
      <c r="G6" s="11" t="s">
        <v>103</v>
      </c>
      <c r="H6" s="2"/>
      <c r="I6" s="2"/>
      <c r="J6" s="2"/>
      <c r="K6" s="2"/>
      <c r="L6" s="2"/>
      <c r="M6" s="2"/>
    </row>
    <row r="7" customFormat="false" ht="15" hidden="false" customHeight="false" outlineLevel="0" collapsed="false">
      <c r="A7" s="9" t="s">
        <v>104</v>
      </c>
      <c r="B7" s="9" t="s">
        <v>105</v>
      </c>
      <c r="C7" s="2"/>
      <c r="D7" s="12" t="n">
        <v>50000</v>
      </c>
      <c r="E7" s="2"/>
      <c r="F7" s="13" t="s">
        <v>106</v>
      </c>
      <c r="G7" s="11" t="s">
        <v>107</v>
      </c>
      <c r="H7" s="2"/>
      <c r="I7" s="2"/>
      <c r="J7" s="2"/>
      <c r="K7" s="2"/>
      <c r="L7" s="2"/>
      <c r="M7" s="2"/>
    </row>
    <row r="8" customFormat="false" ht="15" hidden="false" customHeight="false" outlineLevel="0" collapsed="false">
      <c r="A8" s="9" t="s">
        <v>108</v>
      </c>
      <c r="B8" s="9" t="s">
        <v>109</v>
      </c>
      <c r="C8" s="2"/>
      <c r="D8" s="14" t="n">
        <v>36</v>
      </c>
      <c r="E8" s="2"/>
      <c r="F8" s="13" t="s">
        <v>106</v>
      </c>
      <c r="G8" s="11" t="s">
        <v>110</v>
      </c>
      <c r="H8" s="2"/>
      <c r="I8" s="2"/>
      <c r="J8" s="2"/>
      <c r="K8" s="2"/>
      <c r="L8" s="2"/>
      <c r="M8" s="2"/>
    </row>
    <row r="9" customFormat="false" ht="15" hidden="false" customHeight="false" outlineLevel="0" collapsed="false">
      <c r="A9" s="2"/>
      <c r="B9" s="2"/>
      <c r="C9" s="2"/>
      <c r="D9" s="2"/>
      <c r="E9" s="2"/>
      <c r="F9" s="2"/>
      <c r="G9" s="2"/>
      <c r="H9" s="2"/>
      <c r="I9" s="2"/>
      <c r="J9" s="2"/>
      <c r="K9" s="2"/>
      <c r="L9" s="2"/>
      <c r="M9" s="2"/>
    </row>
    <row r="10" customFormat="false" ht="15" hidden="false" customHeight="false" outlineLevel="0" collapsed="false">
      <c r="A10" s="5" t="s">
        <v>111</v>
      </c>
      <c r="B10" s="6"/>
      <c r="C10" s="6"/>
      <c r="D10" s="6"/>
      <c r="E10" s="6"/>
      <c r="F10" s="6"/>
      <c r="G10" s="6"/>
      <c r="H10" s="2"/>
      <c r="I10" s="2"/>
      <c r="J10" s="2"/>
      <c r="K10" s="2"/>
      <c r="L10" s="2"/>
      <c r="M10" s="2"/>
    </row>
    <row r="11" customFormat="false" ht="15" hidden="false" customHeight="false" outlineLevel="0" collapsed="false">
      <c r="A11" s="8" t="s">
        <v>93</v>
      </c>
      <c r="B11" s="8" t="s">
        <v>94</v>
      </c>
      <c r="C11" s="8" t="s">
        <v>95</v>
      </c>
      <c r="D11" s="8" t="s">
        <v>96</v>
      </c>
      <c r="E11" s="8" t="s">
        <v>97</v>
      </c>
      <c r="F11" s="8" t="s">
        <v>98</v>
      </c>
      <c r="G11" s="8" t="s">
        <v>99</v>
      </c>
      <c r="H11" s="2"/>
      <c r="I11" s="2"/>
      <c r="J11" s="2"/>
      <c r="K11" s="2"/>
      <c r="L11" s="2"/>
      <c r="M11" s="2"/>
    </row>
    <row r="12" customFormat="false" ht="15" hidden="false" customHeight="false" outlineLevel="0" collapsed="false">
      <c r="A12" s="9" t="s">
        <v>112</v>
      </c>
      <c r="B12" s="9" t="s">
        <v>113</v>
      </c>
      <c r="C12" s="15" t="n">
        <v>0.026</v>
      </c>
      <c r="D12" s="15" t="n">
        <v>0.052</v>
      </c>
      <c r="E12" s="15" t="n">
        <v>0.1</v>
      </c>
      <c r="F12" s="9" t="s">
        <v>114</v>
      </c>
      <c r="G12" s="11" t="s">
        <v>115</v>
      </c>
      <c r="H12" s="2"/>
      <c r="I12" s="2"/>
      <c r="J12" s="2"/>
      <c r="K12" s="2"/>
      <c r="L12" s="2"/>
      <c r="M12" s="2"/>
    </row>
    <row r="13" customFormat="false" ht="15" hidden="false" customHeight="false" outlineLevel="0" collapsed="false">
      <c r="A13" s="9" t="s">
        <v>116</v>
      </c>
      <c r="B13" s="9" t="s">
        <v>117</v>
      </c>
      <c r="C13" s="15" t="n">
        <v>0.02</v>
      </c>
      <c r="D13" s="15" t="n">
        <v>0.03</v>
      </c>
      <c r="E13" s="15" t="n">
        <v>0.05</v>
      </c>
      <c r="F13" s="9" t="s">
        <v>114</v>
      </c>
      <c r="G13" s="11" t="s">
        <v>118</v>
      </c>
      <c r="H13" s="2"/>
      <c r="I13" s="2"/>
      <c r="J13" s="2"/>
      <c r="K13" s="2"/>
      <c r="L13" s="2"/>
      <c r="M13" s="2"/>
    </row>
    <row r="14" customFormat="false" ht="15" hidden="false" customHeight="false" outlineLevel="0" collapsed="false">
      <c r="A14" s="9" t="s">
        <v>119</v>
      </c>
      <c r="B14" s="9" t="s">
        <v>120</v>
      </c>
      <c r="C14" s="15" t="n">
        <v>0.05</v>
      </c>
      <c r="D14" s="15" t="n">
        <v>0.1</v>
      </c>
      <c r="E14" s="15" t="n">
        <v>0.2</v>
      </c>
      <c r="F14" s="13" t="s">
        <v>106</v>
      </c>
      <c r="G14" s="11" t="s">
        <v>121</v>
      </c>
      <c r="H14" s="2"/>
      <c r="I14" s="2"/>
      <c r="J14" s="2"/>
      <c r="K14" s="2"/>
      <c r="L14" s="2"/>
      <c r="M14" s="2"/>
    </row>
    <row r="15" customFormat="false" ht="15" hidden="false" customHeight="false" outlineLevel="0" collapsed="false">
      <c r="A15" s="9" t="s">
        <v>122</v>
      </c>
      <c r="B15" s="9" t="s">
        <v>123</v>
      </c>
      <c r="C15" s="15" t="n">
        <v>0.113</v>
      </c>
      <c r="D15" s="15" t="n">
        <v>0.24</v>
      </c>
      <c r="E15" s="15" t="n">
        <v>0.24</v>
      </c>
      <c r="F15" s="9" t="s">
        <v>102</v>
      </c>
      <c r="G15" s="11" t="s">
        <v>124</v>
      </c>
      <c r="H15" s="2"/>
      <c r="I15" s="2"/>
      <c r="J15" s="2"/>
      <c r="K15" s="2"/>
      <c r="L15" s="2"/>
      <c r="M15" s="2"/>
    </row>
    <row r="16" customFormat="false" ht="15" hidden="false" customHeight="false" outlineLevel="0" collapsed="false">
      <c r="A16" s="9" t="s">
        <v>125</v>
      </c>
      <c r="B16" s="9" t="s">
        <v>126</v>
      </c>
      <c r="C16" s="14" t="n">
        <v>2</v>
      </c>
      <c r="D16" s="14" t="n">
        <v>3</v>
      </c>
      <c r="E16" s="14" t="n">
        <v>4</v>
      </c>
      <c r="F16" s="9" t="s">
        <v>114</v>
      </c>
      <c r="G16" s="11" t="s">
        <v>127</v>
      </c>
      <c r="H16" s="2"/>
      <c r="I16" s="2"/>
      <c r="J16" s="2"/>
      <c r="K16" s="2"/>
      <c r="L16" s="2"/>
      <c r="M16" s="2"/>
    </row>
    <row r="17" customFormat="false" ht="15" hidden="false" customHeight="false" outlineLevel="0" collapsed="false">
      <c r="A17" s="9" t="s">
        <v>128</v>
      </c>
      <c r="B17" s="9" t="s">
        <v>129</v>
      </c>
      <c r="C17" s="15" t="n">
        <v>0.07</v>
      </c>
      <c r="D17" s="15" t="n">
        <v>0.12</v>
      </c>
      <c r="E17" s="15" t="n">
        <v>0.168</v>
      </c>
      <c r="F17" s="9" t="s">
        <v>102</v>
      </c>
      <c r="G17" s="11" t="s">
        <v>130</v>
      </c>
      <c r="H17" s="2"/>
      <c r="I17" s="2"/>
      <c r="J17" s="2"/>
      <c r="K17" s="2"/>
      <c r="L17" s="2"/>
      <c r="M17" s="2"/>
    </row>
    <row r="18" customFormat="false" ht="15" hidden="false" customHeight="false" outlineLevel="0" collapsed="false">
      <c r="A18" s="9" t="s">
        <v>131</v>
      </c>
      <c r="B18" s="9" t="s">
        <v>129</v>
      </c>
      <c r="C18" s="15" t="n">
        <v>0.12</v>
      </c>
      <c r="D18" s="15" t="n">
        <v>0.4</v>
      </c>
      <c r="E18" s="15" t="n">
        <v>0.6</v>
      </c>
      <c r="F18" s="9" t="s">
        <v>102</v>
      </c>
      <c r="G18" s="11" t="s">
        <v>132</v>
      </c>
      <c r="H18" s="2"/>
      <c r="I18" s="2"/>
      <c r="J18" s="2"/>
      <c r="K18" s="2"/>
      <c r="L18" s="2"/>
      <c r="M18" s="2"/>
    </row>
    <row r="19" customFormat="false" ht="15" hidden="false" customHeight="false" outlineLevel="0" collapsed="false">
      <c r="A19" s="9" t="s">
        <v>133</v>
      </c>
      <c r="B19" s="9" t="s">
        <v>126</v>
      </c>
      <c r="C19" s="14" t="n">
        <v>1.5</v>
      </c>
      <c r="D19" s="14" t="n">
        <v>2</v>
      </c>
      <c r="E19" s="14" t="n">
        <v>3</v>
      </c>
      <c r="F19" s="9" t="s">
        <v>114</v>
      </c>
      <c r="G19" s="11" t="s">
        <v>134</v>
      </c>
      <c r="H19" s="2"/>
      <c r="I19" s="2"/>
      <c r="J19" s="2"/>
      <c r="K19" s="2"/>
      <c r="L19" s="2"/>
      <c r="M19" s="2"/>
    </row>
    <row r="20" customFormat="false" ht="15" hidden="false" customHeight="false" outlineLevel="0" collapsed="false">
      <c r="A20" s="9" t="s">
        <v>135</v>
      </c>
      <c r="B20" s="9" t="s">
        <v>136</v>
      </c>
      <c r="C20" s="2"/>
      <c r="D20" s="14" t="n">
        <v>30</v>
      </c>
      <c r="E20" s="2"/>
      <c r="F20" s="13" t="s">
        <v>106</v>
      </c>
      <c r="G20" s="11" t="s">
        <v>137</v>
      </c>
      <c r="H20" s="2"/>
      <c r="I20" s="2"/>
      <c r="J20" s="2"/>
      <c r="K20" s="2"/>
      <c r="L20" s="2"/>
      <c r="M20" s="2"/>
    </row>
    <row r="21" customFormat="false" ht="15" hidden="false" customHeight="false" outlineLevel="0" collapsed="false">
      <c r="A21" s="9" t="s">
        <v>138</v>
      </c>
      <c r="B21" s="9" t="s">
        <v>136</v>
      </c>
      <c r="C21" s="2"/>
      <c r="D21" s="14" t="n">
        <v>60</v>
      </c>
      <c r="E21" s="2"/>
      <c r="F21" s="13" t="s">
        <v>106</v>
      </c>
      <c r="G21" s="11" t="s">
        <v>139</v>
      </c>
      <c r="H21" s="2"/>
      <c r="I21" s="2"/>
      <c r="J21" s="2"/>
      <c r="K21" s="2"/>
      <c r="L21" s="2"/>
      <c r="M21" s="2"/>
    </row>
    <row r="22" customFormat="false" ht="15" hidden="false" customHeight="false" outlineLevel="0" collapsed="false">
      <c r="A22" s="9" t="s">
        <v>140</v>
      </c>
      <c r="B22" s="9" t="s">
        <v>141</v>
      </c>
      <c r="C22" s="15" t="n">
        <v>0.59</v>
      </c>
      <c r="D22" s="15" t="n">
        <v>1.09</v>
      </c>
      <c r="E22" s="15" t="n">
        <v>1.86</v>
      </c>
      <c r="F22" s="9" t="s">
        <v>102</v>
      </c>
      <c r="G22" s="11" t="s">
        <v>142</v>
      </c>
      <c r="H22" s="2"/>
      <c r="I22" s="2"/>
      <c r="J22" s="2"/>
      <c r="K22" s="2"/>
      <c r="L22" s="2"/>
      <c r="M22" s="2"/>
    </row>
    <row r="23" customFormat="false" ht="15" hidden="false" customHeight="false" outlineLevel="0" collapsed="false">
      <c r="A23" s="9" t="s">
        <v>143</v>
      </c>
      <c r="B23" s="9" t="s">
        <v>126</v>
      </c>
      <c r="C23" s="14" t="n">
        <v>0.5</v>
      </c>
      <c r="D23" s="14" t="n">
        <v>1</v>
      </c>
      <c r="E23" s="14" t="n">
        <v>2</v>
      </c>
      <c r="F23" s="9" t="s">
        <v>114</v>
      </c>
      <c r="G23" s="11" t="s">
        <v>144</v>
      </c>
      <c r="H23" s="2"/>
      <c r="I23" s="2"/>
      <c r="J23" s="2"/>
      <c r="K23" s="2"/>
      <c r="L23" s="2"/>
      <c r="M23" s="2"/>
    </row>
    <row r="24" customFormat="false" ht="15" hidden="false" customHeight="false" outlineLevel="0" collapsed="false">
      <c r="A24" s="9" t="s">
        <v>145</v>
      </c>
      <c r="B24" s="9" t="s">
        <v>146</v>
      </c>
      <c r="C24" s="14" t="n">
        <v>0</v>
      </c>
      <c r="D24" s="14" t="n">
        <v>2</v>
      </c>
      <c r="E24" s="14" t="n">
        <v>6.65</v>
      </c>
      <c r="F24" s="9" t="s">
        <v>114</v>
      </c>
      <c r="G24" s="11" t="s">
        <v>147</v>
      </c>
      <c r="H24" s="2"/>
      <c r="I24" s="2"/>
      <c r="J24" s="2"/>
      <c r="K24" s="2"/>
      <c r="L24" s="2"/>
      <c r="M24" s="2"/>
    </row>
    <row r="25" customFormat="false" ht="15" hidden="false" customHeight="false" outlineLevel="0" collapsed="false">
      <c r="A25" s="9" t="s">
        <v>148</v>
      </c>
      <c r="B25" s="9" t="s">
        <v>149</v>
      </c>
      <c r="C25" s="15" t="n">
        <v>1.82</v>
      </c>
      <c r="D25" s="15" t="n">
        <v>1.82</v>
      </c>
      <c r="E25" s="15" t="n">
        <v>2.82</v>
      </c>
      <c r="F25" s="9" t="s">
        <v>102</v>
      </c>
      <c r="G25" s="11" t="s">
        <v>150</v>
      </c>
      <c r="H25" s="2"/>
      <c r="I25" s="2"/>
      <c r="J25" s="2"/>
      <c r="K25" s="2"/>
      <c r="L25" s="2"/>
      <c r="M25" s="2"/>
    </row>
    <row r="26" customFormat="false" ht="15" hidden="false" customHeight="false" outlineLevel="0" collapsed="false">
      <c r="A26" s="9" t="s">
        <v>151</v>
      </c>
      <c r="B26" s="9" t="s">
        <v>152</v>
      </c>
      <c r="C26" s="2"/>
      <c r="D26" s="10" t="n">
        <v>0.015</v>
      </c>
      <c r="E26" s="2"/>
      <c r="F26" s="9" t="s">
        <v>102</v>
      </c>
      <c r="G26" s="11" t="s">
        <v>35</v>
      </c>
      <c r="H26" s="2"/>
      <c r="I26" s="2"/>
      <c r="J26" s="2"/>
      <c r="K26" s="2"/>
      <c r="L26" s="2"/>
      <c r="M26" s="2"/>
    </row>
    <row r="27" customFormat="false" ht="15" hidden="false" customHeight="false" outlineLevel="0" collapsed="false">
      <c r="A27" s="9" t="s">
        <v>153</v>
      </c>
      <c r="B27" s="9" t="s">
        <v>109</v>
      </c>
      <c r="C27" s="2"/>
      <c r="D27" s="14" t="n">
        <v>12</v>
      </c>
      <c r="E27" s="2"/>
      <c r="F27" s="13" t="s">
        <v>106</v>
      </c>
      <c r="G27" s="11" t="s">
        <v>154</v>
      </c>
      <c r="H27" s="2"/>
      <c r="I27" s="2"/>
      <c r="J27" s="2"/>
      <c r="K27" s="2"/>
      <c r="L27" s="2"/>
      <c r="M27" s="2"/>
    </row>
    <row r="28" customFormat="false" ht="15" hidden="false" customHeight="false" outlineLevel="0" collapsed="false">
      <c r="A28" s="9" t="s">
        <v>155</v>
      </c>
      <c r="B28" s="9" t="s">
        <v>156</v>
      </c>
      <c r="C28" s="10" t="n">
        <v>0.005</v>
      </c>
      <c r="D28" s="10" t="n">
        <v>0.01</v>
      </c>
      <c r="E28" s="10" t="n">
        <v>0.01</v>
      </c>
      <c r="F28" s="9" t="s">
        <v>102</v>
      </c>
      <c r="G28" s="11" t="s">
        <v>157</v>
      </c>
      <c r="H28" s="2"/>
      <c r="I28" s="2"/>
      <c r="J28" s="2"/>
      <c r="K28" s="2"/>
      <c r="L28" s="2"/>
      <c r="M28" s="2"/>
    </row>
    <row r="29" customFormat="false" ht="15" hidden="false" customHeight="false" outlineLevel="0" collapsed="false">
      <c r="A29" s="9" t="s">
        <v>158</v>
      </c>
      <c r="B29" s="9" t="s">
        <v>159</v>
      </c>
      <c r="C29" s="2"/>
      <c r="D29" s="14" t="n">
        <v>10</v>
      </c>
      <c r="E29" s="2"/>
      <c r="F29" s="9" t="s">
        <v>114</v>
      </c>
      <c r="G29" s="11" t="s">
        <v>160</v>
      </c>
      <c r="H29" s="2"/>
      <c r="I29" s="2"/>
      <c r="J29" s="2"/>
      <c r="K29" s="2"/>
      <c r="L29" s="2"/>
      <c r="M29" s="2"/>
    </row>
    <row r="30" customFormat="false" ht="15" hidden="false" customHeight="false" outlineLevel="0" collapsed="false">
      <c r="A30" s="9" t="s">
        <v>161</v>
      </c>
      <c r="B30" s="9" t="s">
        <v>162</v>
      </c>
      <c r="C30" s="14" t="n">
        <v>0</v>
      </c>
      <c r="D30" s="14" t="n">
        <v>1.5</v>
      </c>
      <c r="E30" s="14" t="n">
        <v>3</v>
      </c>
      <c r="F30" s="9" t="s">
        <v>114</v>
      </c>
      <c r="G30" s="11" t="s">
        <v>163</v>
      </c>
      <c r="H30" s="2"/>
      <c r="I30" s="2"/>
      <c r="J30" s="2"/>
      <c r="K30" s="2"/>
      <c r="L30" s="2"/>
      <c r="M30" s="2"/>
    </row>
    <row r="31" customFormat="false" ht="15" hidden="false" customHeight="false" outlineLevel="0" collapsed="false">
      <c r="A31" s="9" t="s">
        <v>164</v>
      </c>
      <c r="B31" s="9" t="s">
        <v>165</v>
      </c>
      <c r="C31" s="2"/>
      <c r="D31" s="16" t="n">
        <v>0.3</v>
      </c>
      <c r="E31" s="2"/>
      <c r="F31" s="13" t="s">
        <v>106</v>
      </c>
      <c r="G31" s="11" t="s">
        <v>166</v>
      </c>
      <c r="H31" s="2"/>
      <c r="I31" s="2"/>
      <c r="J31" s="2"/>
      <c r="K31" s="2"/>
      <c r="L31" s="2"/>
      <c r="M31" s="2"/>
    </row>
    <row r="32" customFormat="false" ht="15" hidden="false" customHeight="false" outlineLevel="0" collapsed="false">
      <c r="A32" s="9" t="s">
        <v>167</v>
      </c>
      <c r="B32" s="9" t="s">
        <v>168</v>
      </c>
      <c r="C32" s="15" t="n">
        <v>15</v>
      </c>
      <c r="D32" s="15" t="n">
        <v>25</v>
      </c>
      <c r="E32" s="15" t="n">
        <v>35</v>
      </c>
      <c r="F32" s="9" t="s">
        <v>114</v>
      </c>
      <c r="G32" s="11" t="s">
        <v>169</v>
      </c>
      <c r="H32" s="2"/>
      <c r="I32" s="2"/>
      <c r="J32" s="2"/>
      <c r="K32" s="2"/>
      <c r="L32" s="2"/>
      <c r="M32" s="2"/>
    </row>
    <row r="33" customFormat="false" ht="15" hidden="false" customHeight="false" outlineLevel="0" collapsed="false">
      <c r="A33" s="9" t="s">
        <v>170</v>
      </c>
      <c r="B33" s="9" t="s">
        <v>171</v>
      </c>
      <c r="C33" s="14" t="n">
        <v>3</v>
      </c>
      <c r="D33" s="14" t="n">
        <v>10</v>
      </c>
      <c r="E33" s="14" t="n">
        <v>15</v>
      </c>
      <c r="F33" s="9" t="s">
        <v>114</v>
      </c>
      <c r="G33" s="11" t="s">
        <v>172</v>
      </c>
      <c r="H33" s="2"/>
      <c r="I33" s="2"/>
      <c r="J33" s="2"/>
      <c r="K33" s="2"/>
      <c r="L33" s="2"/>
      <c r="M33" s="2"/>
    </row>
    <row r="34" customFormat="false" ht="15" hidden="false" customHeight="false" outlineLevel="0" collapsed="false">
      <c r="A34" s="9" t="s">
        <v>173</v>
      </c>
      <c r="B34" s="9" t="s">
        <v>174</v>
      </c>
      <c r="C34" s="14" t="n">
        <v>0.5</v>
      </c>
      <c r="D34" s="14" t="n">
        <v>1</v>
      </c>
      <c r="E34" s="14" t="n">
        <v>1.5</v>
      </c>
      <c r="F34" s="13" t="s">
        <v>106</v>
      </c>
      <c r="G34" s="11" t="s">
        <v>175</v>
      </c>
      <c r="H34" s="2"/>
      <c r="I34" s="2"/>
      <c r="J34" s="2"/>
      <c r="K34" s="2"/>
      <c r="L34" s="2"/>
      <c r="M34" s="2"/>
    </row>
    <row r="35" customFormat="false" ht="15" hidden="false" customHeight="false" outlineLevel="0" collapsed="false">
      <c r="A35" s="9" t="s">
        <v>176</v>
      </c>
      <c r="B35" s="9" t="s">
        <v>177</v>
      </c>
      <c r="C35" s="14" t="n">
        <v>5</v>
      </c>
      <c r="D35" s="14" t="n">
        <v>10</v>
      </c>
      <c r="E35" s="14" t="n">
        <v>15</v>
      </c>
      <c r="F35" s="13" t="s">
        <v>106</v>
      </c>
      <c r="G35" s="11" t="s">
        <v>178</v>
      </c>
      <c r="H35" s="2"/>
      <c r="I35" s="2"/>
      <c r="J35" s="2"/>
      <c r="K35" s="2"/>
      <c r="L35" s="2"/>
      <c r="M35" s="2"/>
    </row>
    <row r="36" customFormat="false" ht="15" hidden="false" customHeight="false" outlineLevel="0" collapsed="false">
      <c r="A36" s="9" t="s">
        <v>179</v>
      </c>
      <c r="B36" s="9" t="s">
        <v>180</v>
      </c>
      <c r="C36" s="14" t="n">
        <v>1</v>
      </c>
      <c r="D36" s="14" t="n">
        <v>1.5</v>
      </c>
      <c r="E36" s="14" t="n">
        <v>2.5</v>
      </c>
      <c r="F36" s="13" t="s">
        <v>106</v>
      </c>
      <c r="G36" s="11" t="s">
        <v>181</v>
      </c>
      <c r="H36" s="2"/>
      <c r="I36" s="2"/>
      <c r="J36" s="2"/>
      <c r="K36" s="2"/>
      <c r="L36" s="2"/>
      <c r="M36" s="2"/>
    </row>
    <row r="37" customFormat="false" ht="15" hidden="false" customHeight="false" outlineLevel="0" collapsed="false">
      <c r="A37" s="9" t="s">
        <v>182</v>
      </c>
      <c r="B37" s="9" t="s">
        <v>168</v>
      </c>
      <c r="C37" s="15" t="n">
        <v>25</v>
      </c>
      <c r="D37" s="15" t="n">
        <v>30</v>
      </c>
      <c r="E37" s="15" t="n">
        <v>35</v>
      </c>
      <c r="F37" s="13" t="s">
        <v>106</v>
      </c>
      <c r="G37" s="11" t="s">
        <v>183</v>
      </c>
      <c r="H37" s="2"/>
      <c r="I37" s="2"/>
      <c r="J37" s="2"/>
      <c r="K37" s="2"/>
      <c r="L37" s="2"/>
      <c r="M37" s="2"/>
    </row>
    <row r="38" customFormat="false" ht="15" hidden="false" customHeight="false" outlineLevel="0" collapsed="false">
      <c r="A38" s="9" t="s">
        <v>184</v>
      </c>
      <c r="B38" s="9" t="s">
        <v>126</v>
      </c>
      <c r="C38" s="14" t="n">
        <v>0.5</v>
      </c>
      <c r="D38" s="14" t="n">
        <v>1</v>
      </c>
      <c r="E38" s="14" t="n">
        <v>1.5</v>
      </c>
      <c r="F38" s="13" t="s">
        <v>106</v>
      </c>
      <c r="G38" s="11" t="s">
        <v>185</v>
      </c>
      <c r="H38" s="2"/>
      <c r="I38" s="2"/>
      <c r="J38" s="2"/>
      <c r="K38" s="2"/>
      <c r="L38" s="2"/>
      <c r="M38" s="2"/>
    </row>
    <row r="39" customFormat="false" ht="15" hidden="false" customHeight="false" outlineLevel="0" collapsed="false">
      <c r="A39" s="9" t="s">
        <v>186</v>
      </c>
      <c r="B39" s="9" t="s">
        <v>165</v>
      </c>
      <c r="C39" s="16" t="n">
        <v>0.05</v>
      </c>
      <c r="D39" s="16" t="n">
        <v>0.15</v>
      </c>
      <c r="E39" s="16" t="n">
        <v>0.25</v>
      </c>
      <c r="F39" s="13" t="s">
        <v>106</v>
      </c>
      <c r="G39" s="11" t="s">
        <v>187</v>
      </c>
      <c r="H39" s="2"/>
      <c r="I39" s="2"/>
      <c r="J39" s="2"/>
      <c r="K39" s="2"/>
      <c r="L39" s="2"/>
      <c r="M39" s="2"/>
    </row>
    <row r="40" customFormat="false" ht="15" hidden="false" customHeight="false" outlineLevel="0" collapsed="false">
      <c r="A40" s="9" t="s">
        <v>188</v>
      </c>
      <c r="B40" s="9" t="s">
        <v>165</v>
      </c>
      <c r="C40" s="2"/>
      <c r="D40" s="16" t="n">
        <v>0.05</v>
      </c>
      <c r="E40" s="2"/>
      <c r="F40" s="13" t="s">
        <v>106</v>
      </c>
      <c r="G40" s="11" t="s">
        <v>189</v>
      </c>
      <c r="H40" s="2"/>
      <c r="I40" s="2"/>
      <c r="J40" s="2"/>
      <c r="K40" s="2"/>
      <c r="L40" s="2"/>
      <c r="M40" s="2"/>
    </row>
    <row r="41" customFormat="false" ht="15" hidden="false" customHeight="false" outlineLevel="0" collapsed="false">
      <c r="A41" s="9" t="s">
        <v>190</v>
      </c>
      <c r="B41" s="9" t="s">
        <v>165</v>
      </c>
      <c r="C41" s="2"/>
      <c r="D41" s="16" t="n">
        <v>0.15</v>
      </c>
      <c r="E41" s="2"/>
      <c r="F41" s="13" t="s">
        <v>106</v>
      </c>
      <c r="G41" s="11" t="s">
        <v>189</v>
      </c>
      <c r="H41" s="2"/>
      <c r="I41" s="2"/>
      <c r="J41" s="2"/>
      <c r="K41" s="2"/>
      <c r="L41" s="2"/>
      <c r="M41" s="2"/>
    </row>
    <row r="42" customFormat="false" ht="15" hidden="false" customHeight="false" outlineLevel="0" collapsed="false">
      <c r="A42" s="9" t="s">
        <v>191</v>
      </c>
      <c r="B42" s="9" t="s">
        <v>165</v>
      </c>
      <c r="C42" s="2"/>
      <c r="D42" s="16" t="n">
        <v>0.3</v>
      </c>
      <c r="E42" s="2"/>
      <c r="F42" s="13" t="s">
        <v>106</v>
      </c>
      <c r="G42" s="11" t="s">
        <v>189</v>
      </c>
      <c r="H42" s="2"/>
      <c r="I42" s="2"/>
      <c r="J42" s="2"/>
      <c r="K42" s="2"/>
      <c r="L42" s="2"/>
      <c r="M42" s="2"/>
    </row>
    <row r="43" customFormat="false" ht="15" hidden="false" customHeight="false" outlineLevel="0" collapsed="false">
      <c r="A43" s="9" t="s">
        <v>192</v>
      </c>
      <c r="B43" s="9" t="s">
        <v>165</v>
      </c>
      <c r="C43" s="2"/>
      <c r="D43" s="16" t="n">
        <v>0.5</v>
      </c>
      <c r="E43" s="2"/>
      <c r="F43" s="13" t="s">
        <v>106</v>
      </c>
      <c r="G43" s="11" t="s">
        <v>189</v>
      </c>
      <c r="H43" s="2"/>
      <c r="I43" s="2"/>
      <c r="J43" s="2"/>
      <c r="K43" s="2"/>
      <c r="L43" s="2"/>
      <c r="M43" s="2"/>
    </row>
    <row r="44" customFormat="false" ht="15" hidden="false" customHeight="false" outlineLevel="0" collapsed="false">
      <c r="A44" s="9" t="s">
        <v>193</v>
      </c>
      <c r="B44" s="9" t="s">
        <v>159</v>
      </c>
      <c r="C44" s="2"/>
      <c r="D44" s="14" t="n">
        <v>2</v>
      </c>
      <c r="E44" s="2"/>
      <c r="F44" s="9" t="s">
        <v>114</v>
      </c>
      <c r="G44" s="11" t="s">
        <v>194</v>
      </c>
      <c r="H44" s="2"/>
      <c r="I44" s="2"/>
      <c r="J44" s="2"/>
      <c r="K44" s="2"/>
      <c r="L44" s="2"/>
      <c r="M44" s="2"/>
    </row>
    <row r="45" customFormat="false" ht="15" hidden="false" customHeight="false" outlineLevel="0" collapsed="false">
      <c r="A45" s="2"/>
      <c r="B45" s="2"/>
      <c r="C45" s="2"/>
      <c r="D45" s="2"/>
      <c r="E45" s="2"/>
      <c r="F45" s="2"/>
      <c r="G45" s="2"/>
      <c r="H45" s="2"/>
      <c r="I45" s="2"/>
      <c r="J45" s="2"/>
      <c r="K45" s="2"/>
      <c r="L45" s="2"/>
      <c r="M45" s="2"/>
    </row>
    <row r="46" customFormat="false" ht="15" hidden="false" customHeight="false" outlineLevel="0" collapsed="false">
      <c r="A46" s="5" t="s">
        <v>195</v>
      </c>
      <c r="B46" s="6"/>
      <c r="C46" s="6"/>
      <c r="D46" s="6"/>
      <c r="E46" s="6"/>
      <c r="F46" s="6"/>
      <c r="G46" s="6"/>
      <c r="H46" s="2"/>
      <c r="I46" s="2"/>
      <c r="J46" s="2"/>
      <c r="K46" s="2"/>
      <c r="L46" s="2"/>
      <c r="M46" s="2"/>
    </row>
    <row r="47" customFormat="false" ht="15" hidden="false" customHeight="false" outlineLevel="0" collapsed="false">
      <c r="A47" s="8" t="s">
        <v>93</v>
      </c>
      <c r="B47" s="8" t="s">
        <v>94</v>
      </c>
      <c r="C47" s="8" t="s">
        <v>95</v>
      </c>
      <c r="D47" s="8" t="s">
        <v>96</v>
      </c>
      <c r="E47" s="8" t="s">
        <v>97</v>
      </c>
      <c r="F47" s="8" t="s">
        <v>98</v>
      </c>
      <c r="G47" s="8" t="s">
        <v>99</v>
      </c>
      <c r="H47" s="2"/>
      <c r="I47" s="2"/>
      <c r="J47" s="2"/>
      <c r="K47" s="2"/>
      <c r="L47" s="2"/>
      <c r="M47" s="2"/>
    </row>
    <row r="48" customFormat="false" ht="15" hidden="false" customHeight="false" outlineLevel="0" collapsed="false">
      <c r="A48" s="9" t="s">
        <v>196</v>
      </c>
      <c r="B48" s="9" t="s">
        <v>197</v>
      </c>
      <c r="C48" s="2"/>
      <c r="D48" s="14" t="n">
        <v>6</v>
      </c>
      <c r="E48" s="2"/>
      <c r="F48" s="9" t="s">
        <v>114</v>
      </c>
      <c r="G48" s="11" t="s">
        <v>198</v>
      </c>
      <c r="H48" s="2"/>
      <c r="I48" s="2"/>
      <c r="J48" s="2"/>
      <c r="K48" s="2"/>
      <c r="L48" s="2"/>
      <c r="M48" s="2"/>
    </row>
    <row r="49" customFormat="false" ht="15" hidden="false" customHeight="false" outlineLevel="0" collapsed="false">
      <c r="A49" s="9" t="s">
        <v>199</v>
      </c>
      <c r="B49" s="9" t="s">
        <v>200</v>
      </c>
      <c r="C49" s="2"/>
      <c r="D49" s="14" t="n">
        <v>50</v>
      </c>
      <c r="E49" s="2"/>
      <c r="F49" s="9" t="s">
        <v>114</v>
      </c>
      <c r="G49" s="11" t="s">
        <v>201</v>
      </c>
      <c r="H49" s="2"/>
      <c r="I49" s="2"/>
      <c r="J49" s="2"/>
      <c r="K49" s="2"/>
      <c r="L49" s="2"/>
      <c r="M49" s="2"/>
    </row>
    <row r="50" customFormat="false" ht="15" hidden="false" customHeight="false" outlineLevel="0" collapsed="false">
      <c r="A50" s="9" t="s">
        <v>202</v>
      </c>
      <c r="B50" s="9" t="s">
        <v>197</v>
      </c>
      <c r="C50" s="2"/>
      <c r="D50" s="14" t="n">
        <v>15</v>
      </c>
      <c r="E50" s="2"/>
      <c r="F50" s="9" t="s">
        <v>114</v>
      </c>
      <c r="G50" s="11" t="s">
        <v>203</v>
      </c>
      <c r="H50" s="2"/>
      <c r="I50" s="2"/>
      <c r="J50" s="2"/>
      <c r="K50" s="2"/>
      <c r="L50" s="2"/>
      <c r="M50" s="2"/>
    </row>
    <row r="51" customFormat="false" ht="15" hidden="false" customHeight="false" outlineLevel="0" collapsed="false">
      <c r="A51" s="9" t="s">
        <v>204</v>
      </c>
      <c r="B51" s="9" t="s">
        <v>200</v>
      </c>
      <c r="C51" s="2"/>
      <c r="D51" s="14" t="n">
        <v>200</v>
      </c>
      <c r="E51" s="2"/>
      <c r="F51" s="9" t="s">
        <v>114</v>
      </c>
      <c r="G51" s="11" t="s">
        <v>201</v>
      </c>
      <c r="H51" s="2"/>
      <c r="I51" s="2"/>
      <c r="J51" s="2"/>
      <c r="K51" s="2"/>
      <c r="L51" s="2"/>
      <c r="M51" s="2"/>
    </row>
    <row r="52" customFormat="false" ht="15" hidden="false" customHeight="false" outlineLevel="0" collapsed="false">
      <c r="A52" s="9" t="s">
        <v>205</v>
      </c>
      <c r="B52" s="9" t="s">
        <v>206</v>
      </c>
      <c r="C52" s="2"/>
      <c r="D52" s="14" t="n">
        <v>3</v>
      </c>
      <c r="E52" s="2"/>
      <c r="F52" s="9" t="s">
        <v>114</v>
      </c>
      <c r="G52" s="11" t="s">
        <v>207</v>
      </c>
      <c r="H52" s="2"/>
      <c r="I52" s="2"/>
      <c r="J52" s="2"/>
      <c r="K52" s="2"/>
      <c r="L52" s="2"/>
      <c r="M52" s="2"/>
    </row>
    <row r="53" customFormat="false" ht="15" hidden="false" customHeight="false" outlineLevel="0" collapsed="false">
      <c r="A53" s="9" t="s">
        <v>208</v>
      </c>
      <c r="B53" s="9" t="s">
        <v>209</v>
      </c>
      <c r="C53" s="2"/>
      <c r="D53" s="14" t="n">
        <v>60</v>
      </c>
      <c r="E53" s="2"/>
      <c r="F53" s="13" t="s">
        <v>106</v>
      </c>
      <c r="G53" s="11" t="s">
        <v>181</v>
      </c>
      <c r="H53" s="2"/>
      <c r="I53" s="2"/>
      <c r="J53" s="2"/>
      <c r="K53" s="2"/>
      <c r="L53" s="2"/>
      <c r="M53" s="2"/>
    </row>
    <row r="54" customFormat="false" ht="15" hidden="false" customHeight="false" outlineLevel="0" collapsed="false">
      <c r="A54" s="9" t="s">
        <v>210</v>
      </c>
      <c r="B54" s="9" t="s">
        <v>211</v>
      </c>
      <c r="C54" s="2"/>
      <c r="D54" s="14" t="n">
        <v>2</v>
      </c>
      <c r="E54" s="2"/>
      <c r="F54" s="13" t="s">
        <v>106</v>
      </c>
      <c r="G54" s="11" t="s">
        <v>181</v>
      </c>
      <c r="H54" s="2"/>
      <c r="I54" s="2"/>
      <c r="J54" s="2"/>
      <c r="K54" s="2"/>
      <c r="L54" s="2"/>
      <c r="M54" s="2"/>
    </row>
    <row r="55" customFormat="false" ht="15" hidden="false" customHeight="false" outlineLevel="0" collapsed="false">
      <c r="A55" s="9" t="s">
        <v>212</v>
      </c>
      <c r="B55" s="9" t="s">
        <v>213</v>
      </c>
      <c r="C55" s="2"/>
      <c r="D55" s="14" t="n">
        <v>3</v>
      </c>
      <c r="E55" s="2"/>
      <c r="F55" s="13" t="s">
        <v>106</v>
      </c>
      <c r="G55" s="11" t="s">
        <v>214</v>
      </c>
      <c r="H55" s="2"/>
      <c r="I55" s="2"/>
      <c r="J55" s="2"/>
      <c r="K55" s="2"/>
      <c r="L55" s="2"/>
      <c r="M55" s="2"/>
    </row>
    <row r="56" customFormat="false" ht="15" hidden="false" customHeight="false" outlineLevel="0" collapsed="false">
      <c r="A56" s="2"/>
      <c r="B56" s="2"/>
      <c r="C56" s="2"/>
      <c r="D56" s="2"/>
      <c r="E56" s="2"/>
      <c r="F56" s="2"/>
      <c r="G56" s="2"/>
      <c r="H56" s="2"/>
      <c r="I56" s="2"/>
      <c r="J56" s="2"/>
      <c r="K56" s="2"/>
      <c r="L56" s="2"/>
      <c r="M56" s="2"/>
    </row>
    <row r="57" customFormat="false" ht="15" hidden="false" customHeight="false" outlineLevel="0" collapsed="false">
      <c r="A57" s="5" t="s">
        <v>215</v>
      </c>
      <c r="B57" s="6"/>
      <c r="C57" s="6"/>
      <c r="D57" s="6"/>
      <c r="E57" s="6"/>
      <c r="F57" s="6"/>
      <c r="G57" s="6"/>
      <c r="H57" s="6"/>
      <c r="I57" s="6"/>
      <c r="J57" s="6"/>
      <c r="K57" s="6"/>
      <c r="L57" s="6"/>
      <c r="M57" s="6"/>
    </row>
    <row r="58" customFormat="false" ht="30" hidden="false" customHeight="true" outlineLevel="0" collapsed="false">
      <c r="A58" s="8" t="s">
        <v>216</v>
      </c>
      <c r="B58" s="17" t="s">
        <v>217</v>
      </c>
      <c r="C58" s="17" t="s">
        <v>218</v>
      </c>
      <c r="D58" s="17" t="s">
        <v>219</v>
      </c>
      <c r="E58" s="17" t="s">
        <v>220</v>
      </c>
      <c r="F58" s="17" t="s">
        <v>211</v>
      </c>
      <c r="G58" s="17" t="s">
        <v>221</v>
      </c>
      <c r="H58" s="17" t="s">
        <v>222</v>
      </c>
      <c r="I58" s="17" t="s">
        <v>223</v>
      </c>
      <c r="J58" s="17" t="s">
        <v>224</v>
      </c>
      <c r="K58" s="17" t="s">
        <v>225</v>
      </c>
      <c r="L58" s="17" t="s">
        <v>226</v>
      </c>
      <c r="M58" s="17" t="s">
        <v>227</v>
      </c>
    </row>
    <row r="59" customFormat="false" ht="15" hidden="false" customHeight="false" outlineLevel="0" collapsed="false">
      <c r="A59" s="9" t="s">
        <v>228</v>
      </c>
      <c r="B59" s="18" t="n">
        <v>1</v>
      </c>
      <c r="C59" s="18" t="n">
        <v>1</v>
      </c>
      <c r="D59" s="18" t="n">
        <v>0</v>
      </c>
      <c r="E59" s="18" t="n">
        <v>0</v>
      </c>
      <c r="F59" s="19" t="n">
        <v>0.05</v>
      </c>
      <c r="G59" s="18" t="n">
        <v>0</v>
      </c>
      <c r="H59" s="18" t="n">
        <v>0.1</v>
      </c>
      <c r="I59" s="18" t="n">
        <v>0.5</v>
      </c>
      <c r="J59" s="18" t="n">
        <v>0</v>
      </c>
      <c r="K59" s="18" t="n">
        <v>0</v>
      </c>
      <c r="L59" s="18" t="n">
        <v>2</v>
      </c>
      <c r="M59" s="18" t="n">
        <v>5</v>
      </c>
    </row>
    <row r="60" customFormat="false" ht="15" hidden="false" customHeight="false" outlineLevel="0" collapsed="false">
      <c r="A60" s="9" t="s">
        <v>229</v>
      </c>
      <c r="B60" s="18" t="n">
        <v>1</v>
      </c>
      <c r="C60" s="18" t="n">
        <v>5</v>
      </c>
      <c r="D60" s="18" t="n">
        <v>0</v>
      </c>
      <c r="E60" s="18" t="n">
        <v>0</v>
      </c>
      <c r="F60" s="19" t="n">
        <v>0.2</v>
      </c>
      <c r="G60" s="18" t="n">
        <v>0</v>
      </c>
      <c r="H60" s="18" t="n">
        <v>0.5</v>
      </c>
      <c r="I60" s="18" t="n">
        <v>2</v>
      </c>
      <c r="J60" s="18" t="n">
        <v>0</v>
      </c>
      <c r="K60" s="18" t="n">
        <v>2</v>
      </c>
      <c r="L60" s="18" t="n">
        <v>3</v>
      </c>
      <c r="M60" s="18" t="n">
        <v>10</v>
      </c>
    </row>
    <row r="61" customFormat="false" ht="15" hidden="false" customHeight="false" outlineLevel="0" collapsed="false">
      <c r="A61" s="9" t="s">
        <v>230</v>
      </c>
      <c r="B61" s="18" t="n">
        <v>1</v>
      </c>
      <c r="C61" s="18" t="n">
        <v>8</v>
      </c>
      <c r="D61" s="18" t="n">
        <v>0</v>
      </c>
      <c r="E61" s="18" t="n">
        <v>0</v>
      </c>
      <c r="F61" s="19" t="n">
        <v>0.5</v>
      </c>
      <c r="G61" s="18" t="n">
        <v>0</v>
      </c>
      <c r="H61" s="18" t="n">
        <v>1</v>
      </c>
      <c r="I61" s="18" t="n">
        <v>5</v>
      </c>
      <c r="J61" s="18" t="n">
        <v>0</v>
      </c>
      <c r="K61" s="18" t="n">
        <v>5</v>
      </c>
      <c r="L61" s="18" t="n">
        <v>5</v>
      </c>
      <c r="M61" s="18" t="n">
        <v>15</v>
      </c>
    </row>
    <row r="62" customFormat="false" ht="15" hidden="false" customHeight="false" outlineLevel="0" collapsed="false">
      <c r="A62" s="9" t="s">
        <v>231</v>
      </c>
      <c r="B62" s="18" t="n">
        <v>2</v>
      </c>
      <c r="C62" s="18" t="n">
        <v>19</v>
      </c>
      <c r="D62" s="18" t="n">
        <v>0</v>
      </c>
      <c r="E62" s="18" t="n">
        <v>0</v>
      </c>
      <c r="F62" s="19" t="n">
        <v>1</v>
      </c>
      <c r="G62" s="18" t="n">
        <v>0</v>
      </c>
      <c r="H62" s="18" t="n">
        <v>2</v>
      </c>
      <c r="I62" s="18" t="n">
        <v>10</v>
      </c>
      <c r="J62" s="18" t="n">
        <v>0</v>
      </c>
      <c r="K62" s="18" t="n">
        <v>10</v>
      </c>
      <c r="L62" s="18" t="n">
        <v>8</v>
      </c>
      <c r="M62" s="18" t="n">
        <v>32</v>
      </c>
    </row>
    <row r="63" customFormat="false" ht="15" hidden="false" customHeight="false" outlineLevel="0" collapsed="false">
      <c r="A63" s="9" t="s">
        <v>232</v>
      </c>
      <c r="B63" s="18" t="n">
        <v>1</v>
      </c>
      <c r="C63" s="18" t="n">
        <v>0</v>
      </c>
      <c r="D63" s="18" t="n">
        <v>0</v>
      </c>
      <c r="E63" s="18" t="n">
        <v>0</v>
      </c>
      <c r="F63" s="19" t="n">
        <v>1</v>
      </c>
      <c r="G63" s="18" t="n">
        <v>1</v>
      </c>
      <c r="H63" s="18" t="n">
        <v>2</v>
      </c>
      <c r="I63" s="18" t="n">
        <v>10</v>
      </c>
      <c r="J63" s="18" t="n">
        <v>0</v>
      </c>
      <c r="K63" s="18" t="n">
        <v>15</v>
      </c>
      <c r="L63" s="18" t="n">
        <v>10</v>
      </c>
      <c r="M63" s="18" t="n">
        <v>20</v>
      </c>
    </row>
    <row r="64" customFormat="false" ht="15" hidden="false" customHeight="false" outlineLevel="0" collapsed="false">
      <c r="A64" s="9" t="s">
        <v>233</v>
      </c>
      <c r="B64" s="18" t="n">
        <v>1</v>
      </c>
      <c r="C64" s="18" t="n">
        <v>0</v>
      </c>
      <c r="D64" s="18" t="n">
        <v>1</v>
      </c>
      <c r="E64" s="18" t="n">
        <v>0</v>
      </c>
      <c r="F64" s="19" t="n">
        <v>0.5</v>
      </c>
      <c r="G64" s="18" t="n">
        <v>0</v>
      </c>
      <c r="H64" s="18" t="n">
        <v>0.5</v>
      </c>
      <c r="I64" s="18" t="n">
        <v>5</v>
      </c>
      <c r="J64" s="18" t="n">
        <v>0</v>
      </c>
      <c r="K64" s="18" t="n">
        <v>0</v>
      </c>
      <c r="L64" s="18" t="n">
        <v>5</v>
      </c>
      <c r="M64" s="18" t="n">
        <v>20</v>
      </c>
    </row>
    <row r="65" customFormat="false" ht="15" hidden="false" customHeight="false" outlineLevel="0" collapsed="false">
      <c r="A65" s="9" t="s">
        <v>234</v>
      </c>
      <c r="B65" s="18" t="n">
        <v>1</v>
      </c>
      <c r="C65" s="18" t="n">
        <v>0</v>
      </c>
      <c r="D65" s="18" t="n">
        <v>0</v>
      </c>
      <c r="E65" s="18" t="n">
        <v>1</v>
      </c>
      <c r="F65" s="19" t="n">
        <v>1</v>
      </c>
      <c r="G65" s="18" t="n">
        <v>0</v>
      </c>
      <c r="H65" s="18" t="n">
        <v>1</v>
      </c>
      <c r="I65" s="18" t="n">
        <v>10</v>
      </c>
      <c r="J65" s="18" t="n">
        <v>0</v>
      </c>
      <c r="K65" s="18" t="n">
        <v>0</v>
      </c>
      <c r="L65" s="18" t="n">
        <v>8</v>
      </c>
      <c r="M65" s="18" t="n">
        <v>60</v>
      </c>
    </row>
    <row r="66" customFormat="false" ht="15" hidden="false" customHeight="false" outlineLevel="0" collapsed="false">
      <c r="A66" s="9" t="s">
        <v>235</v>
      </c>
      <c r="B66" s="18" t="n">
        <v>2</v>
      </c>
      <c r="C66" s="18" t="n">
        <v>22</v>
      </c>
      <c r="D66" s="18" t="n">
        <v>1</v>
      </c>
      <c r="E66" s="18" t="n">
        <v>1</v>
      </c>
      <c r="F66" s="19" t="n">
        <v>2</v>
      </c>
      <c r="G66" s="18" t="n">
        <v>1</v>
      </c>
      <c r="H66" s="18" t="n">
        <v>3</v>
      </c>
      <c r="I66" s="18" t="n">
        <v>20</v>
      </c>
      <c r="J66" s="18" t="n">
        <v>0</v>
      </c>
      <c r="K66" s="18" t="n">
        <v>30</v>
      </c>
      <c r="L66" s="18" t="n">
        <v>30</v>
      </c>
      <c r="M66" s="18" t="n">
        <v>160</v>
      </c>
    </row>
    <row r="67" customFormat="false" ht="15" hidden="false" customHeight="false" outlineLevel="0" collapsed="false">
      <c r="A67" s="9" t="s">
        <v>236</v>
      </c>
      <c r="B67" s="20" t="n">
        <f aca="false">Assumptions!$D$48*B$66</f>
        <v>12</v>
      </c>
      <c r="C67" s="20" t="n">
        <f aca="false">Assumptions!$D$48*C$66+Assumptions!$D$49*Assumptions!$D$52</f>
        <v>282</v>
      </c>
      <c r="D67" s="20" t="n">
        <f aca="false">Assumptions!$D$48*D$66</f>
        <v>6</v>
      </c>
      <c r="E67" s="20" t="n">
        <f aca="false">Assumptions!$D$48*E$66</f>
        <v>6</v>
      </c>
      <c r="F67" s="21" t="n">
        <f aca="false">Assumptions!$D$48*F$66+Assumptions!$D$54</f>
        <v>14</v>
      </c>
      <c r="G67" s="20" t="n">
        <f aca="false">Assumptions!$D$48*G$66</f>
        <v>6</v>
      </c>
      <c r="H67" s="20" t="n">
        <f aca="false">Assumptions!$D$48*H$66+Assumptions!$D$49*0.1</f>
        <v>23</v>
      </c>
      <c r="I67" s="20" t="n">
        <f aca="false">Assumptions!$D$48*I$66+Assumptions!$D$49*1</f>
        <v>170</v>
      </c>
      <c r="J67" s="20" t="n">
        <f aca="false">Assumptions!$D$49</f>
        <v>50</v>
      </c>
      <c r="K67" s="20" t="n">
        <f aca="false">Assumptions!$D$48*K$66+Assumptions!$D$53</f>
        <v>240</v>
      </c>
      <c r="L67" s="20" t="n">
        <f aca="false">120</f>
        <v>120</v>
      </c>
      <c r="M67" s="20" t="n">
        <f aca="false">Assumptions!$D$48*M$66+Assumptions!$D$49*Assumptions!$D$55</f>
        <v>1110</v>
      </c>
    </row>
    <row r="68" customFormat="false" ht="15" hidden="false" customHeight="false" outlineLevel="0" collapsed="false">
      <c r="A68" s="9" t="s">
        <v>237</v>
      </c>
      <c r="B68" s="20" t="n">
        <f aca="false">Assumptions!$D$50*B$66</f>
        <v>30</v>
      </c>
      <c r="C68" s="20" t="n">
        <f aca="false">Assumptions!$D$50*C$66+Assumptions!$D$51*Assumptions!$D$52</f>
        <v>930</v>
      </c>
      <c r="D68" s="20" t="n">
        <f aca="false">Assumptions!$D$50*D$66</f>
        <v>15</v>
      </c>
      <c r="E68" s="20" t="n">
        <f aca="false">Assumptions!$D$50*E$66</f>
        <v>15</v>
      </c>
      <c r="F68" s="21" t="n">
        <f aca="false">Assumptions!$D$50*F$66+Assumptions!$D$54</f>
        <v>32</v>
      </c>
      <c r="G68" s="20" t="n">
        <f aca="false">Assumptions!$D$50*G$66</f>
        <v>15</v>
      </c>
      <c r="H68" s="20" t="n">
        <f aca="false">Assumptions!$D$50*H$66+Assumptions!$D$51*0.1</f>
        <v>65</v>
      </c>
      <c r="I68" s="20" t="n">
        <f aca="false">Assumptions!$D$50*I$66+Assumptions!$D$51*1</f>
        <v>500</v>
      </c>
      <c r="J68" s="20" t="n">
        <f aca="false">Assumptions!$D$51</f>
        <v>200</v>
      </c>
      <c r="K68" s="20" t="n">
        <f aca="false">Assumptions!$D$50*K$66+Assumptions!$D$53</f>
        <v>510</v>
      </c>
      <c r="L68" s="20" t="n">
        <f aca="false">240</f>
        <v>240</v>
      </c>
      <c r="M68" s="20" t="n">
        <f aca="false">Assumptions!$D$50*M$66+Assumptions!$D$51*Assumptions!$D$55</f>
        <v>3000</v>
      </c>
    </row>
    <row r="69" customFormat="false" ht="42" hidden="false" customHeight="true" outlineLevel="0" collapsed="false">
      <c r="A69" s="7" t="s">
        <v>238</v>
      </c>
      <c r="B69" s="7"/>
      <c r="C69" s="7"/>
      <c r="D69" s="7"/>
      <c r="E69" s="7"/>
      <c r="F69" s="7"/>
      <c r="G69" s="7"/>
      <c r="H69" s="7"/>
      <c r="I69" s="7"/>
      <c r="J69" s="7"/>
      <c r="K69" s="7"/>
      <c r="L69" s="7"/>
      <c r="M69" s="7"/>
    </row>
    <row r="70" customFormat="false" ht="15" hidden="false" customHeight="false" outlineLevel="0" collapsed="false">
      <c r="A70" s="2"/>
      <c r="B70" s="2"/>
      <c r="C70" s="2"/>
      <c r="D70" s="2"/>
      <c r="E70" s="2"/>
      <c r="F70" s="2"/>
      <c r="G70" s="2"/>
      <c r="H70" s="2"/>
      <c r="I70" s="2"/>
      <c r="J70" s="2"/>
      <c r="K70" s="2"/>
      <c r="L70" s="2"/>
      <c r="M70" s="2"/>
    </row>
    <row r="71" customFormat="false" ht="15" hidden="false" customHeight="false" outlineLevel="0" collapsed="false">
      <c r="A71" s="5" t="s">
        <v>239</v>
      </c>
      <c r="B71" s="6"/>
      <c r="C71" s="6"/>
      <c r="D71" s="6"/>
      <c r="E71" s="6"/>
      <c r="F71" s="6"/>
      <c r="G71" s="6"/>
      <c r="H71" s="2"/>
      <c r="I71" s="2"/>
      <c r="J71" s="2"/>
      <c r="K71" s="2"/>
      <c r="L71" s="2"/>
      <c r="M71" s="2"/>
    </row>
    <row r="72" customFormat="false" ht="15" hidden="false" customHeight="false" outlineLevel="0" collapsed="false">
      <c r="A72" s="8" t="s">
        <v>93</v>
      </c>
      <c r="B72" s="8" t="s">
        <v>94</v>
      </c>
      <c r="C72" s="8" t="s">
        <v>95</v>
      </c>
      <c r="D72" s="8" t="s">
        <v>96</v>
      </c>
      <c r="E72" s="8" t="s">
        <v>97</v>
      </c>
      <c r="F72" s="8" t="s">
        <v>98</v>
      </c>
      <c r="G72" s="8" t="s">
        <v>99</v>
      </c>
      <c r="H72" s="2"/>
      <c r="I72" s="2"/>
      <c r="J72" s="2"/>
      <c r="K72" s="2"/>
      <c r="L72" s="2"/>
      <c r="M72" s="2"/>
    </row>
    <row r="73" customFormat="false" ht="15" hidden="false" customHeight="false" outlineLevel="0" collapsed="false">
      <c r="A73" s="9" t="s">
        <v>240</v>
      </c>
      <c r="B73" s="9" t="s">
        <v>241</v>
      </c>
      <c r="C73" s="2"/>
      <c r="D73" s="12" t="n">
        <v>149</v>
      </c>
      <c r="E73" s="2"/>
      <c r="F73" s="13" t="s">
        <v>106</v>
      </c>
      <c r="G73" s="11" t="s">
        <v>242</v>
      </c>
      <c r="H73" s="2"/>
      <c r="I73" s="2"/>
      <c r="J73" s="2"/>
      <c r="K73" s="2"/>
      <c r="L73" s="2"/>
      <c r="M73" s="2"/>
    </row>
    <row r="74" customFormat="false" ht="15" hidden="false" customHeight="false" outlineLevel="0" collapsed="false">
      <c r="A74" s="9" t="s">
        <v>243</v>
      </c>
      <c r="B74" s="9" t="s">
        <v>241</v>
      </c>
      <c r="C74" s="2"/>
      <c r="D74" s="12" t="n">
        <v>499</v>
      </c>
      <c r="E74" s="2"/>
      <c r="F74" s="13" t="s">
        <v>106</v>
      </c>
      <c r="G74" s="11" t="s">
        <v>244</v>
      </c>
      <c r="H74" s="2"/>
      <c r="I74" s="2"/>
      <c r="J74" s="2"/>
      <c r="K74" s="2"/>
      <c r="L74" s="2"/>
      <c r="M74" s="2"/>
    </row>
    <row r="75" customFormat="false" ht="15" hidden="false" customHeight="false" outlineLevel="0" collapsed="false">
      <c r="A75" s="9" t="s">
        <v>245</v>
      </c>
      <c r="B75" s="9" t="s">
        <v>241</v>
      </c>
      <c r="C75" s="2"/>
      <c r="D75" s="12" t="n">
        <v>1499</v>
      </c>
      <c r="E75" s="2"/>
      <c r="F75" s="13" t="s">
        <v>106</v>
      </c>
      <c r="G75" s="11" t="s">
        <v>246</v>
      </c>
      <c r="H75" s="2"/>
      <c r="I75" s="2"/>
      <c r="J75" s="2"/>
      <c r="K75" s="2"/>
      <c r="L75" s="2"/>
      <c r="M75" s="2"/>
    </row>
    <row r="76" customFormat="false" ht="15" hidden="false" customHeight="false" outlineLevel="0" collapsed="false">
      <c r="A76" s="9" t="s">
        <v>247</v>
      </c>
      <c r="B76" s="9" t="s">
        <v>241</v>
      </c>
      <c r="C76" s="2"/>
      <c r="D76" s="12" t="n">
        <v>5000</v>
      </c>
      <c r="E76" s="2"/>
      <c r="F76" s="13" t="s">
        <v>106</v>
      </c>
      <c r="G76" s="11" t="s">
        <v>248</v>
      </c>
      <c r="H76" s="2"/>
      <c r="I76" s="2"/>
      <c r="J76" s="2"/>
      <c r="K76" s="2"/>
      <c r="L76" s="2"/>
      <c r="M76" s="2"/>
    </row>
    <row r="77" customFormat="false" ht="15" hidden="false" customHeight="false" outlineLevel="0" collapsed="false">
      <c r="A77" s="9" t="s">
        <v>249</v>
      </c>
      <c r="B77" s="9" t="s">
        <v>241</v>
      </c>
      <c r="C77" s="2"/>
      <c r="D77" s="12" t="n">
        <v>3000</v>
      </c>
      <c r="E77" s="2"/>
      <c r="F77" s="13" t="s">
        <v>106</v>
      </c>
      <c r="G77" s="11" t="s">
        <v>250</v>
      </c>
      <c r="H77" s="2"/>
      <c r="I77" s="2"/>
      <c r="J77" s="2"/>
      <c r="K77" s="2"/>
      <c r="L77" s="2"/>
      <c r="M77" s="2"/>
    </row>
    <row r="78" customFormat="false" ht="15" hidden="false" customHeight="false" outlineLevel="0" collapsed="false">
      <c r="A78" s="9" t="s">
        <v>251</v>
      </c>
      <c r="B78" s="9" t="s">
        <v>241</v>
      </c>
      <c r="C78" s="2"/>
      <c r="D78" s="12" t="n">
        <v>10000</v>
      </c>
      <c r="E78" s="2"/>
      <c r="F78" s="13" t="s">
        <v>106</v>
      </c>
      <c r="G78" s="11" t="s">
        <v>250</v>
      </c>
      <c r="H78" s="2"/>
      <c r="I78" s="2"/>
      <c r="J78" s="2"/>
      <c r="K78" s="2"/>
      <c r="L78" s="2"/>
      <c r="M78" s="2"/>
    </row>
    <row r="79" customFormat="false" ht="15" hidden="false" customHeight="false" outlineLevel="0" collapsed="false">
      <c r="A79" s="9" t="s">
        <v>252</v>
      </c>
      <c r="B79" s="9" t="s">
        <v>253</v>
      </c>
      <c r="C79" s="2"/>
      <c r="D79" s="22" t="n">
        <v>4</v>
      </c>
      <c r="E79" s="2"/>
      <c r="F79" s="13" t="s">
        <v>106</v>
      </c>
      <c r="G79" s="11" t="s">
        <v>254</v>
      </c>
      <c r="H79" s="2"/>
      <c r="I79" s="2"/>
      <c r="J79" s="2"/>
      <c r="K79" s="2"/>
      <c r="L79" s="2"/>
      <c r="M79" s="2"/>
    </row>
    <row r="80" customFormat="false" ht="15" hidden="false" customHeight="false" outlineLevel="0" collapsed="false">
      <c r="A80" s="9" t="s">
        <v>255</v>
      </c>
      <c r="B80" s="9" t="s">
        <v>253</v>
      </c>
      <c r="C80" s="2"/>
      <c r="D80" s="22" t="n">
        <v>3.5</v>
      </c>
      <c r="E80" s="2"/>
      <c r="F80" s="13" t="s">
        <v>106</v>
      </c>
      <c r="G80" s="11"/>
      <c r="H80" s="2"/>
      <c r="I80" s="2"/>
      <c r="J80" s="2"/>
      <c r="K80" s="2"/>
      <c r="L80" s="2"/>
      <c r="M80" s="2"/>
    </row>
    <row r="81" customFormat="false" ht="15" hidden="false" customHeight="false" outlineLevel="0" collapsed="false">
      <c r="A81" s="9" t="s">
        <v>256</v>
      </c>
      <c r="B81" s="9" t="s">
        <v>253</v>
      </c>
      <c r="C81" s="2"/>
      <c r="D81" s="22" t="n">
        <v>3</v>
      </c>
      <c r="E81" s="2"/>
      <c r="F81" s="13" t="s">
        <v>106</v>
      </c>
      <c r="G81" s="11"/>
      <c r="H81" s="2"/>
      <c r="I81" s="2"/>
      <c r="J81" s="2"/>
      <c r="K81" s="2"/>
      <c r="L81" s="2"/>
      <c r="M81" s="2"/>
    </row>
    <row r="82" customFormat="false" ht="15" hidden="false" customHeight="false" outlineLevel="0" collapsed="false">
      <c r="A82" s="9" t="s">
        <v>257</v>
      </c>
      <c r="B82" s="9" t="s">
        <v>253</v>
      </c>
      <c r="C82" s="2"/>
      <c r="D82" s="22" t="n">
        <v>2.5</v>
      </c>
      <c r="E82" s="2"/>
      <c r="F82" s="13" t="s">
        <v>106</v>
      </c>
      <c r="G82" s="11"/>
      <c r="H82" s="2"/>
      <c r="I82" s="2"/>
      <c r="J82" s="2"/>
      <c r="K82" s="2"/>
      <c r="L82" s="2"/>
      <c r="M82" s="2"/>
    </row>
    <row r="83" customFormat="false" ht="15" hidden="false" customHeight="false" outlineLevel="0" collapsed="false">
      <c r="A83" s="9" t="s">
        <v>258</v>
      </c>
      <c r="B83" s="9" t="s">
        <v>259</v>
      </c>
      <c r="C83" s="2"/>
      <c r="D83" s="12" t="n">
        <v>0</v>
      </c>
      <c r="E83" s="2"/>
      <c r="F83" s="13" t="s">
        <v>106</v>
      </c>
      <c r="G83" s="11" t="s">
        <v>260</v>
      </c>
      <c r="H83" s="2"/>
      <c r="I83" s="2"/>
      <c r="J83" s="2"/>
      <c r="K83" s="2"/>
      <c r="L83" s="2"/>
      <c r="M83" s="2"/>
    </row>
    <row r="84" customFormat="false" ht="15" hidden="false" customHeight="false" outlineLevel="0" collapsed="false">
      <c r="A84" s="9" t="s">
        <v>261</v>
      </c>
      <c r="B84" s="9" t="s">
        <v>259</v>
      </c>
      <c r="C84" s="2"/>
      <c r="D84" s="12" t="n">
        <v>500</v>
      </c>
      <c r="E84" s="2"/>
      <c r="F84" s="13" t="s">
        <v>106</v>
      </c>
      <c r="G84" s="11"/>
      <c r="H84" s="2"/>
      <c r="I84" s="2"/>
      <c r="J84" s="2"/>
      <c r="K84" s="2"/>
      <c r="L84" s="2"/>
      <c r="M84" s="2"/>
    </row>
    <row r="85" customFormat="false" ht="15" hidden="false" customHeight="false" outlineLevel="0" collapsed="false">
      <c r="A85" s="9" t="s">
        <v>262</v>
      </c>
      <c r="B85" s="9" t="s">
        <v>259</v>
      </c>
      <c r="C85" s="2"/>
      <c r="D85" s="12" t="n">
        <v>1500</v>
      </c>
      <c r="E85" s="2"/>
      <c r="F85" s="13" t="s">
        <v>106</v>
      </c>
      <c r="G85" s="11" t="s">
        <v>263</v>
      </c>
      <c r="H85" s="2"/>
      <c r="I85" s="2"/>
      <c r="J85" s="2"/>
      <c r="K85" s="2"/>
      <c r="L85" s="2"/>
      <c r="M85" s="2"/>
    </row>
    <row r="86" customFormat="false" ht="15" hidden="false" customHeight="false" outlineLevel="0" collapsed="false">
      <c r="A86" s="9" t="s">
        <v>264</v>
      </c>
      <c r="B86" s="9" t="s">
        <v>259</v>
      </c>
      <c r="C86" s="2"/>
      <c r="D86" s="12" t="n">
        <v>7500</v>
      </c>
      <c r="E86" s="2"/>
      <c r="F86" s="13" t="s">
        <v>106</v>
      </c>
      <c r="G86" s="11" t="s">
        <v>265</v>
      </c>
      <c r="H86" s="2"/>
      <c r="I86" s="2"/>
      <c r="J86" s="2"/>
      <c r="K86" s="2"/>
      <c r="L86" s="2"/>
      <c r="M86" s="2"/>
    </row>
    <row r="87" customFormat="false" ht="15" hidden="false" customHeight="false" outlineLevel="0" collapsed="false">
      <c r="A87" s="9" t="s">
        <v>266</v>
      </c>
      <c r="B87" s="9" t="s">
        <v>267</v>
      </c>
      <c r="C87" s="2"/>
      <c r="D87" s="12" t="n">
        <v>350</v>
      </c>
      <c r="E87" s="2"/>
      <c r="F87" s="13" t="s">
        <v>106</v>
      </c>
      <c r="G87" s="11" t="s">
        <v>268</v>
      </c>
      <c r="H87" s="2"/>
      <c r="I87" s="2"/>
      <c r="J87" s="2"/>
      <c r="K87" s="2"/>
      <c r="L87" s="2"/>
      <c r="M87" s="2"/>
    </row>
    <row r="88" customFormat="false" ht="15" hidden="false" customHeight="false" outlineLevel="0" collapsed="false">
      <c r="A88" s="9" t="s">
        <v>269</v>
      </c>
      <c r="B88" s="9" t="s">
        <v>270</v>
      </c>
      <c r="C88" s="2"/>
      <c r="D88" s="14" t="n">
        <v>1</v>
      </c>
      <c r="E88" s="2"/>
      <c r="F88" s="13" t="s">
        <v>106</v>
      </c>
      <c r="G88" s="11"/>
      <c r="H88" s="2"/>
      <c r="I88" s="2"/>
      <c r="J88" s="2"/>
      <c r="K88" s="2"/>
      <c r="L88" s="2"/>
      <c r="M88" s="2"/>
    </row>
    <row r="89" customFormat="false" ht="15" hidden="false" customHeight="false" outlineLevel="0" collapsed="false">
      <c r="A89" s="9" t="s">
        <v>271</v>
      </c>
      <c r="B89" s="9" t="s">
        <v>270</v>
      </c>
      <c r="C89" s="2"/>
      <c r="D89" s="14" t="n">
        <v>5</v>
      </c>
      <c r="E89" s="2"/>
      <c r="F89" s="13" t="s">
        <v>106</v>
      </c>
      <c r="G89" s="11"/>
      <c r="H89" s="2"/>
      <c r="I89" s="2"/>
      <c r="J89" s="2"/>
      <c r="K89" s="2"/>
      <c r="L89" s="2"/>
      <c r="M89" s="2"/>
    </row>
    <row r="90" customFormat="false" ht="15" hidden="false" customHeight="false" outlineLevel="0" collapsed="false">
      <c r="A90" s="9" t="s">
        <v>272</v>
      </c>
      <c r="B90" s="9" t="s">
        <v>270</v>
      </c>
      <c r="C90" s="2"/>
      <c r="D90" s="14" t="n">
        <v>15</v>
      </c>
      <c r="E90" s="2"/>
      <c r="F90" s="13" t="s">
        <v>106</v>
      </c>
      <c r="G90" s="11"/>
      <c r="H90" s="2"/>
      <c r="I90" s="2"/>
      <c r="J90" s="2"/>
      <c r="K90" s="2"/>
      <c r="L90" s="2"/>
      <c r="M90" s="2"/>
    </row>
    <row r="91" customFormat="false" ht="15" hidden="false" customHeight="false" outlineLevel="0" collapsed="false">
      <c r="A91" s="9" t="s">
        <v>273</v>
      </c>
      <c r="B91" s="9" t="s">
        <v>270</v>
      </c>
      <c r="C91" s="2"/>
      <c r="D91" s="14" t="n">
        <v>50</v>
      </c>
      <c r="E91" s="2"/>
      <c r="F91" s="13" t="s">
        <v>106</v>
      </c>
      <c r="G91" s="11"/>
      <c r="H91" s="2"/>
      <c r="I91" s="2"/>
      <c r="J91" s="2"/>
      <c r="K91" s="2"/>
      <c r="L91" s="2"/>
      <c r="M91" s="2"/>
    </row>
    <row r="92" customFormat="false" ht="15" hidden="false" customHeight="false" outlineLevel="0" collapsed="false">
      <c r="A92" s="9" t="s">
        <v>274</v>
      </c>
      <c r="B92" s="9" t="s">
        <v>275</v>
      </c>
      <c r="C92" s="2"/>
      <c r="D92" s="14" t="n">
        <v>0</v>
      </c>
      <c r="E92" s="2"/>
      <c r="F92" s="13" t="s">
        <v>106</v>
      </c>
      <c r="G92" s="11"/>
      <c r="H92" s="2"/>
      <c r="I92" s="2"/>
      <c r="J92" s="2"/>
      <c r="K92" s="2"/>
      <c r="L92" s="2"/>
      <c r="M92" s="2"/>
    </row>
    <row r="93" customFormat="false" ht="15" hidden="false" customHeight="false" outlineLevel="0" collapsed="false">
      <c r="A93" s="9" t="s">
        <v>276</v>
      </c>
      <c r="B93" s="9" t="s">
        <v>275</v>
      </c>
      <c r="C93" s="2"/>
      <c r="D93" s="14" t="n">
        <v>0</v>
      </c>
      <c r="E93" s="2"/>
      <c r="F93" s="13" t="s">
        <v>106</v>
      </c>
      <c r="G93" s="11"/>
      <c r="H93" s="2"/>
      <c r="I93" s="2"/>
      <c r="J93" s="2"/>
      <c r="K93" s="2"/>
      <c r="L93" s="2"/>
      <c r="M93" s="2"/>
    </row>
    <row r="94" customFormat="false" ht="15" hidden="false" customHeight="false" outlineLevel="0" collapsed="false">
      <c r="A94" s="9" t="s">
        <v>277</v>
      </c>
      <c r="B94" s="9" t="s">
        <v>275</v>
      </c>
      <c r="C94" s="2"/>
      <c r="D94" s="14" t="n">
        <v>0</v>
      </c>
      <c r="E94" s="2"/>
      <c r="F94" s="13" t="s">
        <v>106</v>
      </c>
      <c r="G94" s="11"/>
      <c r="H94" s="2"/>
      <c r="I94" s="2"/>
      <c r="J94" s="2"/>
      <c r="K94" s="2"/>
      <c r="L94" s="2"/>
      <c r="M94" s="2"/>
    </row>
    <row r="95" customFormat="false" ht="15" hidden="false" customHeight="false" outlineLevel="0" collapsed="false">
      <c r="A95" s="9" t="s">
        <v>278</v>
      </c>
      <c r="B95" s="9" t="s">
        <v>275</v>
      </c>
      <c r="C95" s="2"/>
      <c r="D95" s="14" t="n">
        <v>1</v>
      </c>
      <c r="E95" s="2"/>
      <c r="F95" s="13" t="s">
        <v>106</v>
      </c>
      <c r="G95" s="11" t="s">
        <v>279</v>
      </c>
      <c r="H95" s="2"/>
      <c r="I95" s="2"/>
      <c r="J95" s="2"/>
      <c r="K95" s="2"/>
      <c r="L95" s="2"/>
      <c r="M95" s="2"/>
    </row>
    <row r="96" customFormat="false" ht="15" hidden="false" customHeight="false" outlineLevel="0" collapsed="false">
      <c r="A96" s="9" t="s">
        <v>280</v>
      </c>
      <c r="B96" s="9" t="s">
        <v>281</v>
      </c>
      <c r="C96" s="2"/>
      <c r="D96" s="23" t="n">
        <v>125</v>
      </c>
      <c r="E96" s="2"/>
      <c r="F96" s="9" t="s">
        <v>102</v>
      </c>
      <c r="G96" s="11" t="s">
        <v>47</v>
      </c>
      <c r="H96" s="2"/>
      <c r="I96" s="2"/>
      <c r="J96" s="2"/>
      <c r="K96" s="2"/>
      <c r="L96" s="2"/>
      <c r="M96" s="2"/>
    </row>
    <row r="97" customFormat="false" ht="15" hidden="false" customHeight="false" outlineLevel="0" collapsed="false">
      <c r="A97" s="9" t="s">
        <v>282</v>
      </c>
      <c r="B97" s="9" t="s">
        <v>165</v>
      </c>
      <c r="C97" s="2"/>
      <c r="D97" s="16" t="n">
        <v>0.022</v>
      </c>
      <c r="E97" s="2"/>
      <c r="F97" s="9" t="s">
        <v>102</v>
      </c>
      <c r="G97" s="11" t="s">
        <v>283</v>
      </c>
      <c r="H97" s="2"/>
      <c r="I97" s="2"/>
      <c r="J97" s="2"/>
      <c r="K97" s="2"/>
      <c r="L97" s="2"/>
      <c r="M97" s="2"/>
    </row>
    <row r="98" customFormat="false" ht="15" hidden="false" customHeight="false" outlineLevel="0" collapsed="false">
      <c r="A98" s="9" t="s">
        <v>284</v>
      </c>
      <c r="B98" s="9" t="s">
        <v>165</v>
      </c>
      <c r="C98" s="2"/>
      <c r="D98" s="16" t="n">
        <v>0.022</v>
      </c>
      <c r="E98" s="2"/>
      <c r="F98" s="9" t="s">
        <v>102</v>
      </c>
      <c r="G98" s="11" t="s">
        <v>285</v>
      </c>
      <c r="H98" s="2"/>
      <c r="I98" s="2"/>
      <c r="J98" s="2"/>
      <c r="K98" s="2"/>
      <c r="L98" s="2"/>
      <c r="M98" s="2"/>
    </row>
    <row r="99" customFormat="false" ht="15" hidden="false" customHeight="false" outlineLevel="0" collapsed="false">
      <c r="A99" s="9" t="s">
        <v>286</v>
      </c>
      <c r="B99" s="9" t="s">
        <v>165</v>
      </c>
      <c r="C99" s="2"/>
      <c r="D99" s="16" t="n">
        <v>0.011</v>
      </c>
      <c r="E99" s="2"/>
      <c r="F99" s="9" t="s">
        <v>102</v>
      </c>
      <c r="G99" s="11" t="s">
        <v>287</v>
      </c>
      <c r="H99" s="2"/>
      <c r="I99" s="2"/>
      <c r="J99" s="2"/>
      <c r="K99" s="2"/>
      <c r="L99" s="2"/>
      <c r="M99" s="2"/>
    </row>
    <row r="100" customFormat="false" ht="15" hidden="false" customHeight="false" outlineLevel="0" collapsed="false">
      <c r="A100" s="9" t="s">
        <v>288</v>
      </c>
      <c r="B100" s="9" t="s">
        <v>165</v>
      </c>
      <c r="C100" s="2"/>
      <c r="D100" s="16" t="n">
        <v>0.011</v>
      </c>
      <c r="E100" s="2"/>
      <c r="F100" s="9" t="s">
        <v>102</v>
      </c>
      <c r="G100" s="11" t="s">
        <v>289</v>
      </c>
      <c r="H100" s="2"/>
      <c r="I100" s="2"/>
      <c r="J100" s="2"/>
      <c r="K100" s="2"/>
      <c r="L100" s="2"/>
      <c r="M100" s="2"/>
    </row>
    <row r="101" customFormat="false" ht="15" hidden="false" customHeight="false" outlineLevel="0" collapsed="false">
      <c r="A101" s="9" t="s">
        <v>290</v>
      </c>
      <c r="B101" s="9" t="s">
        <v>291</v>
      </c>
      <c r="C101" s="2"/>
      <c r="D101" s="22" t="n">
        <v>0.2</v>
      </c>
      <c r="E101" s="2"/>
      <c r="F101" s="9" t="s">
        <v>102</v>
      </c>
      <c r="G101" s="11" t="s">
        <v>292</v>
      </c>
      <c r="H101" s="2"/>
      <c r="I101" s="2"/>
      <c r="J101" s="2"/>
      <c r="K101" s="2"/>
      <c r="L101" s="2"/>
      <c r="M101" s="2"/>
    </row>
    <row r="102" customFormat="false" ht="15" hidden="false" customHeight="false" outlineLevel="0" collapsed="false">
      <c r="A102" s="9" t="s">
        <v>293</v>
      </c>
      <c r="B102" s="9" t="s">
        <v>291</v>
      </c>
      <c r="C102" s="2"/>
      <c r="D102" s="22" t="n">
        <v>0.2</v>
      </c>
      <c r="E102" s="2"/>
      <c r="F102" s="9" t="s">
        <v>102</v>
      </c>
      <c r="G102" s="11" t="s">
        <v>294</v>
      </c>
      <c r="H102" s="2"/>
      <c r="I102" s="2"/>
      <c r="J102" s="2"/>
      <c r="K102" s="2"/>
      <c r="L102" s="2"/>
      <c r="M102" s="2"/>
    </row>
    <row r="103" customFormat="false" ht="15" hidden="false" customHeight="false" outlineLevel="0" collapsed="false">
      <c r="A103" s="9" t="s">
        <v>295</v>
      </c>
      <c r="B103" s="9" t="s">
        <v>291</v>
      </c>
      <c r="C103" s="2"/>
      <c r="D103" s="22" t="n">
        <v>4</v>
      </c>
      <c r="E103" s="2"/>
      <c r="F103" s="9" t="s">
        <v>102</v>
      </c>
      <c r="G103" s="11" t="s">
        <v>296</v>
      </c>
      <c r="H103" s="2"/>
      <c r="I103" s="2"/>
      <c r="J103" s="2"/>
      <c r="K103" s="2"/>
      <c r="L103" s="2"/>
      <c r="M103" s="2"/>
    </row>
    <row r="104" customFormat="false" ht="15" hidden="false" customHeight="false" outlineLevel="0" collapsed="false">
      <c r="A104" s="9" t="s">
        <v>297</v>
      </c>
      <c r="B104" s="9" t="s">
        <v>291</v>
      </c>
      <c r="C104" s="2"/>
      <c r="D104" s="22" t="n">
        <v>4</v>
      </c>
      <c r="E104" s="2"/>
      <c r="F104" s="9" t="s">
        <v>102</v>
      </c>
      <c r="G104" s="11" t="s">
        <v>298</v>
      </c>
      <c r="H104" s="2"/>
      <c r="I104" s="2"/>
      <c r="J104" s="2"/>
      <c r="K104" s="2"/>
      <c r="L104" s="2"/>
      <c r="M104" s="2"/>
    </row>
    <row r="105" customFormat="false" ht="15" hidden="false" customHeight="false" outlineLevel="0" collapsed="false">
      <c r="A105" s="9" t="s">
        <v>299</v>
      </c>
      <c r="B105" s="9" t="s">
        <v>300</v>
      </c>
      <c r="C105" s="2"/>
      <c r="D105" s="14" t="n">
        <v>0.5</v>
      </c>
      <c r="E105" s="2"/>
      <c r="F105" s="13" t="s">
        <v>106</v>
      </c>
      <c r="G105" s="11"/>
      <c r="H105" s="2"/>
      <c r="I105" s="2"/>
      <c r="J105" s="2"/>
      <c r="K105" s="2"/>
      <c r="L105" s="2"/>
      <c r="M105" s="2"/>
    </row>
    <row r="106" customFormat="false" ht="15" hidden="false" customHeight="false" outlineLevel="0" collapsed="false">
      <c r="A106" s="9" t="s">
        <v>301</v>
      </c>
      <c r="B106" s="9" t="s">
        <v>300</v>
      </c>
      <c r="C106" s="2"/>
      <c r="D106" s="14" t="n">
        <v>3</v>
      </c>
      <c r="E106" s="2"/>
      <c r="F106" s="13" t="s">
        <v>106</v>
      </c>
      <c r="G106" s="11"/>
      <c r="H106" s="2"/>
      <c r="I106" s="2"/>
      <c r="J106" s="2"/>
      <c r="K106" s="2"/>
      <c r="L106" s="2"/>
      <c r="M106" s="2"/>
    </row>
    <row r="107" customFormat="false" ht="15" hidden="false" customHeight="false" outlineLevel="0" collapsed="false">
      <c r="A107" s="9" t="s">
        <v>302</v>
      </c>
      <c r="B107" s="9" t="s">
        <v>300</v>
      </c>
      <c r="C107" s="2"/>
      <c r="D107" s="14" t="n">
        <v>8</v>
      </c>
      <c r="E107" s="2"/>
      <c r="F107" s="13" t="s">
        <v>106</v>
      </c>
      <c r="G107" s="11"/>
      <c r="H107" s="2"/>
      <c r="I107" s="2"/>
      <c r="J107" s="2"/>
      <c r="K107" s="2"/>
      <c r="L107" s="2"/>
      <c r="M107" s="2"/>
    </row>
    <row r="108" customFormat="false" ht="15" hidden="false" customHeight="false" outlineLevel="0" collapsed="false">
      <c r="A108" s="9" t="s">
        <v>303</v>
      </c>
      <c r="B108" s="9" t="s">
        <v>300</v>
      </c>
      <c r="C108" s="2"/>
      <c r="D108" s="14" t="n">
        <v>30</v>
      </c>
      <c r="E108" s="2"/>
      <c r="F108" s="13" t="s">
        <v>106</v>
      </c>
      <c r="G108" s="11"/>
      <c r="H108" s="2"/>
      <c r="I108" s="2"/>
      <c r="J108" s="2"/>
      <c r="K108" s="2"/>
      <c r="L108" s="2"/>
      <c r="M108" s="2"/>
    </row>
    <row r="109" customFormat="false" ht="15" hidden="false" customHeight="false" outlineLevel="0" collapsed="false">
      <c r="A109" s="9" t="s">
        <v>304</v>
      </c>
      <c r="B109" s="9" t="s">
        <v>305</v>
      </c>
      <c r="C109" s="2"/>
      <c r="D109" s="12" t="n">
        <v>35</v>
      </c>
      <c r="E109" s="2"/>
      <c r="F109" s="13" t="s">
        <v>106</v>
      </c>
      <c r="G109" s="11" t="s">
        <v>306</v>
      </c>
      <c r="H109" s="2"/>
      <c r="I109" s="2"/>
      <c r="J109" s="2"/>
      <c r="K109" s="2"/>
      <c r="L109" s="2"/>
      <c r="M109" s="2"/>
    </row>
    <row r="110" customFormat="false" ht="15" hidden="false" customHeight="false" outlineLevel="0" collapsed="false">
      <c r="A110" s="2"/>
      <c r="B110" s="2"/>
      <c r="C110" s="2"/>
      <c r="D110" s="2"/>
      <c r="E110" s="2"/>
      <c r="F110" s="2"/>
      <c r="G110" s="2"/>
      <c r="H110" s="2"/>
      <c r="I110" s="2"/>
      <c r="J110" s="2"/>
      <c r="K110" s="2"/>
      <c r="L110" s="2"/>
      <c r="M110" s="2"/>
    </row>
    <row r="111" customFormat="false" ht="15" hidden="false" customHeight="false" outlineLevel="0" collapsed="false">
      <c r="A111" s="5" t="s">
        <v>307</v>
      </c>
      <c r="B111" s="6"/>
      <c r="C111" s="6"/>
      <c r="D111" s="6"/>
      <c r="E111" s="6"/>
      <c r="F111" s="6"/>
      <c r="G111" s="6"/>
      <c r="H111" s="6"/>
      <c r="I111" s="6"/>
      <c r="J111" s="6"/>
      <c r="K111" s="6"/>
      <c r="L111" s="2"/>
      <c r="M111" s="2"/>
    </row>
    <row r="112" customFormat="false" ht="15" hidden="false" customHeight="false" outlineLevel="0" collapsed="false">
      <c r="A112" s="8" t="s">
        <v>308</v>
      </c>
      <c r="B112" s="8" t="s">
        <v>309</v>
      </c>
      <c r="C112" s="8" t="s">
        <v>310</v>
      </c>
      <c r="D112" s="8" t="s">
        <v>311</v>
      </c>
      <c r="E112" s="8" t="s">
        <v>312</v>
      </c>
      <c r="F112" s="8" t="s">
        <v>313</v>
      </c>
      <c r="G112" s="8" t="s">
        <v>314</v>
      </c>
      <c r="H112" s="8" t="s">
        <v>315</v>
      </c>
      <c r="I112" s="8" t="s">
        <v>316</v>
      </c>
      <c r="J112" s="8" t="s">
        <v>317</v>
      </c>
      <c r="K112" s="8" t="s">
        <v>318</v>
      </c>
      <c r="L112" s="2"/>
      <c r="M112" s="2"/>
    </row>
    <row r="113" customFormat="false" ht="15" hidden="false" customHeight="false" outlineLevel="0" collapsed="false">
      <c r="A113" s="9" t="s">
        <v>319</v>
      </c>
      <c r="B113" s="14" t="n">
        <v>1</v>
      </c>
      <c r="C113" s="14" t="n">
        <v>0</v>
      </c>
      <c r="D113" s="14" t="n">
        <v>1</v>
      </c>
      <c r="E113" s="14" t="n">
        <v>1</v>
      </c>
      <c r="F113" s="14" t="n">
        <v>0</v>
      </c>
      <c r="G113" s="14" t="n">
        <v>0</v>
      </c>
      <c r="H113" s="14" t="n">
        <v>0</v>
      </c>
      <c r="I113" s="14" t="n">
        <v>0</v>
      </c>
      <c r="J113" s="14" t="n">
        <v>0</v>
      </c>
      <c r="K113" s="14" t="n">
        <v>0</v>
      </c>
      <c r="L113" s="2"/>
      <c r="M113" s="2"/>
    </row>
    <row r="114" customFormat="false" ht="15" hidden="false" customHeight="false" outlineLevel="0" collapsed="false">
      <c r="A114" s="9" t="s">
        <v>320</v>
      </c>
      <c r="B114" s="14" t="n">
        <v>0</v>
      </c>
      <c r="C114" s="14" t="n">
        <v>2</v>
      </c>
      <c r="D114" s="14" t="n">
        <v>4</v>
      </c>
      <c r="E114" s="14" t="n">
        <v>2</v>
      </c>
      <c r="F114" s="14" t="n">
        <v>1</v>
      </c>
      <c r="G114" s="14" t="n">
        <v>2</v>
      </c>
      <c r="H114" s="14" t="n">
        <v>0</v>
      </c>
      <c r="I114" s="14" t="n">
        <v>0</v>
      </c>
      <c r="J114" s="14" t="n">
        <v>0</v>
      </c>
      <c r="K114" s="14" t="n">
        <v>0</v>
      </c>
      <c r="L114" s="2"/>
      <c r="M114" s="2"/>
    </row>
    <row r="115" customFormat="false" ht="15" hidden="false" customHeight="false" outlineLevel="0" collapsed="false">
      <c r="A115" s="9" t="s">
        <v>321</v>
      </c>
      <c r="B115" s="14" t="n">
        <v>0</v>
      </c>
      <c r="C115" s="14" t="n">
        <v>0</v>
      </c>
      <c r="D115" s="14" t="n">
        <v>0</v>
      </c>
      <c r="E115" s="14" t="n">
        <v>2</v>
      </c>
      <c r="F115" s="14" t="n">
        <v>3</v>
      </c>
      <c r="G115" s="14" t="n">
        <v>0</v>
      </c>
      <c r="H115" s="14" t="n">
        <v>0</v>
      </c>
      <c r="I115" s="14" t="n">
        <v>2</v>
      </c>
      <c r="J115" s="14" t="n">
        <v>0</v>
      </c>
      <c r="K115" s="14" t="n">
        <v>0</v>
      </c>
      <c r="L115" s="2"/>
      <c r="M115" s="2"/>
    </row>
    <row r="116" customFormat="false" ht="15" hidden="false" customHeight="false" outlineLevel="0" collapsed="false">
      <c r="A116" s="9" t="s">
        <v>322</v>
      </c>
      <c r="B116" s="14" t="n">
        <v>0</v>
      </c>
      <c r="C116" s="14" t="n">
        <v>0</v>
      </c>
      <c r="D116" s="14" t="n">
        <v>0</v>
      </c>
      <c r="E116" s="14" t="n">
        <v>2</v>
      </c>
      <c r="F116" s="14" t="n">
        <v>6</v>
      </c>
      <c r="G116" s="14" t="n">
        <v>2</v>
      </c>
      <c r="H116" s="14" t="n">
        <v>1</v>
      </c>
      <c r="I116" s="14" t="n">
        <v>3</v>
      </c>
      <c r="J116" s="14" t="n">
        <v>1</v>
      </c>
      <c r="K116" s="14" t="n">
        <v>0</v>
      </c>
      <c r="L116" s="2"/>
      <c r="M116" s="2"/>
    </row>
    <row r="117" customFormat="false" ht="42" hidden="false" customHeight="true" outlineLevel="0" collapsed="false">
      <c r="A117" s="7" t="s">
        <v>323</v>
      </c>
      <c r="B117" s="7"/>
      <c r="C117" s="7"/>
      <c r="D117" s="7"/>
      <c r="E117" s="7"/>
      <c r="F117" s="7"/>
      <c r="G117" s="7"/>
      <c r="H117" s="7"/>
      <c r="I117" s="7"/>
      <c r="J117" s="7"/>
      <c r="K117" s="7"/>
      <c r="L117" s="2"/>
      <c r="M117" s="2"/>
    </row>
    <row r="118" customFormat="false" ht="15" hidden="false" customHeight="false" outlineLevel="0" collapsed="false">
      <c r="A118" s="2"/>
      <c r="B118" s="2"/>
      <c r="C118" s="2"/>
      <c r="D118" s="2"/>
      <c r="E118" s="2"/>
      <c r="F118" s="2"/>
      <c r="G118" s="2"/>
      <c r="H118" s="2"/>
      <c r="I118" s="2"/>
      <c r="J118" s="2"/>
      <c r="K118" s="2"/>
      <c r="L118" s="2"/>
      <c r="M118" s="2"/>
    </row>
    <row r="119" customFormat="false" ht="15" hidden="false" customHeight="false" outlineLevel="0" collapsed="false">
      <c r="A119" s="5" t="s">
        <v>324</v>
      </c>
      <c r="B119" s="6"/>
      <c r="C119" s="6"/>
      <c r="D119" s="6"/>
      <c r="E119" s="6"/>
      <c r="F119" s="6"/>
      <c r="G119" s="6"/>
      <c r="H119" s="2"/>
      <c r="I119" s="2"/>
      <c r="J119" s="2"/>
      <c r="K119" s="2"/>
      <c r="L119" s="2"/>
      <c r="M119" s="2"/>
    </row>
    <row r="120" customFormat="false" ht="15" hidden="false" customHeight="false" outlineLevel="0" collapsed="false">
      <c r="A120" s="8" t="s">
        <v>93</v>
      </c>
      <c r="B120" s="8" t="s">
        <v>94</v>
      </c>
      <c r="C120" s="8" t="s">
        <v>95</v>
      </c>
      <c r="D120" s="8" t="s">
        <v>96</v>
      </c>
      <c r="E120" s="8" t="s">
        <v>97</v>
      </c>
      <c r="F120" s="8" t="s">
        <v>98</v>
      </c>
      <c r="G120" s="8" t="s">
        <v>99</v>
      </c>
      <c r="H120" s="2"/>
      <c r="I120" s="2"/>
      <c r="J120" s="2"/>
      <c r="K120" s="2"/>
      <c r="L120" s="2"/>
      <c r="M120" s="2"/>
    </row>
    <row r="121" customFormat="false" ht="15" hidden="false" customHeight="false" outlineLevel="0" collapsed="false">
      <c r="A121" s="9" t="s">
        <v>325</v>
      </c>
      <c r="B121" s="9" t="s">
        <v>326</v>
      </c>
      <c r="C121" s="14" t="n">
        <v>3</v>
      </c>
      <c r="D121" s="14" t="n">
        <v>2</v>
      </c>
      <c r="E121" s="14" t="n">
        <v>2</v>
      </c>
      <c r="F121" s="13" t="s">
        <v>106</v>
      </c>
      <c r="G121" s="11" t="s">
        <v>327</v>
      </c>
      <c r="H121" s="2"/>
      <c r="I121" s="2"/>
      <c r="J121" s="2"/>
      <c r="K121" s="2"/>
      <c r="L121" s="2"/>
      <c r="M121" s="2"/>
    </row>
    <row r="122" customFormat="false" ht="15" hidden="false" customHeight="false" outlineLevel="0" collapsed="false">
      <c r="A122" s="9" t="s">
        <v>328</v>
      </c>
      <c r="B122" s="9" t="s">
        <v>329</v>
      </c>
      <c r="C122" s="14" t="n">
        <v>9</v>
      </c>
      <c r="D122" s="14" t="n">
        <v>6</v>
      </c>
      <c r="E122" s="14" t="n">
        <v>4</v>
      </c>
      <c r="F122" s="13" t="s">
        <v>106</v>
      </c>
      <c r="G122" s="11" t="s">
        <v>330</v>
      </c>
      <c r="H122" s="2"/>
      <c r="I122" s="2"/>
      <c r="J122" s="2"/>
      <c r="K122" s="2"/>
      <c r="L122" s="2"/>
      <c r="M122" s="2"/>
    </row>
    <row r="123" customFormat="false" ht="15" hidden="false" customHeight="false" outlineLevel="0" collapsed="false">
      <c r="A123" s="9" t="s">
        <v>331</v>
      </c>
      <c r="B123" s="9" t="s">
        <v>329</v>
      </c>
      <c r="C123" s="14" t="n">
        <v>10</v>
      </c>
      <c r="D123" s="14" t="n">
        <v>7</v>
      </c>
      <c r="E123" s="14" t="n">
        <v>5</v>
      </c>
      <c r="F123" s="13" t="s">
        <v>106</v>
      </c>
      <c r="G123" s="11" t="s">
        <v>330</v>
      </c>
      <c r="H123" s="2"/>
      <c r="I123" s="2"/>
      <c r="J123" s="2"/>
      <c r="K123" s="2"/>
      <c r="L123" s="2"/>
      <c r="M123" s="2"/>
    </row>
    <row r="124" customFormat="false" ht="15" hidden="false" customHeight="false" outlineLevel="0" collapsed="false">
      <c r="A124" s="9" t="s">
        <v>332</v>
      </c>
      <c r="B124" s="9" t="s">
        <v>329</v>
      </c>
      <c r="C124" s="14" t="n">
        <v>12</v>
      </c>
      <c r="D124" s="14" t="n">
        <v>9</v>
      </c>
      <c r="E124" s="14" t="n">
        <v>6</v>
      </c>
      <c r="F124" s="13" t="s">
        <v>106</v>
      </c>
      <c r="G124" s="11" t="s">
        <v>330</v>
      </c>
      <c r="H124" s="2"/>
      <c r="I124" s="2"/>
      <c r="J124" s="2"/>
      <c r="K124" s="2"/>
      <c r="L124" s="2"/>
      <c r="M124" s="2"/>
    </row>
    <row r="125" customFormat="false" ht="15" hidden="false" customHeight="false" outlineLevel="0" collapsed="false">
      <c r="A125" s="9" t="s">
        <v>333</v>
      </c>
      <c r="B125" s="9" t="s">
        <v>329</v>
      </c>
      <c r="C125" s="14" t="n">
        <v>18</v>
      </c>
      <c r="D125" s="14" t="n">
        <v>12</v>
      </c>
      <c r="E125" s="14" t="n">
        <v>10</v>
      </c>
      <c r="F125" s="13" t="s">
        <v>106</v>
      </c>
      <c r="G125" s="11" t="s">
        <v>334</v>
      </c>
      <c r="H125" s="2"/>
      <c r="I125" s="2"/>
      <c r="J125" s="2"/>
      <c r="K125" s="2"/>
      <c r="L125" s="2"/>
      <c r="M125" s="2"/>
    </row>
    <row r="126" customFormat="false" ht="15" hidden="false" customHeight="false" outlineLevel="0" collapsed="false">
      <c r="A126" s="9" t="s">
        <v>335</v>
      </c>
      <c r="B126" s="9" t="s">
        <v>336</v>
      </c>
      <c r="C126" s="19" t="n">
        <v>0.8</v>
      </c>
      <c r="D126" s="19" t="n">
        <v>1.5</v>
      </c>
      <c r="E126" s="19" t="n">
        <v>2.5</v>
      </c>
      <c r="F126" s="13" t="s">
        <v>106</v>
      </c>
      <c r="G126" s="11" t="s">
        <v>337</v>
      </c>
      <c r="H126" s="2"/>
      <c r="I126" s="2"/>
      <c r="J126" s="2"/>
      <c r="K126" s="2"/>
      <c r="L126" s="2"/>
      <c r="M126" s="2"/>
    </row>
    <row r="127" customFormat="false" ht="15" hidden="false" customHeight="false" outlineLevel="0" collapsed="false">
      <c r="A127" s="9" t="s">
        <v>338</v>
      </c>
      <c r="B127" s="9" t="s">
        <v>336</v>
      </c>
      <c r="C127" s="19" t="n">
        <v>0.2</v>
      </c>
      <c r="D127" s="19" t="n">
        <v>0.3</v>
      </c>
      <c r="E127" s="19" t="n">
        <v>0.5</v>
      </c>
      <c r="F127" s="13" t="s">
        <v>106</v>
      </c>
      <c r="G127" s="11" t="s">
        <v>337</v>
      </c>
      <c r="H127" s="2"/>
      <c r="I127" s="2"/>
      <c r="J127" s="2"/>
      <c r="K127" s="2"/>
      <c r="L127" s="2"/>
      <c r="M127" s="2"/>
    </row>
    <row r="128" customFormat="false" ht="15" hidden="false" customHeight="false" outlineLevel="0" collapsed="false">
      <c r="A128" s="9" t="s">
        <v>339</v>
      </c>
      <c r="B128" s="9" t="s">
        <v>336</v>
      </c>
      <c r="C128" s="19" t="n">
        <v>0.1</v>
      </c>
      <c r="D128" s="19" t="n">
        <v>0.2</v>
      </c>
      <c r="E128" s="19" t="n">
        <v>0.3</v>
      </c>
      <c r="F128" s="13" t="s">
        <v>106</v>
      </c>
      <c r="G128" s="11" t="s">
        <v>337</v>
      </c>
      <c r="H128" s="2"/>
      <c r="I128" s="2"/>
      <c r="J128" s="2"/>
      <c r="K128" s="2"/>
      <c r="L128" s="2"/>
      <c r="M128" s="2"/>
    </row>
    <row r="129" customFormat="false" ht="15" hidden="false" customHeight="false" outlineLevel="0" collapsed="false">
      <c r="A129" s="9" t="s">
        <v>340</v>
      </c>
      <c r="B129" s="9" t="s">
        <v>336</v>
      </c>
      <c r="C129" s="19" t="n">
        <v>0.05</v>
      </c>
      <c r="D129" s="19" t="n">
        <v>0.08</v>
      </c>
      <c r="E129" s="19" t="n">
        <v>0.12</v>
      </c>
      <c r="F129" s="13" t="s">
        <v>106</v>
      </c>
      <c r="G129" s="11" t="s">
        <v>337</v>
      </c>
      <c r="H129" s="2"/>
      <c r="I129" s="2"/>
      <c r="J129" s="2"/>
      <c r="K129" s="2"/>
      <c r="L129" s="2"/>
      <c r="M129" s="2"/>
    </row>
    <row r="130" customFormat="false" ht="15" hidden="false" customHeight="false" outlineLevel="0" collapsed="false">
      <c r="A130" s="9" t="s">
        <v>341</v>
      </c>
      <c r="B130" s="9" t="s">
        <v>342</v>
      </c>
      <c r="C130" s="10" t="n">
        <v>0.12</v>
      </c>
      <c r="D130" s="10" t="n">
        <v>0.25</v>
      </c>
      <c r="E130" s="10" t="n">
        <v>0.45</v>
      </c>
      <c r="F130" s="13" t="s">
        <v>106</v>
      </c>
      <c r="G130" s="11" t="s">
        <v>343</v>
      </c>
      <c r="H130" s="2"/>
      <c r="I130" s="2"/>
      <c r="J130" s="2"/>
      <c r="K130" s="2"/>
      <c r="L130" s="2"/>
      <c r="M130" s="2"/>
    </row>
    <row r="131" customFormat="false" ht="15" hidden="false" customHeight="false" outlineLevel="0" collapsed="false">
      <c r="A131" s="9" t="s">
        <v>344</v>
      </c>
      <c r="B131" s="9" t="s">
        <v>342</v>
      </c>
      <c r="C131" s="10" t="n">
        <v>0.04</v>
      </c>
      <c r="D131" s="10" t="n">
        <v>0.08</v>
      </c>
      <c r="E131" s="10" t="n">
        <v>0.13</v>
      </c>
      <c r="F131" s="13" t="s">
        <v>106</v>
      </c>
      <c r="G131" s="11" t="s">
        <v>343</v>
      </c>
      <c r="H131" s="2"/>
      <c r="I131" s="2"/>
      <c r="J131" s="2"/>
      <c r="K131" s="2"/>
      <c r="L131" s="2"/>
      <c r="M131" s="2"/>
    </row>
    <row r="132" customFormat="false" ht="15" hidden="false" customHeight="false" outlineLevel="0" collapsed="false">
      <c r="A132" s="9" t="s">
        <v>345</v>
      </c>
      <c r="B132" s="9" t="s">
        <v>342</v>
      </c>
      <c r="C132" s="10" t="n">
        <v>0.015</v>
      </c>
      <c r="D132" s="10" t="n">
        <v>0.03</v>
      </c>
      <c r="E132" s="10" t="n">
        <v>0.05</v>
      </c>
      <c r="F132" s="13" t="s">
        <v>106</v>
      </c>
      <c r="G132" s="11" t="s">
        <v>343</v>
      </c>
      <c r="H132" s="2"/>
      <c r="I132" s="2"/>
      <c r="J132" s="2"/>
      <c r="K132" s="2"/>
      <c r="L132" s="2"/>
      <c r="M132" s="2"/>
    </row>
    <row r="133" customFormat="false" ht="15" hidden="false" customHeight="false" outlineLevel="0" collapsed="false">
      <c r="A133" s="9" t="s">
        <v>346</v>
      </c>
      <c r="B133" s="9" t="s">
        <v>342</v>
      </c>
      <c r="C133" s="10" t="n">
        <v>0.004</v>
      </c>
      <c r="D133" s="10" t="n">
        <v>0.008</v>
      </c>
      <c r="E133" s="10" t="n">
        <v>0.012</v>
      </c>
      <c r="F133" s="13" t="s">
        <v>106</v>
      </c>
      <c r="G133" s="11" t="s">
        <v>343</v>
      </c>
      <c r="H133" s="2"/>
      <c r="I133" s="2"/>
      <c r="J133" s="2"/>
      <c r="K133" s="2"/>
      <c r="L133" s="2"/>
      <c r="M133" s="2"/>
    </row>
    <row r="134" customFormat="false" ht="15" hidden="false" customHeight="false" outlineLevel="0" collapsed="false">
      <c r="A134" s="9" t="s">
        <v>347</v>
      </c>
      <c r="B134" s="9" t="s">
        <v>336</v>
      </c>
      <c r="C134" s="19" t="n">
        <v>5</v>
      </c>
      <c r="D134" s="19" t="n">
        <v>9</v>
      </c>
      <c r="E134" s="19" t="n">
        <v>15</v>
      </c>
      <c r="F134" s="13" t="s">
        <v>106</v>
      </c>
      <c r="G134" s="11" t="s">
        <v>348</v>
      </c>
      <c r="H134" s="2"/>
      <c r="I134" s="2"/>
      <c r="J134" s="2"/>
      <c r="K134" s="2"/>
      <c r="L134" s="2"/>
      <c r="M134" s="2"/>
    </row>
    <row r="135" customFormat="false" ht="15" hidden="false" customHeight="false" outlineLevel="0" collapsed="false">
      <c r="A135" s="9" t="s">
        <v>349</v>
      </c>
      <c r="B135" s="9" t="s">
        <v>336</v>
      </c>
      <c r="C135" s="19" t="n">
        <v>2</v>
      </c>
      <c r="D135" s="19" t="n">
        <v>3.5</v>
      </c>
      <c r="E135" s="19" t="n">
        <v>5.5</v>
      </c>
      <c r="F135" s="13" t="s">
        <v>106</v>
      </c>
      <c r="G135" s="11" t="s">
        <v>348</v>
      </c>
      <c r="H135" s="2"/>
      <c r="I135" s="2"/>
      <c r="J135" s="2"/>
      <c r="K135" s="2"/>
      <c r="L135" s="2"/>
      <c r="M135" s="2"/>
    </row>
    <row r="136" customFormat="false" ht="15" hidden="false" customHeight="false" outlineLevel="0" collapsed="false">
      <c r="A136" s="9" t="s">
        <v>350</v>
      </c>
      <c r="B136" s="9" t="s">
        <v>336</v>
      </c>
      <c r="C136" s="19" t="n">
        <v>0.6</v>
      </c>
      <c r="D136" s="19" t="n">
        <v>1.2</v>
      </c>
      <c r="E136" s="19" t="n">
        <v>2</v>
      </c>
      <c r="F136" s="13" t="s">
        <v>106</v>
      </c>
      <c r="G136" s="11" t="s">
        <v>348</v>
      </c>
      <c r="H136" s="2"/>
      <c r="I136" s="2"/>
      <c r="J136" s="2"/>
      <c r="K136" s="2"/>
      <c r="L136" s="2"/>
      <c r="M136" s="2"/>
    </row>
    <row r="137" customFormat="false" ht="15" hidden="false" customHeight="false" outlineLevel="0" collapsed="false">
      <c r="A137" s="9" t="s">
        <v>351</v>
      </c>
      <c r="B137" s="9" t="s">
        <v>336</v>
      </c>
      <c r="C137" s="19" t="n">
        <v>0.15</v>
      </c>
      <c r="D137" s="19" t="n">
        <v>0.3</v>
      </c>
      <c r="E137" s="19" t="n">
        <v>0.5</v>
      </c>
      <c r="F137" s="13" t="s">
        <v>106</v>
      </c>
      <c r="G137" s="11" t="s">
        <v>348</v>
      </c>
      <c r="H137" s="2"/>
      <c r="I137" s="2"/>
      <c r="J137" s="2"/>
      <c r="K137" s="2"/>
      <c r="L137" s="2"/>
      <c r="M137" s="2"/>
    </row>
    <row r="138" customFormat="false" ht="15" hidden="false" customHeight="false" outlineLevel="0" collapsed="false">
      <c r="A138" s="9" t="s">
        <v>352</v>
      </c>
      <c r="B138" s="9" t="s">
        <v>336</v>
      </c>
      <c r="C138" s="19" t="n">
        <v>0.15</v>
      </c>
      <c r="D138" s="19" t="n">
        <v>0.3</v>
      </c>
      <c r="E138" s="19" t="n">
        <v>0.4</v>
      </c>
      <c r="F138" s="13" t="s">
        <v>106</v>
      </c>
      <c r="G138" s="11" t="s">
        <v>353</v>
      </c>
      <c r="H138" s="2"/>
      <c r="I138" s="2"/>
      <c r="J138" s="2"/>
      <c r="K138" s="2"/>
      <c r="L138" s="2"/>
      <c r="M138" s="2"/>
    </row>
    <row r="139" customFormat="false" ht="15" hidden="false" customHeight="false" outlineLevel="0" collapsed="false">
      <c r="A139" s="9" t="s">
        <v>354</v>
      </c>
      <c r="B139" s="9" t="s">
        <v>336</v>
      </c>
      <c r="C139" s="10" t="n">
        <v>0.02</v>
      </c>
      <c r="D139" s="10" t="n">
        <v>0.05</v>
      </c>
      <c r="E139" s="10" t="n">
        <v>0.08</v>
      </c>
      <c r="F139" s="13" t="s">
        <v>106</v>
      </c>
      <c r="G139" s="11" t="s">
        <v>355</v>
      </c>
      <c r="H139" s="2"/>
      <c r="I139" s="2"/>
      <c r="J139" s="2"/>
      <c r="K139" s="2"/>
      <c r="L139" s="2"/>
      <c r="M139" s="2"/>
    </row>
    <row r="140" customFormat="false" ht="15" hidden="false" customHeight="false" outlineLevel="0" collapsed="false">
      <c r="A140" s="9" t="s">
        <v>356</v>
      </c>
      <c r="B140" s="9" t="s">
        <v>109</v>
      </c>
      <c r="C140" s="14" t="n">
        <v>4</v>
      </c>
      <c r="D140" s="14" t="n">
        <v>3</v>
      </c>
      <c r="E140" s="14" t="n">
        <v>3</v>
      </c>
      <c r="F140" s="13" t="s">
        <v>106</v>
      </c>
      <c r="G140" s="11" t="s">
        <v>357</v>
      </c>
      <c r="H140" s="2"/>
      <c r="I140" s="2"/>
      <c r="J140" s="2"/>
      <c r="K140" s="2"/>
      <c r="L140" s="2"/>
      <c r="M140" s="2"/>
    </row>
    <row r="141" customFormat="false" ht="15" hidden="false" customHeight="false" outlineLevel="0" collapsed="false">
      <c r="A141" s="9" t="s">
        <v>358</v>
      </c>
      <c r="B141" s="9" t="s">
        <v>359</v>
      </c>
      <c r="C141" s="16" t="n">
        <v>0.045</v>
      </c>
      <c r="D141" s="16" t="n">
        <v>0.035</v>
      </c>
      <c r="E141" s="16" t="n">
        <v>0.025</v>
      </c>
      <c r="F141" s="9" t="s">
        <v>114</v>
      </c>
      <c r="G141" s="11" t="s">
        <v>360</v>
      </c>
      <c r="H141" s="2"/>
      <c r="I141" s="2"/>
      <c r="J141" s="2"/>
      <c r="K141" s="2"/>
      <c r="L141" s="2"/>
      <c r="M141" s="2"/>
    </row>
    <row r="142" customFormat="false" ht="15" hidden="false" customHeight="false" outlineLevel="0" collapsed="false">
      <c r="A142" s="9" t="s">
        <v>361</v>
      </c>
      <c r="B142" s="9" t="s">
        <v>359</v>
      </c>
      <c r="C142" s="16" t="n">
        <v>0.035</v>
      </c>
      <c r="D142" s="16" t="n">
        <v>0.025</v>
      </c>
      <c r="E142" s="16" t="n">
        <v>0.02</v>
      </c>
      <c r="F142" s="9" t="s">
        <v>114</v>
      </c>
      <c r="G142" s="11" t="s">
        <v>360</v>
      </c>
      <c r="H142" s="2"/>
      <c r="I142" s="2"/>
      <c r="J142" s="2"/>
      <c r="K142" s="2"/>
      <c r="L142" s="2"/>
      <c r="M142" s="2"/>
    </row>
    <row r="143" customFormat="false" ht="15" hidden="false" customHeight="false" outlineLevel="0" collapsed="false">
      <c r="A143" s="9" t="s">
        <v>362</v>
      </c>
      <c r="B143" s="9" t="s">
        <v>359</v>
      </c>
      <c r="C143" s="16" t="n">
        <v>0.015</v>
      </c>
      <c r="D143" s="16" t="n">
        <v>0.01</v>
      </c>
      <c r="E143" s="16" t="n">
        <v>0.0075</v>
      </c>
      <c r="F143" s="9" t="s">
        <v>114</v>
      </c>
      <c r="G143" s="11" t="s">
        <v>363</v>
      </c>
      <c r="H143" s="2"/>
      <c r="I143" s="2"/>
      <c r="J143" s="2"/>
      <c r="K143" s="2"/>
      <c r="L143" s="2"/>
      <c r="M143" s="2"/>
    </row>
    <row r="144" customFormat="false" ht="15" hidden="false" customHeight="false" outlineLevel="0" collapsed="false">
      <c r="A144" s="9" t="s">
        <v>364</v>
      </c>
      <c r="B144" s="9" t="s">
        <v>359</v>
      </c>
      <c r="C144" s="16" t="n">
        <v>0.01</v>
      </c>
      <c r="D144" s="16" t="n">
        <v>0.006</v>
      </c>
      <c r="E144" s="16" t="n">
        <v>0.004</v>
      </c>
      <c r="F144" s="9" t="s">
        <v>114</v>
      </c>
      <c r="G144" s="11" t="s">
        <v>363</v>
      </c>
      <c r="H144" s="2"/>
      <c r="I144" s="2"/>
      <c r="J144" s="2"/>
      <c r="K144" s="2"/>
      <c r="L144" s="2"/>
      <c r="M144" s="2"/>
    </row>
    <row r="145" customFormat="false" ht="15" hidden="false" customHeight="false" outlineLevel="0" collapsed="false">
      <c r="A145" s="9" t="s">
        <v>365</v>
      </c>
      <c r="B145" s="9" t="s">
        <v>359</v>
      </c>
      <c r="C145" s="16" t="n">
        <v>0.001</v>
      </c>
      <c r="D145" s="16" t="n">
        <v>0.002</v>
      </c>
      <c r="E145" s="16" t="n">
        <v>0.004</v>
      </c>
      <c r="F145" s="9" t="s">
        <v>114</v>
      </c>
      <c r="G145" s="11" t="s">
        <v>366</v>
      </c>
      <c r="H145" s="2"/>
      <c r="I145" s="2"/>
      <c r="J145" s="2"/>
      <c r="K145" s="2"/>
      <c r="L145" s="2"/>
      <c r="M145" s="2"/>
    </row>
    <row r="146" customFormat="false" ht="15" hidden="false" customHeight="false" outlineLevel="0" collapsed="false">
      <c r="A146" s="9" t="s">
        <v>367</v>
      </c>
      <c r="B146" s="9" t="s">
        <v>359</v>
      </c>
      <c r="C146" s="16" t="n">
        <v>0.003</v>
      </c>
      <c r="D146" s="16" t="n">
        <v>0.005</v>
      </c>
      <c r="E146" s="16" t="n">
        <v>0.008</v>
      </c>
      <c r="F146" s="9" t="s">
        <v>114</v>
      </c>
      <c r="G146" s="11" t="s">
        <v>366</v>
      </c>
      <c r="H146" s="2"/>
      <c r="I146" s="2"/>
      <c r="J146" s="2"/>
      <c r="K146" s="2"/>
      <c r="L146" s="2"/>
      <c r="M146" s="2"/>
    </row>
    <row r="147" customFormat="false" ht="15" hidden="false" customHeight="false" outlineLevel="0" collapsed="false">
      <c r="A147" s="9" t="s">
        <v>368</v>
      </c>
      <c r="B147" s="9" t="s">
        <v>359</v>
      </c>
      <c r="C147" s="16" t="n">
        <v>0.004</v>
      </c>
      <c r="D147" s="16" t="n">
        <v>0.008</v>
      </c>
      <c r="E147" s="16" t="n">
        <v>0.012</v>
      </c>
      <c r="F147" s="9" t="s">
        <v>114</v>
      </c>
      <c r="G147" s="11" t="s">
        <v>366</v>
      </c>
      <c r="H147" s="2"/>
      <c r="I147" s="2"/>
      <c r="J147" s="2"/>
      <c r="K147" s="2"/>
      <c r="L147" s="2"/>
      <c r="M147" s="2"/>
    </row>
    <row r="148" customFormat="false" ht="15" hidden="false" customHeight="false" outlineLevel="0" collapsed="false">
      <c r="A148" s="9" t="s">
        <v>369</v>
      </c>
      <c r="B148" s="9" t="s">
        <v>359</v>
      </c>
      <c r="C148" s="16" t="n">
        <v>0.005</v>
      </c>
      <c r="D148" s="16" t="n">
        <v>0.01</v>
      </c>
      <c r="E148" s="16" t="n">
        <v>0.015</v>
      </c>
      <c r="F148" s="9" t="s">
        <v>114</v>
      </c>
      <c r="G148" s="11" t="s">
        <v>366</v>
      </c>
      <c r="H148" s="2"/>
      <c r="I148" s="2"/>
      <c r="J148" s="2"/>
      <c r="K148" s="2"/>
      <c r="L148" s="2"/>
      <c r="M148" s="2"/>
    </row>
    <row r="149" customFormat="false" ht="15" hidden="false" customHeight="false" outlineLevel="0" collapsed="false">
      <c r="A149" s="9" t="s">
        <v>370</v>
      </c>
      <c r="B149" s="9" t="s">
        <v>165</v>
      </c>
      <c r="C149" s="16" t="n">
        <v>0.85</v>
      </c>
      <c r="D149" s="16" t="n">
        <v>0.9</v>
      </c>
      <c r="E149" s="16" t="n">
        <v>0.95</v>
      </c>
      <c r="F149" s="13" t="s">
        <v>106</v>
      </c>
      <c r="G149" s="11" t="s">
        <v>371</v>
      </c>
      <c r="H149" s="2"/>
      <c r="I149" s="2"/>
      <c r="J149" s="2"/>
      <c r="K149" s="2"/>
      <c r="L149" s="2"/>
      <c r="M149" s="2"/>
    </row>
    <row r="150" customFormat="false" ht="15" hidden="false" customHeight="false" outlineLevel="0" collapsed="false">
      <c r="A150" s="9" t="s">
        <v>372</v>
      </c>
      <c r="B150" s="9" t="s">
        <v>165</v>
      </c>
      <c r="C150" s="16" t="n">
        <v>0.8</v>
      </c>
      <c r="D150" s="16" t="n">
        <v>0.85</v>
      </c>
      <c r="E150" s="16" t="n">
        <v>0.9</v>
      </c>
      <c r="F150" s="13" t="s">
        <v>106</v>
      </c>
      <c r="G150" s="11" t="s">
        <v>371</v>
      </c>
      <c r="H150" s="2"/>
      <c r="I150" s="2"/>
      <c r="J150" s="2"/>
      <c r="K150" s="2"/>
      <c r="L150" s="2"/>
      <c r="M150" s="2"/>
    </row>
    <row r="151" customFormat="false" ht="15" hidden="false" customHeight="false" outlineLevel="0" collapsed="false">
      <c r="A151" s="9" t="s">
        <v>373</v>
      </c>
      <c r="B151" s="9" t="s">
        <v>165</v>
      </c>
      <c r="C151" s="16" t="n">
        <v>0.85</v>
      </c>
      <c r="D151" s="16" t="n">
        <v>0.9</v>
      </c>
      <c r="E151" s="16" t="n">
        <v>0.95</v>
      </c>
      <c r="F151" s="13" t="s">
        <v>106</v>
      </c>
      <c r="G151" s="11" t="s">
        <v>371</v>
      </c>
      <c r="H151" s="2"/>
      <c r="I151" s="2"/>
      <c r="J151" s="2"/>
      <c r="K151" s="2"/>
      <c r="L151" s="2"/>
      <c r="M151" s="2"/>
    </row>
    <row r="152" customFormat="false" ht="15" hidden="false" customHeight="false" outlineLevel="0" collapsed="false">
      <c r="A152" s="9" t="s">
        <v>374</v>
      </c>
      <c r="B152" s="9" t="s">
        <v>165</v>
      </c>
      <c r="C152" s="16" t="n">
        <v>0.7</v>
      </c>
      <c r="D152" s="16" t="n">
        <v>1</v>
      </c>
      <c r="E152" s="16" t="n">
        <v>1.1</v>
      </c>
      <c r="F152" s="13" t="s">
        <v>106</v>
      </c>
      <c r="G152" s="11" t="s">
        <v>375</v>
      </c>
      <c r="H152" s="2"/>
      <c r="I152" s="2"/>
      <c r="J152" s="2"/>
      <c r="K152" s="2"/>
      <c r="L152" s="2"/>
      <c r="M152" s="2"/>
    </row>
    <row r="153" customFormat="false" ht="15" hidden="false" customHeight="false" outlineLevel="0" collapsed="false">
      <c r="A153" s="9" t="s">
        <v>376</v>
      </c>
      <c r="B153" s="9" t="s">
        <v>165</v>
      </c>
      <c r="C153" s="16" t="n">
        <v>0.75</v>
      </c>
      <c r="D153" s="16" t="n">
        <v>0.65</v>
      </c>
      <c r="E153" s="16" t="n">
        <v>0.6</v>
      </c>
      <c r="F153" s="13" t="s">
        <v>106</v>
      </c>
      <c r="G153" s="11" t="s">
        <v>377</v>
      </c>
      <c r="H153" s="2"/>
      <c r="I153" s="2"/>
      <c r="J153" s="2"/>
      <c r="K153" s="2"/>
      <c r="L153" s="2"/>
      <c r="M153" s="2"/>
    </row>
    <row r="154" customFormat="false" ht="15" hidden="false" customHeight="false" outlineLevel="0" collapsed="false">
      <c r="A154" s="9" t="s">
        <v>378</v>
      </c>
      <c r="B154" s="9" t="s">
        <v>165</v>
      </c>
      <c r="C154" s="16" t="n">
        <v>0.02</v>
      </c>
      <c r="D154" s="16" t="n">
        <v>0.05</v>
      </c>
      <c r="E154" s="16" t="n">
        <v>0.08</v>
      </c>
      <c r="F154" s="13" t="s">
        <v>106</v>
      </c>
      <c r="G154" s="11"/>
      <c r="H154" s="2"/>
      <c r="I154" s="2"/>
      <c r="J154" s="2"/>
      <c r="K154" s="2"/>
      <c r="L154" s="2"/>
      <c r="M154" s="2"/>
    </row>
    <row r="155" customFormat="false" ht="15" hidden="false" customHeight="false" outlineLevel="0" collapsed="false">
      <c r="A155" s="9" t="s">
        <v>379</v>
      </c>
      <c r="B155" s="9" t="s">
        <v>165</v>
      </c>
      <c r="C155" s="16" t="n">
        <v>0.5</v>
      </c>
      <c r="D155" s="16" t="n">
        <v>0.75</v>
      </c>
      <c r="E155" s="16" t="n">
        <v>1</v>
      </c>
      <c r="F155" s="13" t="s">
        <v>106</v>
      </c>
      <c r="G155" s="11" t="s">
        <v>380</v>
      </c>
      <c r="H155" s="2"/>
      <c r="I155" s="2"/>
      <c r="J155" s="2"/>
      <c r="K155" s="2"/>
      <c r="L155" s="2"/>
      <c r="M155" s="2"/>
    </row>
    <row r="156" customFormat="false" ht="15" hidden="false" customHeight="false" outlineLevel="0" collapsed="false">
      <c r="A156" s="9" t="s">
        <v>381</v>
      </c>
      <c r="B156" s="9" t="s">
        <v>382</v>
      </c>
      <c r="C156" s="19" t="n">
        <v>0.5</v>
      </c>
      <c r="D156" s="19" t="n">
        <v>1</v>
      </c>
      <c r="E156" s="19" t="n">
        <v>1.5</v>
      </c>
      <c r="F156" s="13" t="s">
        <v>106</v>
      </c>
      <c r="G156" s="11" t="s">
        <v>383</v>
      </c>
      <c r="H156" s="2"/>
      <c r="I156" s="2"/>
      <c r="J156" s="2"/>
      <c r="K156" s="2"/>
      <c r="L156" s="2"/>
      <c r="M156" s="2"/>
    </row>
    <row r="157" customFormat="false" ht="15" hidden="false" customHeight="false" outlineLevel="0" collapsed="false">
      <c r="A157" s="9" t="s">
        <v>384</v>
      </c>
      <c r="B157" s="9" t="s">
        <v>329</v>
      </c>
      <c r="C157" s="14" t="n">
        <v>15</v>
      </c>
      <c r="D157" s="14" t="n">
        <v>10</v>
      </c>
      <c r="E157" s="14" t="n">
        <v>8</v>
      </c>
      <c r="F157" s="13" t="s">
        <v>106</v>
      </c>
      <c r="G157" s="11" t="s">
        <v>385</v>
      </c>
      <c r="H157" s="2"/>
      <c r="I157" s="2"/>
      <c r="J157" s="2"/>
      <c r="K157" s="2"/>
      <c r="L157" s="2"/>
      <c r="M157" s="2"/>
    </row>
    <row r="158" customFormat="false" ht="15" hidden="false" customHeight="false" outlineLevel="0" collapsed="false">
      <c r="A158" s="2"/>
      <c r="B158" s="2"/>
      <c r="C158" s="2"/>
      <c r="D158" s="2"/>
      <c r="E158" s="2"/>
      <c r="F158" s="2"/>
      <c r="G158" s="2"/>
      <c r="H158" s="2"/>
      <c r="I158" s="2"/>
      <c r="J158" s="2"/>
      <c r="K158" s="2"/>
      <c r="L158" s="2"/>
      <c r="M158" s="2"/>
    </row>
    <row r="159" customFormat="false" ht="15" hidden="false" customHeight="false" outlineLevel="0" collapsed="false">
      <c r="A159" s="5" t="s">
        <v>386</v>
      </c>
      <c r="B159" s="6"/>
      <c r="C159" s="6"/>
      <c r="D159" s="6"/>
      <c r="E159" s="6"/>
      <c r="F159" s="6"/>
      <c r="G159" s="6"/>
      <c r="H159" s="2"/>
      <c r="I159" s="2"/>
      <c r="J159" s="2"/>
      <c r="K159" s="2"/>
      <c r="L159" s="2"/>
      <c r="M159" s="2"/>
    </row>
    <row r="160" customFormat="false" ht="15" hidden="false" customHeight="false" outlineLevel="0" collapsed="false">
      <c r="A160" s="8" t="s">
        <v>93</v>
      </c>
      <c r="B160" s="8" t="s">
        <v>94</v>
      </c>
      <c r="C160" s="8" t="s">
        <v>95</v>
      </c>
      <c r="D160" s="8" t="s">
        <v>96</v>
      </c>
      <c r="E160" s="8" t="s">
        <v>97</v>
      </c>
      <c r="F160" s="8" t="s">
        <v>98</v>
      </c>
      <c r="G160" s="8" t="s">
        <v>99</v>
      </c>
      <c r="H160" s="2"/>
      <c r="I160" s="2"/>
      <c r="J160" s="2"/>
      <c r="K160" s="2"/>
      <c r="L160" s="2"/>
      <c r="M160" s="2"/>
    </row>
    <row r="161" customFormat="false" ht="15" hidden="false" customHeight="false" outlineLevel="0" collapsed="false">
      <c r="A161" s="9" t="s">
        <v>387</v>
      </c>
      <c r="B161" s="9" t="s">
        <v>388</v>
      </c>
      <c r="C161" s="2"/>
      <c r="D161" s="12" t="n">
        <v>30000</v>
      </c>
      <c r="E161" s="2"/>
      <c r="F161" s="13" t="s">
        <v>106</v>
      </c>
      <c r="G161" s="11" t="s">
        <v>389</v>
      </c>
      <c r="H161" s="2"/>
      <c r="I161" s="2"/>
      <c r="J161" s="2"/>
      <c r="K161" s="2"/>
      <c r="L161" s="2"/>
      <c r="M161" s="2"/>
    </row>
    <row r="162" customFormat="false" ht="15" hidden="false" customHeight="false" outlineLevel="0" collapsed="false">
      <c r="A162" s="9" t="s">
        <v>390</v>
      </c>
      <c r="B162" s="9" t="s">
        <v>391</v>
      </c>
      <c r="C162" s="2"/>
      <c r="D162" s="16" t="n">
        <v>0.2</v>
      </c>
      <c r="E162" s="2"/>
      <c r="F162" s="9" t="s">
        <v>114</v>
      </c>
      <c r="G162" s="11" t="s">
        <v>392</v>
      </c>
      <c r="H162" s="2"/>
      <c r="I162" s="2"/>
      <c r="J162" s="2"/>
      <c r="K162" s="2"/>
      <c r="L162" s="2"/>
      <c r="M162" s="2"/>
    </row>
    <row r="163" customFormat="false" ht="15" hidden="false" customHeight="false" outlineLevel="0" collapsed="false">
      <c r="A163" s="9" t="s">
        <v>393</v>
      </c>
      <c r="B163" s="9" t="s">
        <v>241</v>
      </c>
      <c r="C163" s="2"/>
      <c r="D163" s="12" t="n">
        <v>2000</v>
      </c>
      <c r="E163" s="2"/>
      <c r="F163" s="13" t="s">
        <v>106</v>
      </c>
      <c r="G163" s="11" t="s">
        <v>394</v>
      </c>
      <c r="H163" s="2"/>
      <c r="I163" s="2"/>
      <c r="J163" s="2"/>
      <c r="K163" s="2"/>
      <c r="L163" s="2"/>
      <c r="M163" s="2"/>
    </row>
    <row r="164" customFormat="false" ht="15" hidden="false" customHeight="false" outlineLevel="0" collapsed="false">
      <c r="A164" s="9" t="s">
        <v>395</v>
      </c>
      <c r="B164" s="9" t="s">
        <v>241</v>
      </c>
      <c r="C164" s="2"/>
      <c r="D164" s="12" t="n">
        <v>1000</v>
      </c>
      <c r="E164" s="2"/>
      <c r="F164" s="13" t="s">
        <v>106</v>
      </c>
      <c r="G164" s="11" t="s">
        <v>396</v>
      </c>
      <c r="H164" s="2"/>
      <c r="I164" s="2"/>
      <c r="J164" s="2"/>
      <c r="K164" s="2"/>
      <c r="L164" s="2"/>
      <c r="M164" s="2"/>
    </row>
    <row r="165" customFormat="false" ht="15" hidden="false" customHeight="false" outlineLevel="0" collapsed="false">
      <c r="A165" s="9" t="s">
        <v>397</v>
      </c>
      <c r="B165" s="9" t="s">
        <v>388</v>
      </c>
      <c r="C165" s="2"/>
      <c r="D165" s="12" t="n">
        <v>15000</v>
      </c>
      <c r="E165" s="2"/>
      <c r="F165" s="9" t="s">
        <v>114</v>
      </c>
      <c r="G165" s="11" t="s">
        <v>398</v>
      </c>
      <c r="H165" s="2"/>
      <c r="I165" s="2"/>
      <c r="J165" s="2"/>
      <c r="K165" s="2"/>
      <c r="L165" s="2"/>
      <c r="M165" s="2"/>
    </row>
    <row r="166" customFormat="false" ht="15" hidden="false" customHeight="false" outlineLevel="0" collapsed="false">
      <c r="A166" s="9" t="s">
        <v>399</v>
      </c>
      <c r="B166" s="9" t="s">
        <v>388</v>
      </c>
      <c r="C166" s="2"/>
      <c r="D166" s="12" t="n">
        <v>1500</v>
      </c>
      <c r="E166" s="2"/>
      <c r="F166" s="9" t="s">
        <v>114</v>
      </c>
      <c r="G166" s="11" t="s">
        <v>400</v>
      </c>
      <c r="H166" s="2"/>
      <c r="I166" s="2"/>
      <c r="J166" s="2"/>
      <c r="K166" s="2"/>
      <c r="L166" s="2"/>
      <c r="M166" s="2"/>
    </row>
    <row r="167" customFormat="false" ht="15" hidden="false" customHeight="false" outlineLevel="0" collapsed="false">
      <c r="A167" s="9" t="s">
        <v>401</v>
      </c>
      <c r="B167" s="9" t="s">
        <v>388</v>
      </c>
      <c r="C167" s="2"/>
      <c r="D167" s="12" t="n">
        <v>4000</v>
      </c>
      <c r="E167" s="2"/>
      <c r="F167" s="9" t="s">
        <v>102</v>
      </c>
      <c r="G167" s="11" t="s">
        <v>402</v>
      </c>
      <c r="H167" s="2"/>
      <c r="I167" s="2"/>
      <c r="J167" s="2"/>
      <c r="K167" s="2"/>
      <c r="L167" s="2"/>
      <c r="M167" s="2"/>
    </row>
    <row r="168" customFormat="false" ht="15" hidden="false" customHeight="false" outlineLevel="0" collapsed="false">
      <c r="A168" s="9" t="s">
        <v>403</v>
      </c>
      <c r="B168" s="9" t="s">
        <v>404</v>
      </c>
      <c r="C168" s="2"/>
      <c r="D168" s="16" t="n">
        <v>0.05</v>
      </c>
      <c r="E168" s="2"/>
      <c r="F168" s="13" t="s">
        <v>106</v>
      </c>
      <c r="G168" s="11"/>
      <c r="H168" s="2"/>
      <c r="I168" s="2"/>
      <c r="J168" s="2"/>
      <c r="K168" s="2"/>
      <c r="L168" s="2"/>
      <c r="M168" s="2"/>
    </row>
    <row r="169" customFormat="false" ht="15" hidden="false" customHeight="false" outlineLevel="0" collapsed="false">
      <c r="A169" s="9" t="s">
        <v>405</v>
      </c>
      <c r="B169" s="9" t="s">
        <v>165</v>
      </c>
      <c r="C169" s="2"/>
      <c r="D169" s="16" t="n">
        <v>0.1</v>
      </c>
      <c r="E169" s="2"/>
      <c r="F169" s="13" t="s">
        <v>106</v>
      </c>
      <c r="G169" s="11" t="s">
        <v>406</v>
      </c>
      <c r="H169" s="2"/>
      <c r="I169" s="2"/>
      <c r="J169" s="2"/>
      <c r="K169" s="2"/>
      <c r="L169" s="2"/>
      <c r="M169" s="2"/>
    </row>
    <row r="170" customFormat="false" ht="15" hidden="false" customHeight="false" outlineLevel="0" collapsed="false">
      <c r="A170" s="9" t="s">
        <v>407</v>
      </c>
      <c r="B170" s="9" t="s">
        <v>241</v>
      </c>
      <c r="C170" s="2"/>
      <c r="D170" s="12" t="n">
        <v>400</v>
      </c>
      <c r="E170" s="2"/>
      <c r="F170" s="13" t="s">
        <v>106</v>
      </c>
      <c r="G170" s="11" t="s">
        <v>408</v>
      </c>
      <c r="H170" s="2"/>
      <c r="I170" s="2"/>
      <c r="J170" s="2"/>
      <c r="K170" s="2"/>
      <c r="L170" s="2"/>
      <c r="M170" s="2"/>
    </row>
    <row r="171" customFormat="false" ht="15" hidden="false" customHeight="false" outlineLevel="0" collapsed="false">
      <c r="A171" s="9" t="s">
        <v>409</v>
      </c>
      <c r="B171" s="9" t="s">
        <v>410</v>
      </c>
      <c r="C171" s="2"/>
      <c r="D171" s="12" t="n">
        <v>40</v>
      </c>
      <c r="E171" s="2"/>
      <c r="F171" s="13" t="s">
        <v>106</v>
      </c>
      <c r="G171" s="11"/>
      <c r="H171" s="2"/>
      <c r="I171" s="2"/>
      <c r="J171" s="2"/>
      <c r="K171" s="2"/>
      <c r="L171" s="2"/>
      <c r="M171" s="2"/>
    </row>
    <row r="172" customFormat="false" ht="15" hidden="false" customHeight="false" outlineLevel="0" collapsed="false">
      <c r="A172" s="9" t="s">
        <v>411</v>
      </c>
      <c r="B172" s="9" t="s">
        <v>241</v>
      </c>
      <c r="C172" s="2"/>
      <c r="D172" s="12" t="n">
        <v>300</v>
      </c>
      <c r="E172" s="2"/>
      <c r="F172" s="13" t="s">
        <v>106</v>
      </c>
      <c r="G172" s="11" t="s">
        <v>412</v>
      </c>
      <c r="H172" s="2"/>
      <c r="I172" s="2"/>
      <c r="J172" s="2"/>
      <c r="K172" s="2"/>
      <c r="L172" s="2"/>
      <c r="M172" s="2"/>
    </row>
    <row r="173" customFormat="false" ht="15" hidden="false" customHeight="false" outlineLevel="0" collapsed="false">
      <c r="A173" s="9" t="s">
        <v>413</v>
      </c>
      <c r="B173" s="9" t="s">
        <v>414</v>
      </c>
      <c r="C173" s="2"/>
      <c r="D173" s="22" t="n">
        <v>1.5</v>
      </c>
      <c r="E173" s="2"/>
      <c r="F173" s="13" t="s">
        <v>106</v>
      </c>
      <c r="G173" s="11"/>
      <c r="H173" s="2"/>
      <c r="I173" s="2"/>
      <c r="J173" s="2"/>
      <c r="K173" s="2"/>
      <c r="L173" s="2"/>
      <c r="M173" s="2"/>
    </row>
    <row r="174" customFormat="false" ht="15" hidden="false" customHeight="false" outlineLevel="0" collapsed="false">
      <c r="A174" s="9" t="s">
        <v>415</v>
      </c>
      <c r="B174" s="9" t="s">
        <v>416</v>
      </c>
      <c r="C174" s="2"/>
      <c r="D174" s="23" t="n">
        <v>7500</v>
      </c>
      <c r="E174" s="2"/>
      <c r="F174" s="9" t="s">
        <v>102</v>
      </c>
      <c r="G174" s="11" t="s">
        <v>417</v>
      </c>
      <c r="H174" s="2"/>
      <c r="I174" s="2"/>
      <c r="J174" s="2"/>
      <c r="K174" s="2"/>
      <c r="L174" s="2"/>
      <c r="M174" s="2"/>
    </row>
    <row r="175" customFormat="false" ht="15" hidden="false" customHeight="false" outlineLevel="0" collapsed="false">
      <c r="A175" s="9" t="s">
        <v>418</v>
      </c>
      <c r="B175" s="9" t="s">
        <v>419</v>
      </c>
      <c r="C175" s="2"/>
      <c r="D175" s="23" t="n">
        <v>4500</v>
      </c>
      <c r="E175" s="2"/>
      <c r="F175" s="9" t="s">
        <v>102</v>
      </c>
      <c r="G175" s="11" t="s">
        <v>53</v>
      </c>
      <c r="H175" s="2"/>
      <c r="I175" s="2"/>
      <c r="J175" s="2"/>
      <c r="K175" s="2"/>
      <c r="L175" s="2"/>
      <c r="M175" s="2"/>
    </row>
    <row r="176" customFormat="false" ht="15" hidden="false" customHeight="false" outlineLevel="0" collapsed="false">
      <c r="A176" s="9" t="s">
        <v>420</v>
      </c>
      <c r="B176" s="9" t="s">
        <v>329</v>
      </c>
      <c r="C176" s="2"/>
      <c r="D176" s="14" t="n">
        <v>8</v>
      </c>
      <c r="E176" s="2"/>
      <c r="F176" s="13" t="s">
        <v>106</v>
      </c>
      <c r="G176" s="11" t="s">
        <v>421</v>
      </c>
      <c r="H176" s="2"/>
      <c r="I176" s="2"/>
      <c r="J176" s="2"/>
      <c r="K176" s="2"/>
      <c r="L176" s="2"/>
      <c r="M176" s="2"/>
    </row>
    <row r="177" customFormat="false" ht="15" hidden="false" customHeight="false" outlineLevel="0" collapsed="false">
      <c r="A177" s="9" t="s">
        <v>422</v>
      </c>
      <c r="B177" s="9" t="s">
        <v>105</v>
      </c>
      <c r="C177" s="2"/>
      <c r="D177" s="12" t="n">
        <v>20000</v>
      </c>
      <c r="E177" s="2"/>
      <c r="F177" s="9" t="s">
        <v>114</v>
      </c>
      <c r="G177" s="11" t="s">
        <v>423</v>
      </c>
      <c r="H177" s="2"/>
      <c r="I177" s="2"/>
      <c r="J177" s="2"/>
      <c r="K177" s="2"/>
      <c r="L177" s="2"/>
      <c r="M177" s="2"/>
    </row>
    <row r="178" customFormat="false" ht="15" hidden="false" customHeight="false" outlineLevel="0" collapsed="false">
      <c r="A178" s="9" t="s">
        <v>424</v>
      </c>
      <c r="B178" s="9" t="s">
        <v>388</v>
      </c>
      <c r="C178" s="2"/>
      <c r="D178" s="12" t="n">
        <v>10000</v>
      </c>
      <c r="E178" s="2"/>
      <c r="F178" s="9" t="s">
        <v>114</v>
      </c>
      <c r="G178" s="11" t="s">
        <v>425</v>
      </c>
      <c r="H178" s="2"/>
      <c r="I178" s="2"/>
      <c r="J178" s="2"/>
      <c r="K178" s="2"/>
      <c r="L178" s="2"/>
      <c r="M178" s="2"/>
    </row>
    <row r="179" customFormat="false" ht="15" hidden="false" customHeight="false" outlineLevel="0" collapsed="false">
      <c r="A179" s="9" t="s">
        <v>426</v>
      </c>
      <c r="B179" s="9" t="s">
        <v>388</v>
      </c>
      <c r="C179" s="2"/>
      <c r="D179" s="12" t="n">
        <v>4000</v>
      </c>
      <c r="E179" s="2"/>
      <c r="F179" s="9" t="s">
        <v>114</v>
      </c>
      <c r="G179" s="11" t="s">
        <v>427</v>
      </c>
      <c r="H179" s="2"/>
      <c r="I179" s="2"/>
      <c r="J179" s="2"/>
      <c r="K179" s="2"/>
      <c r="L179" s="2"/>
      <c r="M179" s="2"/>
    </row>
    <row r="180" customFormat="false" ht="15" hidden="false" customHeight="false" outlineLevel="0" collapsed="false">
      <c r="A180" s="9" t="s">
        <v>428</v>
      </c>
      <c r="B180" s="9" t="s">
        <v>241</v>
      </c>
      <c r="C180" s="2"/>
      <c r="D180" s="12" t="n">
        <v>400</v>
      </c>
      <c r="E180" s="2"/>
      <c r="F180" s="13" t="s">
        <v>106</v>
      </c>
      <c r="G180" s="11" t="s">
        <v>429</v>
      </c>
      <c r="H180" s="2"/>
      <c r="I180" s="2"/>
      <c r="J180" s="2"/>
      <c r="K180" s="2"/>
      <c r="L180" s="2"/>
      <c r="M180" s="2"/>
    </row>
    <row r="181" customFormat="false" ht="15" hidden="false" customHeight="false" outlineLevel="0" collapsed="false">
      <c r="A181" s="9" t="s">
        <v>430</v>
      </c>
      <c r="B181" s="9" t="s">
        <v>105</v>
      </c>
      <c r="C181" s="2"/>
      <c r="D181" s="12" t="n">
        <v>5000</v>
      </c>
      <c r="E181" s="2"/>
      <c r="F181" s="13" t="s">
        <v>106</v>
      </c>
      <c r="G181" s="11" t="s">
        <v>431</v>
      </c>
      <c r="H181" s="2"/>
      <c r="I181" s="2"/>
      <c r="J181" s="2"/>
      <c r="K181" s="2"/>
      <c r="L181" s="2"/>
      <c r="M181" s="2"/>
    </row>
    <row r="182" customFormat="false" ht="15" hidden="false" customHeight="false" outlineLevel="0" collapsed="false">
      <c r="A182" s="9" t="s">
        <v>432</v>
      </c>
      <c r="B182" s="9" t="s">
        <v>146</v>
      </c>
      <c r="C182" s="2"/>
      <c r="D182" s="24" t="n">
        <v>180</v>
      </c>
      <c r="E182" s="2"/>
      <c r="F182" s="13" t="s">
        <v>106</v>
      </c>
      <c r="G182" s="11" t="s">
        <v>433</v>
      </c>
      <c r="H182" s="2"/>
      <c r="I182" s="2"/>
      <c r="J182" s="2"/>
      <c r="K182" s="2"/>
      <c r="L182" s="2"/>
      <c r="M182" s="2"/>
    </row>
    <row r="183" customFormat="false" ht="15" hidden="false" customHeight="false" outlineLevel="0" collapsed="false">
      <c r="A183" s="9" t="s">
        <v>434</v>
      </c>
      <c r="B183" s="9" t="s">
        <v>165</v>
      </c>
      <c r="C183" s="2"/>
      <c r="D183" s="16" t="n">
        <v>0.35</v>
      </c>
      <c r="E183" s="2"/>
      <c r="F183" s="13" t="s">
        <v>106</v>
      </c>
      <c r="G183" s="11" t="s">
        <v>435</v>
      </c>
      <c r="H183" s="2"/>
      <c r="I183" s="2"/>
      <c r="J183" s="2"/>
      <c r="K183" s="2"/>
      <c r="L183" s="2"/>
      <c r="M183" s="2"/>
    </row>
    <row r="184" customFormat="false" ht="15" hidden="false" customHeight="false" outlineLevel="0" collapsed="false">
      <c r="A184" s="2"/>
      <c r="B184" s="2"/>
      <c r="C184" s="2"/>
      <c r="D184" s="2"/>
      <c r="E184" s="2"/>
      <c r="F184" s="2"/>
      <c r="G184" s="2"/>
      <c r="H184" s="2"/>
      <c r="I184" s="2"/>
      <c r="J184" s="2"/>
      <c r="K184" s="2"/>
      <c r="L184" s="2"/>
      <c r="M184" s="2"/>
    </row>
    <row r="185" customFormat="false" ht="15" hidden="false" customHeight="false" outlineLevel="0" collapsed="false">
      <c r="A185" s="5" t="s">
        <v>436</v>
      </c>
      <c r="B185" s="6"/>
      <c r="C185" s="6"/>
      <c r="D185" s="6"/>
      <c r="E185" s="6"/>
      <c r="F185" s="6"/>
      <c r="G185" s="6"/>
      <c r="H185" s="2"/>
      <c r="I185" s="2"/>
      <c r="J185" s="2"/>
      <c r="K185" s="2"/>
      <c r="L185" s="2"/>
      <c r="M185" s="2"/>
    </row>
    <row r="186" customFormat="false" ht="15" hidden="false" customHeight="false" outlineLevel="0" collapsed="false">
      <c r="A186" s="8" t="s">
        <v>437</v>
      </c>
      <c r="B186" s="8" t="s">
        <v>438</v>
      </c>
      <c r="C186" s="8" t="s">
        <v>439</v>
      </c>
      <c r="D186" s="8" t="s">
        <v>440</v>
      </c>
      <c r="E186" s="8" t="s">
        <v>441</v>
      </c>
      <c r="F186" s="8" t="s">
        <v>98</v>
      </c>
      <c r="G186" s="8" t="s">
        <v>442</v>
      </c>
      <c r="H186" s="2"/>
      <c r="I186" s="2"/>
      <c r="J186" s="2"/>
      <c r="K186" s="2"/>
      <c r="L186" s="2"/>
      <c r="M186" s="2"/>
    </row>
    <row r="187" customFormat="false" ht="15" hidden="false" customHeight="false" outlineLevel="0" collapsed="false">
      <c r="A187" s="9" t="s">
        <v>443</v>
      </c>
      <c r="B187" s="14" t="s">
        <v>444</v>
      </c>
      <c r="C187" s="25" t="n">
        <v>20</v>
      </c>
      <c r="D187" s="12" t="n">
        <v>32000</v>
      </c>
      <c r="E187" s="16" t="n">
        <v>0</v>
      </c>
      <c r="F187" s="13" t="s">
        <v>106</v>
      </c>
      <c r="G187" s="9" t="s">
        <v>445</v>
      </c>
      <c r="H187" s="2"/>
      <c r="I187" s="2"/>
      <c r="J187" s="2"/>
      <c r="K187" s="2"/>
      <c r="L187" s="2"/>
      <c r="M187" s="2"/>
    </row>
    <row r="188" customFormat="false" ht="15" hidden="false" customHeight="false" outlineLevel="0" collapsed="false">
      <c r="A188" s="9" t="s">
        <v>446</v>
      </c>
      <c r="B188" s="14" t="s">
        <v>447</v>
      </c>
      <c r="C188" s="25" t="n">
        <v>15000</v>
      </c>
      <c r="D188" s="12" t="n">
        <v>85000</v>
      </c>
      <c r="E188" s="16" t="n">
        <v>0.15</v>
      </c>
      <c r="F188" s="9" t="s">
        <v>102</v>
      </c>
      <c r="G188" s="9" t="s">
        <v>448</v>
      </c>
      <c r="H188" s="2"/>
      <c r="I188" s="2"/>
      <c r="J188" s="2"/>
      <c r="K188" s="2"/>
      <c r="L188" s="2"/>
      <c r="M188" s="2"/>
    </row>
    <row r="189" customFormat="false" ht="15" hidden="false" customHeight="false" outlineLevel="0" collapsed="false">
      <c r="A189" s="9" t="s">
        <v>449</v>
      </c>
      <c r="B189" s="14" t="s">
        <v>447</v>
      </c>
      <c r="C189" s="25" t="n">
        <v>25000</v>
      </c>
      <c r="D189" s="12" t="n">
        <v>60000</v>
      </c>
      <c r="E189" s="16" t="n">
        <v>0.15</v>
      </c>
      <c r="F189" s="13" t="s">
        <v>106</v>
      </c>
      <c r="G189" s="9" t="s">
        <v>450</v>
      </c>
      <c r="H189" s="2"/>
      <c r="I189" s="2"/>
      <c r="J189" s="2"/>
      <c r="K189" s="2"/>
      <c r="L189" s="2"/>
      <c r="M189" s="2"/>
    </row>
    <row r="190" customFormat="false" ht="15" hidden="false" customHeight="false" outlineLevel="0" collapsed="false">
      <c r="A190" s="9" t="s">
        <v>451</v>
      </c>
      <c r="B190" s="14" t="s">
        <v>447</v>
      </c>
      <c r="C190" s="25" t="n">
        <v>50000</v>
      </c>
      <c r="D190" s="12" t="n">
        <v>30000</v>
      </c>
      <c r="E190" s="16" t="n">
        <v>0</v>
      </c>
      <c r="F190" s="13" t="s">
        <v>106</v>
      </c>
      <c r="G190" s="9" t="s">
        <v>452</v>
      </c>
      <c r="H190" s="2"/>
      <c r="I190" s="2"/>
      <c r="J190" s="2"/>
      <c r="K190" s="2"/>
      <c r="L190" s="2"/>
      <c r="M190" s="2"/>
    </row>
    <row r="191" customFormat="false" ht="15" hidden="false" customHeight="false" outlineLevel="0" collapsed="false">
      <c r="A191" s="9" t="s">
        <v>453</v>
      </c>
      <c r="B191" s="14" t="s">
        <v>447</v>
      </c>
      <c r="C191" s="25" t="n">
        <v>50000</v>
      </c>
      <c r="D191" s="12" t="n">
        <v>85000</v>
      </c>
      <c r="E191" s="16" t="n">
        <v>0.15</v>
      </c>
      <c r="F191" s="9" t="s">
        <v>102</v>
      </c>
      <c r="G191" s="9" t="s">
        <v>454</v>
      </c>
      <c r="H191" s="2"/>
      <c r="I191" s="2"/>
      <c r="J191" s="2"/>
      <c r="K191" s="2"/>
      <c r="L191" s="2"/>
      <c r="M191" s="2"/>
    </row>
    <row r="192" customFormat="false" ht="15" hidden="false" customHeight="false" outlineLevel="0" collapsed="false">
      <c r="A192" s="9" t="s">
        <v>455</v>
      </c>
      <c r="B192" s="14" t="s">
        <v>444</v>
      </c>
      <c r="C192" s="25" t="n">
        <v>150</v>
      </c>
      <c r="D192" s="12" t="n">
        <v>35000</v>
      </c>
      <c r="E192" s="16" t="n">
        <v>0</v>
      </c>
      <c r="F192" s="13" t="s">
        <v>106</v>
      </c>
      <c r="G192" s="9"/>
      <c r="H192" s="2"/>
      <c r="I192" s="2"/>
      <c r="J192" s="2"/>
      <c r="K192" s="2"/>
      <c r="L192" s="2"/>
      <c r="M192" s="2"/>
    </row>
    <row r="193" customFormat="false" ht="15" hidden="false" customHeight="false" outlineLevel="0" collapsed="false">
      <c r="A193" s="9" t="s">
        <v>456</v>
      </c>
      <c r="B193" s="14" t="s">
        <v>447</v>
      </c>
      <c r="C193" s="25" t="n">
        <v>60000</v>
      </c>
      <c r="D193" s="12" t="n">
        <v>50000</v>
      </c>
      <c r="E193" s="16" t="n">
        <v>0.15</v>
      </c>
      <c r="F193" s="13" t="s">
        <v>106</v>
      </c>
      <c r="G193" s="9"/>
      <c r="H193" s="2"/>
      <c r="I193" s="2"/>
      <c r="J193" s="2"/>
      <c r="K193" s="2"/>
      <c r="L193" s="2"/>
      <c r="M193" s="2"/>
    </row>
    <row r="194" customFormat="false" ht="15" hidden="false" customHeight="false" outlineLevel="0" collapsed="false">
      <c r="A194" s="9" t="s">
        <v>457</v>
      </c>
      <c r="B194" s="14" t="s">
        <v>447</v>
      </c>
      <c r="C194" s="25" t="n">
        <v>80000</v>
      </c>
      <c r="D194" s="12" t="n">
        <v>60000</v>
      </c>
      <c r="E194" s="16" t="n">
        <v>0.15</v>
      </c>
      <c r="F194" s="13" t="s">
        <v>106</v>
      </c>
      <c r="G194" s="9"/>
      <c r="H194" s="2"/>
      <c r="I194" s="2"/>
      <c r="J194" s="2"/>
      <c r="K194" s="2"/>
      <c r="L194" s="2"/>
      <c r="M194" s="2"/>
    </row>
    <row r="195" customFormat="false" ht="15" hidden="false" customHeight="false" outlineLevel="0" collapsed="false">
      <c r="A195" s="9" t="s">
        <v>458</v>
      </c>
      <c r="B195" s="14" t="s">
        <v>447</v>
      </c>
      <c r="C195" s="25" t="n">
        <v>120000</v>
      </c>
      <c r="D195" s="12" t="n">
        <v>90000</v>
      </c>
      <c r="E195" s="16" t="n">
        <v>0.15</v>
      </c>
      <c r="F195" s="9" t="s">
        <v>114</v>
      </c>
      <c r="G195" s="9" t="s">
        <v>459</v>
      </c>
      <c r="H195" s="2"/>
      <c r="I195" s="2"/>
      <c r="J195" s="2"/>
      <c r="K195" s="2"/>
      <c r="L195" s="2"/>
      <c r="M195" s="2"/>
    </row>
    <row r="196" customFormat="false" ht="15" hidden="false" customHeight="false" outlineLevel="0" collapsed="false">
      <c r="A196" s="9" t="s">
        <v>460</v>
      </c>
      <c r="B196" s="14" t="s">
        <v>444</v>
      </c>
      <c r="C196" s="25" t="n">
        <v>300</v>
      </c>
      <c r="D196" s="12" t="n">
        <v>35000</v>
      </c>
      <c r="E196" s="16" t="n">
        <v>0</v>
      </c>
      <c r="F196" s="13" t="s">
        <v>106</v>
      </c>
      <c r="G196" s="9"/>
      <c r="H196" s="2"/>
      <c r="I196" s="2"/>
      <c r="J196" s="2"/>
      <c r="K196" s="2"/>
      <c r="L196" s="2"/>
      <c r="M196" s="2"/>
    </row>
    <row r="197" customFormat="false" ht="15" hidden="false" customHeight="true" outlineLevel="0" collapsed="false">
      <c r="A197" s="7" t="s">
        <v>461</v>
      </c>
      <c r="B197" s="7"/>
      <c r="C197" s="7"/>
      <c r="D197" s="7"/>
      <c r="E197" s="7"/>
      <c r="F197" s="7"/>
      <c r="G197" s="7"/>
      <c r="H197" s="2"/>
      <c r="I197" s="2"/>
      <c r="J197" s="2"/>
      <c r="K197" s="2"/>
      <c r="L197" s="2"/>
      <c r="M197" s="2"/>
    </row>
  </sheetData>
  <mergeCells count="4">
    <mergeCell ref="A2:G2"/>
    <mergeCell ref="A69:M69"/>
    <mergeCell ref="A117:K117"/>
    <mergeCell ref="A197:G1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0" min="2" style="0" width="12.5"/>
  </cols>
  <sheetData>
    <row r="1" customFormat="false" ht="17.35" hidden="false" customHeight="false" outlineLevel="0" collapsed="false">
      <c r="A1" s="1" t="s">
        <v>462</v>
      </c>
      <c r="B1" s="2"/>
      <c r="C1" s="2"/>
      <c r="D1" s="2"/>
      <c r="E1" s="2"/>
      <c r="F1" s="2"/>
      <c r="G1" s="2"/>
      <c r="H1" s="2"/>
      <c r="I1" s="2"/>
      <c r="J1" s="2"/>
      <c r="K1" s="2"/>
      <c r="L1" s="2"/>
      <c r="M1" s="2"/>
      <c r="N1" s="2"/>
      <c r="O1" s="2"/>
      <c r="P1" s="2"/>
      <c r="Q1" s="2"/>
      <c r="R1" s="2"/>
      <c r="S1" s="2"/>
    </row>
    <row r="2" customFormat="false" ht="31.5" hidden="false" customHeight="true" outlineLevel="0" collapsed="false">
      <c r="A2" s="7" t="s">
        <v>463</v>
      </c>
      <c r="B2" s="7"/>
      <c r="C2" s="7"/>
      <c r="D2" s="7"/>
      <c r="E2" s="7"/>
      <c r="F2" s="7"/>
      <c r="G2" s="7"/>
      <c r="H2" s="7"/>
      <c r="I2" s="7"/>
      <c r="J2" s="7"/>
      <c r="K2" s="7"/>
      <c r="L2" s="7"/>
      <c r="M2" s="7"/>
      <c r="N2" s="7"/>
      <c r="O2" s="7"/>
      <c r="P2" s="7"/>
      <c r="Q2" s="7"/>
      <c r="R2" s="7"/>
      <c r="S2" s="7"/>
    </row>
    <row r="3" customFormat="false" ht="15" hidden="false" customHeight="false" outlineLevel="0" collapsed="false">
      <c r="A3" s="2"/>
      <c r="B3" s="2"/>
      <c r="C3" s="2"/>
      <c r="D3" s="2"/>
      <c r="E3" s="2"/>
      <c r="F3" s="2"/>
      <c r="G3" s="2"/>
      <c r="H3" s="2"/>
      <c r="I3" s="2"/>
      <c r="J3" s="2"/>
      <c r="K3" s="2"/>
      <c r="L3" s="2"/>
      <c r="M3" s="2"/>
      <c r="N3" s="2"/>
      <c r="O3" s="2"/>
      <c r="P3" s="2"/>
      <c r="Q3" s="2"/>
      <c r="R3" s="2"/>
      <c r="S3" s="2"/>
    </row>
    <row r="4" customFormat="false" ht="15" hidden="false" customHeight="false" outlineLevel="0" collapsed="false">
      <c r="A4" s="5" t="s">
        <v>464</v>
      </c>
      <c r="B4" s="6"/>
      <c r="C4" s="6"/>
      <c r="D4" s="6"/>
      <c r="E4" s="6"/>
      <c r="F4" s="6"/>
      <c r="G4" s="6"/>
      <c r="H4" s="6"/>
      <c r="I4" s="6"/>
      <c r="J4" s="6"/>
      <c r="K4" s="6"/>
      <c r="L4" s="6"/>
      <c r="M4" s="6"/>
      <c r="N4" s="6"/>
      <c r="O4" s="6"/>
      <c r="P4" s="6"/>
      <c r="Q4" s="6"/>
      <c r="R4" s="6"/>
      <c r="S4" s="6"/>
    </row>
    <row r="5" customFormat="false" ht="30" hidden="false" customHeight="true" outlineLevel="0" collapsed="false">
      <c r="A5" s="8" t="s">
        <v>216</v>
      </c>
      <c r="B5" s="17" t="s">
        <v>465</v>
      </c>
      <c r="C5" s="17" t="s">
        <v>466</v>
      </c>
      <c r="D5" s="17" t="s">
        <v>467</v>
      </c>
      <c r="E5" s="17" t="s">
        <v>468</v>
      </c>
      <c r="F5" s="17" t="s">
        <v>469</v>
      </c>
      <c r="G5" s="17" t="s">
        <v>470</v>
      </c>
      <c r="H5" s="17" t="s">
        <v>471</v>
      </c>
      <c r="I5" s="17" t="s">
        <v>472</v>
      </c>
      <c r="J5" s="17" t="s">
        <v>473</v>
      </c>
      <c r="K5" s="17" t="s">
        <v>474</v>
      </c>
      <c r="L5" s="17" t="s">
        <v>475</v>
      </c>
      <c r="M5" s="17" t="s">
        <v>476</v>
      </c>
      <c r="N5" s="17" t="s">
        <v>477</v>
      </c>
      <c r="O5" s="17" t="s">
        <v>478</v>
      </c>
      <c r="P5" s="17" t="s">
        <v>479</v>
      </c>
      <c r="Q5" s="17" t="s">
        <v>480</v>
      </c>
      <c r="R5" s="17" t="s">
        <v>481</v>
      </c>
      <c r="S5" s="17" t="s">
        <v>482</v>
      </c>
    </row>
    <row r="6" customFormat="false" ht="15" hidden="false" customHeight="false" outlineLevel="0" collapsed="false">
      <c r="A6" s="9" t="s">
        <v>228</v>
      </c>
      <c r="B6" s="26" t="n">
        <f aca="false">Assumptions!$B$59*Assumptions!$C$12+Assumptions!$C$59*Assumptions!$C$13+(Assumptions!$D$59+Assumptions!$E$59)*Assumptions!$C$14</f>
        <v>0.046</v>
      </c>
      <c r="C6" s="26" t="n">
        <f aca="false">Assumptions!$C$59*Assumptions!$C$16*Assumptions!$C$15</f>
        <v>0.226</v>
      </c>
      <c r="D6" s="26" t="n">
        <f aca="false">(Assumptions!$D$59*Assumptions!$D$20*Assumptions!$C$17+Assumptions!$E$59*Assumptions!$D$21*Assumptions!$C$18)*Assumptions!$C$19</f>
        <v>0</v>
      </c>
      <c r="E6" s="26" t="n">
        <f aca="false">Assumptions!$F$59*Assumptions!$C$23*Assumptions!$C$22</f>
        <v>0.01475</v>
      </c>
      <c r="F6" s="26" t="n">
        <f aca="false">Assumptions!$G$59*Assumptions!$C$24*Assumptions!$C$25</f>
        <v>0</v>
      </c>
      <c r="G6" s="26" t="n">
        <f aca="false">Assumptions!$H$59*Assumptions!$D$26*Assumptions!$D$27</f>
        <v>0.018</v>
      </c>
      <c r="H6" s="26" t="n">
        <f aca="false">Assumptions!$I$59*Assumptions!$C$28</f>
        <v>0.0025</v>
      </c>
      <c r="I6" s="26" t="n">
        <f aca="false">Assumptions!$B$59*Assumptions!$D$31*Assumptions!$C$30</f>
        <v>0</v>
      </c>
      <c r="J6" s="26" t="n">
        <f aca="false">Assumptions!$B$59*Assumptions!$C$33/60*Assumptions!$C$32</f>
        <v>0.75</v>
      </c>
      <c r="K6" s="26" t="n">
        <f aca="false">(Assumptions!$C$59*Assumptions!$C$34+(Assumptions!$D$59+Assumptions!$E$59)*Assumptions!$C$35+Assumptions!$J$59*Assumptions!$C$36+Assumptions!$K$59)/60*Assumptions!$C$32</f>
        <v>0.125</v>
      </c>
      <c r="L6" s="26" t="n">
        <f aca="false">Assumptions!$L$59*Assumptions!$C$38/60*Assumptions!$C$37</f>
        <v>0.416666666666667</v>
      </c>
      <c r="M6" s="26" t="n">
        <f aca="false">SUM(B6:L6)</f>
        <v>1.59891666666667</v>
      </c>
      <c r="N6" s="26" t="n">
        <f aca="false">B6+C6+D6+E6+K6</f>
        <v>0.41175</v>
      </c>
      <c r="O6" s="27" t="n">
        <f aca="false">Assumptions!$C$39</f>
        <v>0.05</v>
      </c>
      <c r="P6" s="26" t="n">
        <f aca="false">(M6-N6)+N6/(1-O6)</f>
        <v>1.62058771929825</v>
      </c>
      <c r="Q6" s="28" t="n">
        <f aca="false">P6*Assumptions!$D$6</f>
        <v>1.22354372807018</v>
      </c>
      <c r="R6" s="29" t="n">
        <f aca="false">IF(P6=0,0,(J6+K6/(1-O6)+L6)/P6)</f>
        <v>0.801095552295842</v>
      </c>
      <c r="S6" s="20" t="n">
        <f aca="false">Assumptions!$B$59*Assumptions!$C$33+(Assumptions!$C$59*Assumptions!$C$34+(Assumptions!$D$59+Assumptions!$E$59)*Assumptions!$C$35+Assumptions!$J$59*Assumptions!$C$36+Assumptions!$K$59)/(1-O6)+Assumptions!$L$59*Assumptions!$C$38</f>
        <v>4.52631578947368</v>
      </c>
    </row>
    <row r="7" customFormat="false" ht="15" hidden="false" customHeight="false" outlineLevel="0" collapsed="false">
      <c r="A7" s="9" t="s">
        <v>229</v>
      </c>
      <c r="B7" s="26" t="n">
        <f aca="false">Assumptions!$B$60*Assumptions!$C$12+Assumptions!$C$60*Assumptions!$C$13+(Assumptions!$D$60+Assumptions!$E$60)*Assumptions!$C$14</f>
        <v>0.126</v>
      </c>
      <c r="C7" s="26" t="n">
        <f aca="false">Assumptions!$C$60*Assumptions!$C$16*Assumptions!$C$15</f>
        <v>1.13</v>
      </c>
      <c r="D7" s="26" t="n">
        <f aca="false">(Assumptions!$D$60*Assumptions!$D$20*Assumptions!$C$17+Assumptions!$E$60*Assumptions!$D$21*Assumptions!$C$18)*Assumptions!$C$19</f>
        <v>0</v>
      </c>
      <c r="E7" s="26" t="n">
        <f aca="false">Assumptions!$F$60*Assumptions!$C$23*Assumptions!$C$22</f>
        <v>0.059</v>
      </c>
      <c r="F7" s="26" t="n">
        <f aca="false">Assumptions!$G$60*Assumptions!$C$24*Assumptions!$C$25</f>
        <v>0</v>
      </c>
      <c r="G7" s="26" t="n">
        <f aca="false">Assumptions!$H$60*Assumptions!$D$26*Assumptions!$D$27</f>
        <v>0.09</v>
      </c>
      <c r="H7" s="26" t="n">
        <f aca="false">Assumptions!$I$60*Assumptions!$C$28</f>
        <v>0.01</v>
      </c>
      <c r="I7" s="26" t="n">
        <f aca="false">Assumptions!$B$60*Assumptions!$D$31*Assumptions!$C$30</f>
        <v>0</v>
      </c>
      <c r="J7" s="26" t="n">
        <f aca="false">Assumptions!$B$60*Assumptions!$C$33/60*Assumptions!$C$32</f>
        <v>0.75</v>
      </c>
      <c r="K7" s="26" t="n">
        <f aca="false">(Assumptions!$C$60*Assumptions!$C$34+(Assumptions!$D$60+Assumptions!$E$60)*Assumptions!$C$35+Assumptions!$J$60*Assumptions!$C$36+Assumptions!$K$60)/60*Assumptions!$C$32</f>
        <v>1.125</v>
      </c>
      <c r="L7" s="26" t="n">
        <f aca="false">Assumptions!$L$60*Assumptions!$C$38/60*Assumptions!$C$37</f>
        <v>0.625</v>
      </c>
      <c r="M7" s="26" t="n">
        <f aca="false">SUM(B7:L7)</f>
        <v>3.915</v>
      </c>
      <c r="N7" s="26" t="n">
        <f aca="false">B7+C7+D7+E7+K7</f>
        <v>2.44</v>
      </c>
      <c r="O7" s="27" t="n">
        <f aca="false">Assumptions!$C$39</f>
        <v>0.05</v>
      </c>
      <c r="P7" s="26" t="n">
        <f aca="false">(M7-N7)+N7/(1-O7)</f>
        <v>4.04342105263158</v>
      </c>
      <c r="Q7" s="28" t="n">
        <f aca="false">P7*Assumptions!$D$6</f>
        <v>3.05278289473684</v>
      </c>
      <c r="R7" s="29" t="n">
        <f aca="false">IF(P7=0,0,(J7+K7/(1-O7)+L7)/P7)</f>
        <v>0.632931988285063</v>
      </c>
      <c r="S7" s="20" t="n">
        <f aca="false">Assumptions!$B$60*Assumptions!$C$33+(Assumptions!$C$60*Assumptions!$C$34+(Assumptions!$D$60+Assumptions!$E$60)*Assumptions!$C$35+Assumptions!$J$60*Assumptions!$C$36+Assumptions!$K$60)/(1-O7)+Assumptions!$L$60*Assumptions!$C$38</f>
        <v>9.23684210526316</v>
      </c>
    </row>
    <row r="8" customFormat="false" ht="15" hidden="false" customHeight="false" outlineLevel="0" collapsed="false">
      <c r="A8" s="9" t="s">
        <v>230</v>
      </c>
      <c r="B8" s="26" t="n">
        <f aca="false">Assumptions!$B$61*Assumptions!$C$12+Assumptions!$C$61*Assumptions!$C$13+(Assumptions!$D$61+Assumptions!$E$61)*Assumptions!$C$14</f>
        <v>0.186</v>
      </c>
      <c r="C8" s="26" t="n">
        <f aca="false">Assumptions!$C$61*Assumptions!$C$16*Assumptions!$C$15</f>
        <v>1.808</v>
      </c>
      <c r="D8" s="26" t="n">
        <f aca="false">(Assumptions!$D$61*Assumptions!$D$20*Assumptions!$C$17+Assumptions!$E$61*Assumptions!$D$21*Assumptions!$C$18)*Assumptions!$C$19</f>
        <v>0</v>
      </c>
      <c r="E8" s="26" t="n">
        <f aca="false">Assumptions!$F$61*Assumptions!$C$23*Assumptions!$C$22</f>
        <v>0.1475</v>
      </c>
      <c r="F8" s="26" t="n">
        <f aca="false">Assumptions!$G$61*Assumptions!$C$24*Assumptions!$C$25</f>
        <v>0</v>
      </c>
      <c r="G8" s="26" t="n">
        <f aca="false">Assumptions!$H$61*Assumptions!$D$26*Assumptions!$D$27</f>
        <v>0.18</v>
      </c>
      <c r="H8" s="26" t="n">
        <f aca="false">Assumptions!$I$61*Assumptions!$C$28</f>
        <v>0.025</v>
      </c>
      <c r="I8" s="26" t="n">
        <f aca="false">Assumptions!$B$61*Assumptions!$D$31*Assumptions!$C$30</f>
        <v>0</v>
      </c>
      <c r="J8" s="26" t="n">
        <f aca="false">Assumptions!$B$61*Assumptions!$C$33/60*Assumptions!$C$32</f>
        <v>0.75</v>
      </c>
      <c r="K8" s="26" t="n">
        <f aca="false">(Assumptions!$C$61*Assumptions!$C$34+(Assumptions!$D$61+Assumptions!$E$61)*Assumptions!$C$35+Assumptions!$J$61*Assumptions!$C$36+Assumptions!$K$61)/60*Assumptions!$C$32</f>
        <v>2.25</v>
      </c>
      <c r="L8" s="26" t="n">
        <f aca="false">Assumptions!$L$61*Assumptions!$C$38/60*Assumptions!$C$37</f>
        <v>1.04166666666667</v>
      </c>
      <c r="M8" s="26" t="n">
        <f aca="false">SUM(B8:L8)</f>
        <v>6.38816666666667</v>
      </c>
      <c r="N8" s="26" t="n">
        <f aca="false">B8+C8+D8+E8+K8</f>
        <v>4.3915</v>
      </c>
      <c r="O8" s="27" t="n">
        <f aca="false">Assumptions!$C$39</f>
        <v>0.05</v>
      </c>
      <c r="P8" s="26" t="n">
        <f aca="false">(M8-N8)+N8/(1-O8)</f>
        <v>6.61929824561404</v>
      </c>
      <c r="Q8" s="28" t="n">
        <f aca="false">P8*Assumptions!$D$6</f>
        <v>4.9975701754386</v>
      </c>
      <c r="R8" s="29" t="n">
        <f aca="false">IF(P8=0,0,(J8+K8/(1-O8)+L8)/P8)</f>
        <v>0.62847866419295</v>
      </c>
      <c r="S8" s="20" t="n">
        <f aca="false">Assumptions!$B$61*Assumptions!$C$33+(Assumptions!$C$61*Assumptions!$C$34+(Assumptions!$D$61+Assumptions!$E$61)*Assumptions!$C$35+Assumptions!$J$61*Assumptions!$C$36+Assumptions!$K$61)/(1-O8)+Assumptions!$L$61*Assumptions!$C$38</f>
        <v>14.9736842105263</v>
      </c>
    </row>
    <row r="9" customFormat="false" ht="15" hidden="false" customHeight="false" outlineLevel="0" collapsed="false">
      <c r="A9" s="9" t="s">
        <v>231</v>
      </c>
      <c r="B9" s="26" t="n">
        <f aca="false">Assumptions!$B$62*Assumptions!$C$12+Assumptions!$C$62*Assumptions!$C$13+(Assumptions!$D$62+Assumptions!$E$62)*Assumptions!$C$14</f>
        <v>0.432</v>
      </c>
      <c r="C9" s="26" t="n">
        <f aca="false">Assumptions!$C$62*Assumptions!$C$16*Assumptions!$C$15</f>
        <v>4.294</v>
      </c>
      <c r="D9" s="26" t="n">
        <f aca="false">(Assumptions!$D$62*Assumptions!$D$20*Assumptions!$C$17+Assumptions!$E$62*Assumptions!$D$21*Assumptions!$C$18)*Assumptions!$C$19</f>
        <v>0</v>
      </c>
      <c r="E9" s="26" t="n">
        <f aca="false">Assumptions!$F$62*Assumptions!$C$23*Assumptions!$C$22</f>
        <v>0.295</v>
      </c>
      <c r="F9" s="26" t="n">
        <f aca="false">Assumptions!$G$62*Assumptions!$C$24*Assumptions!$C$25</f>
        <v>0</v>
      </c>
      <c r="G9" s="26" t="n">
        <f aca="false">Assumptions!$H$62*Assumptions!$D$26*Assumptions!$D$27</f>
        <v>0.36</v>
      </c>
      <c r="H9" s="26" t="n">
        <f aca="false">Assumptions!$I$62*Assumptions!$C$28</f>
        <v>0.05</v>
      </c>
      <c r="I9" s="26" t="n">
        <f aca="false">Assumptions!$B$62*Assumptions!$D$31*Assumptions!$C$30</f>
        <v>0</v>
      </c>
      <c r="J9" s="26" t="n">
        <f aca="false">Assumptions!$B$62*Assumptions!$C$33/60*Assumptions!$C$32</f>
        <v>1.5</v>
      </c>
      <c r="K9" s="26" t="n">
        <f aca="false">(Assumptions!$C$62*Assumptions!$C$34+(Assumptions!$D$62+Assumptions!$E$62)*Assumptions!$C$35+Assumptions!$J$62*Assumptions!$C$36+Assumptions!$K$62)/60*Assumptions!$C$32</f>
        <v>4.875</v>
      </c>
      <c r="L9" s="26" t="n">
        <f aca="false">Assumptions!$L$62*Assumptions!$C$38/60*Assumptions!$C$37</f>
        <v>1.66666666666667</v>
      </c>
      <c r="M9" s="26" t="n">
        <f aca="false">SUM(B9:L9)</f>
        <v>13.4726666666667</v>
      </c>
      <c r="N9" s="26" t="n">
        <f aca="false">B9+C9+D9+E9+K9</f>
        <v>9.896</v>
      </c>
      <c r="O9" s="27" t="n">
        <f aca="false">Assumptions!$C$39</f>
        <v>0.05</v>
      </c>
      <c r="P9" s="26" t="n">
        <f aca="false">(M9-N9)+N9/(1-O9)</f>
        <v>13.9935087719298</v>
      </c>
      <c r="Q9" s="28" t="n">
        <f aca="false">P9*Assumptions!$D$6</f>
        <v>10.565099122807</v>
      </c>
      <c r="R9" s="29" t="n">
        <f aca="false">IF(P9=0,0,(J9+K9/(1-O9)+L9)/P9)</f>
        <v>0.593006782593433</v>
      </c>
      <c r="S9" s="20" t="n">
        <f aca="false">Assumptions!$B$62*Assumptions!$C$33+(Assumptions!$C$62*Assumptions!$C$34+(Assumptions!$D$62+Assumptions!$E$62)*Assumptions!$C$35+Assumptions!$J$62*Assumptions!$C$36+Assumptions!$K$62)/(1-O9)+Assumptions!$L$62*Assumptions!$C$38</f>
        <v>30.5263157894737</v>
      </c>
    </row>
    <row r="10" customFormat="false" ht="15" hidden="false" customHeight="false" outlineLevel="0" collapsed="false">
      <c r="A10" s="9" t="s">
        <v>232</v>
      </c>
      <c r="B10" s="26" t="n">
        <f aca="false">Assumptions!$B$63*Assumptions!$C$12+Assumptions!$C$63*Assumptions!$C$13+(Assumptions!$D$63+Assumptions!$E$63)*Assumptions!$C$14</f>
        <v>0.026</v>
      </c>
      <c r="C10" s="26" t="n">
        <f aca="false">Assumptions!$C$63*Assumptions!$C$16*Assumptions!$C$15</f>
        <v>0</v>
      </c>
      <c r="D10" s="26" t="n">
        <f aca="false">(Assumptions!$D$63*Assumptions!$D$20*Assumptions!$C$17+Assumptions!$E$63*Assumptions!$D$21*Assumptions!$C$18)*Assumptions!$C$19</f>
        <v>0</v>
      </c>
      <c r="E10" s="26" t="n">
        <f aca="false">Assumptions!$F$63*Assumptions!$C$23*Assumptions!$C$22</f>
        <v>0.295</v>
      </c>
      <c r="F10" s="26" t="n">
        <f aca="false">Assumptions!$G$63*Assumptions!$C$24*Assumptions!$C$25</f>
        <v>0</v>
      </c>
      <c r="G10" s="26" t="n">
        <f aca="false">Assumptions!$H$63*Assumptions!$D$26*Assumptions!$D$27</f>
        <v>0.36</v>
      </c>
      <c r="H10" s="26" t="n">
        <f aca="false">Assumptions!$I$63*Assumptions!$C$28</f>
        <v>0.05</v>
      </c>
      <c r="I10" s="26" t="n">
        <f aca="false">Assumptions!$B$63*Assumptions!$D$31*Assumptions!$C$30</f>
        <v>0</v>
      </c>
      <c r="J10" s="26" t="n">
        <f aca="false">Assumptions!$B$63*Assumptions!$C$33/60*Assumptions!$C$32</f>
        <v>0.75</v>
      </c>
      <c r="K10" s="26" t="n">
        <f aca="false">(Assumptions!$C$63*Assumptions!$C$34+(Assumptions!$D$63+Assumptions!$E$63)*Assumptions!$C$35+Assumptions!$J$63*Assumptions!$C$36+Assumptions!$K$63)/60*Assumptions!$C$32</f>
        <v>3.75</v>
      </c>
      <c r="L10" s="26" t="n">
        <f aca="false">Assumptions!$L$63*Assumptions!$C$38/60*Assumptions!$C$37</f>
        <v>2.08333333333333</v>
      </c>
      <c r="M10" s="26" t="n">
        <f aca="false">SUM(B10:L10)</f>
        <v>7.31433333333333</v>
      </c>
      <c r="N10" s="26" t="n">
        <f aca="false">B10+C10+D10+E10+K10</f>
        <v>4.071</v>
      </c>
      <c r="O10" s="27" t="n">
        <f aca="false">Assumptions!$C$39</f>
        <v>0.05</v>
      </c>
      <c r="P10" s="26" t="n">
        <f aca="false">(M10-N10)+N10/(1-O10)</f>
        <v>7.52859649122807</v>
      </c>
      <c r="Q10" s="28" t="n">
        <f aca="false">P10*Assumptions!$D$6</f>
        <v>5.68409035087719</v>
      </c>
      <c r="R10" s="29" t="n">
        <f aca="false">IF(P10=0,0,(J10+K10/(1-O10)+L10)/P10)</f>
        <v>0.900659473819122</v>
      </c>
      <c r="S10" s="20" t="n">
        <f aca="false">Assumptions!$B$63*Assumptions!$C$33+(Assumptions!$C$63*Assumptions!$C$34+(Assumptions!$D$63+Assumptions!$E$63)*Assumptions!$C$35+Assumptions!$J$63*Assumptions!$C$36+Assumptions!$K$63)/(1-O10)+Assumptions!$L$63*Assumptions!$C$38</f>
        <v>23.7894736842105</v>
      </c>
    </row>
    <row r="11" customFormat="false" ht="15" hidden="false" customHeight="false" outlineLevel="0" collapsed="false">
      <c r="A11" s="9" t="s">
        <v>233</v>
      </c>
      <c r="B11" s="26" t="n">
        <f aca="false">Assumptions!$B$64*Assumptions!$C$12+Assumptions!$C$64*Assumptions!$C$13+(Assumptions!$D$64+Assumptions!$E$64)*Assumptions!$C$14</f>
        <v>0.076</v>
      </c>
      <c r="C11" s="26" t="n">
        <f aca="false">Assumptions!$C$64*Assumptions!$C$16*Assumptions!$C$15</f>
        <v>0</v>
      </c>
      <c r="D11" s="26" t="n">
        <f aca="false">(Assumptions!$D$64*Assumptions!$D$20*Assumptions!$C$17+Assumptions!$E$64*Assumptions!$D$21*Assumptions!$C$18)*Assumptions!$C$19</f>
        <v>3.15</v>
      </c>
      <c r="E11" s="26" t="n">
        <f aca="false">Assumptions!$F$64*Assumptions!$C$23*Assumptions!$C$22</f>
        <v>0.1475</v>
      </c>
      <c r="F11" s="26" t="n">
        <f aca="false">Assumptions!$G$64*Assumptions!$C$24*Assumptions!$C$25</f>
        <v>0</v>
      </c>
      <c r="G11" s="26" t="n">
        <f aca="false">Assumptions!$H$64*Assumptions!$D$26*Assumptions!$D$27</f>
        <v>0.09</v>
      </c>
      <c r="H11" s="26" t="n">
        <f aca="false">Assumptions!$I$64*Assumptions!$C$28</f>
        <v>0.025</v>
      </c>
      <c r="I11" s="26" t="n">
        <f aca="false">Assumptions!$B$64*Assumptions!$D$31*Assumptions!$C$30</f>
        <v>0</v>
      </c>
      <c r="J11" s="26" t="n">
        <f aca="false">Assumptions!$B$64*Assumptions!$C$33/60*Assumptions!$C$32</f>
        <v>0.75</v>
      </c>
      <c r="K11" s="26" t="n">
        <f aca="false">(Assumptions!$C$64*Assumptions!$C$34+(Assumptions!$D$64+Assumptions!$E$64)*Assumptions!$C$35+Assumptions!$J$64*Assumptions!$C$36+Assumptions!$K$64)/60*Assumptions!$C$32</f>
        <v>1.25</v>
      </c>
      <c r="L11" s="26" t="n">
        <f aca="false">Assumptions!$L$64*Assumptions!$C$38/60*Assumptions!$C$37</f>
        <v>1.04166666666667</v>
      </c>
      <c r="M11" s="26" t="n">
        <f aca="false">SUM(B11:L11)</f>
        <v>6.53016666666667</v>
      </c>
      <c r="N11" s="26" t="n">
        <f aca="false">B11+C11+D11+E11+K11</f>
        <v>4.6235</v>
      </c>
      <c r="O11" s="27" t="n">
        <f aca="false">Assumptions!$C$39</f>
        <v>0.05</v>
      </c>
      <c r="P11" s="26" t="n">
        <f aca="false">(M11-N11)+N11/(1-O11)</f>
        <v>6.77350877192983</v>
      </c>
      <c r="Q11" s="28" t="n">
        <f aca="false">P11*Assumptions!$D$6</f>
        <v>5.11399912280702</v>
      </c>
      <c r="R11" s="29" t="n">
        <f aca="false">IF(P11=0,0,(J11+K11/(1-O11)+L11)/P11)</f>
        <v>0.458766090807843</v>
      </c>
      <c r="S11" s="20" t="n">
        <f aca="false">Assumptions!$B$64*Assumptions!$C$33+(Assumptions!$C$64*Assumptions!$C$34+(Assumptions!$D$64+Assumptions!$E$64)*Assumptions!$C$35+Assumptions!$J$64*Assumptions!$C$36+Assumptions!$K$64)/(1-O11)+Assumptions!$L$64*Assumptions!$C$38</f>
        <v>10.7631578947368</v>
      </c>
    </row>
    <row r="12" customFormat="false" ht="15" hidden="false" customHeight="false" outlineLevel="0" collapsed="false">
      <c r="A12" s="9" t="s">
        <v>234</v>
      </c>
      <c r="B12" s="26" t="n">
        <f aca="false">Assumptions!$B$65*Assumptions!$C$12+Assumptions!$C$65*Assumptions!$C$13+(Assumptions!$D$65+Assumptions!$E$65)*Assumptions!$C$14</f>
        <v>0.076</v>
      </c>
      <c r="C12" s="26" t="n">
        <f aca="false">Assumptions!$C$65*Assumptions!$C$16*Assumptions!$C$15</f>
        <v>0</v>
      </c>
      <c r="D12" s="26" t="n">
        <f aca="false">(Assumptions!$D$65*Assumptions!$D$20*Assumptions!$C$17+Assumptions!$E$65*Assumptions!$D$21*Assumptions!$C$18)*Assumptions!$C$19</f>
        <v>10.8</v>
      </c>
      <c r="E12" s="26" t="n">
        <f aca="false">Assumptions!$F$65*Assumptions!$C$23*Assumptions!$C$22</f>
        <v>0.295</v>
      </c>
      <c r="F12" s="26" t="n">
        <f aca="false">Assumptions!$G$65*Assumptions!$C$24*Assumptions!$C$25</f>
        <v>0</v>
      </c>
      <c r="G12" s="26" t="n">
        <f aca="false">Assumptions!$H$65*Assumptions!$D$26*Assumptions!$D$27</f>
        <v>0.18</v>
      </c>
      <c r="H12" s="26" t="n">
        <f aca="false">Assumptions!$I$65*Assumptions!$C$28</f>
        <v>0.05</v>
      </c>
      <c r="I12" s="26" t="n">
        <f aca="false">Assumptions!$B$65*Assumptions!$D$31*Assumptions!$C$30</f>
        <v>0</v>
      </c>
      <c r="J12" s="26" t="n">
        <f aca="false">Assumptions!$B$65*Assumptions!$C$33/60*Assumptions!$C$32</f>
        <v>0.75</v>
      </c>
      <c r="K12" s="26" t="n">
        <f aca="false">(Assumptions!$C$65*Assumptions!$C$34+(Assumptions!$D$65+Assumptions!$E$65)*Assumptions!$C$35+Assumptions!$J$65*Assumptions!$C$36+Assumptions!$K$65)/60*Assumptions!$C$32</f>
        <v>1.25</v>
      </c>
      <c r="L12" s="26" t="n">
        <f aca="false">Assumptions!$L$65*Assumptions!$C$38/60*Assumptions!$C$37</f>
        <v>1.66666666666667</v>
      </c>
      <c r="M12" s="26" t="n">
        <f aca="false">SUM(B12:L12)</f>
        <v>15.0676666666667</v>
      </c>
      <c r="N12" s="26" t="n">
        <f aca="false">B12+C12+D12+E12+K12</f>
        <v>12.421</v>
      </c>
      <c r="O12" s="27" t="n">
        <f aca="false">Assumptions!$C$39</f>
        <v>0.05</v>
      </c>
      <c r="P12" s="26" t="n">
        <f aca="false">(M12-N12)+N12/(1-O12)</f>
        <v>15.7214035087719</v>
      </c>
      <c r="Q12" s="28" t="n">
        <f aca="false">P12*Assumptions!$D$6</f>
        <v>11.8696596491228</v>
      </c>
      <c r="R12" s="29" t="n">
        <f aca="false">IF(P12=0,0,(J12+K12/(1-O12)+L12)/P12)</f>
        <v>0.237412400124983</v>
      </c>
      <c r="S12" s="20" t="n">
        <f aca="false">Assumptions!$B$65*Assumptions!$C$33+(Assumptions!$C$65*Assumptions!$C$34+(Assumptions!$D$65+Assumptions!$E$65)*Assumptions!$C$35+Assumptions!$J$65*Assumptions!$C$36+Assumptions!$K$65)/(1-O12)+Assumptions!$L$65*Assumptions!$C$38</f>
        <v>12.2631578947368</v>
      </c>
    </row>
    <row r="13" customFormat="false" ht="15" hidden="false" customHeight="false" outlineLevel="0" collapsed="false">
      <c r="A13" s="9" t="s">
        <v>235</v>
      </c>
      <c r="B13" s="26" t="n">
        <f aca="false">Assumptions!$B$66*Assumptions!$C$12+Assumptions!$C$66*Assumptions!$C$13+(Assumptions!$D$66+Assumptions!$E$66)*Assumptions!$C$14</f>
        <v>0.592</v>
      </c>
      <c r="C13" s="26" t="n">
        <f aca="false">Assumptions!$C$66*Assumptions!$C$16*Assumptions!$C$15</f>
        <v>4.972</v>
      </c>
      <c r="D13" s="26" t="n">
        <f aca="false">(Assumptions!$D$66*Assumptions!$D$20*Assumptions!$C$17+Assumptions!$E$66*Assumptions!$D$21*Assumptions!$C$18)*Assumptions!$C$19</f>
        <v>13.95</v>
      </c>
      <c r="E13" s="26" t="n">
        <f aca="false">Assumptions!$F$66*Assumptions!$C$23*Assumptions!$C$22</f>
        <v>0.59</v>
      </c>
      <c r="F13" s="26" t="n">
        <f aca="false">Assumptions!$G$66*Assumptions!$C$24*Assumptions!$C$25</f>
        <v>0</v>
      </c>
      <c r="G13" s="26" t="n">
        <f aca="false">Assumptions!$H$66*Assumptions!$D$26*Assumptions!$D$27</f>
        <v>0.54</v>
      </c>
      <c r="H13" s="26" t="n">
        <f aca="false">Assumptions!$I$66*Assumptions!$C$28</f>
        <v>0.1</v>
      </c>
      <c r="I13" s="26" t="n">
        <f aca="false">Assumptions!$B$66*Assumptions!$D$31*Assumptions!$C$30</f>
        <v>0</v>
      </c>
      <c r="J13" s="26" t="n">
        <f aca="false">Assumptions!$B$66*Assumptions!$C$33/60*Assumptions!$C$32</f>
        <v>1.5</v>
      </c>
      <c r="K13" s="26" t="n">
        <f aca="false">(Assumptions!$C$66*Assumptions!$C$34+(Assumptions!$D$66+Assumptions!$E$66)*Assumptions!$C$35+Assumptions!$J$66*Assumptions!$C$36+Assumptions!$K$66)/60*Assumptions!$C$32</f>
        <v>12.75</v>
      </c>
      <c r="L13" s="26" t="n">
        <f aca="false">Assumptions!$L$66*Assumptions!$C$38/60*Assumptions!$C$37</f>
        <v>6.25</v>
      </c>
      <c r="M13" s="26" t="n">
        <f aca="false">SUM(B13:L13)</f>
        <v>41.244</v>
      </c>
      <c r="N13" s="26" t="n">
        <f aca="false">B13+C13+D13+E13+K13</f>
        <v>32.854</v>
      </c>
      <c r="O13" s="27" t="n">
        <f aca="false">Assumptions!$C$39</f>
        <v>0.05</v>
      </c>
      <c r="P13" s="26" t="n">
        <f aca="false">(M13-N13)+N13/(1-O13)</f>
        <v>42.9731578947368</v>
      </c>
      <c r="Q13" s="28" t="n">
        <f aca="false">P13*Assumptions!$D$6</f>
        <v>32.4447342105263</v>
      </c>
      <c r="R13" s="29" t="n">
        <f aca="false">IF(P13=0,0,(J13+K13/(1-O13)+L13)/P13)</f>
        <v>0.492657595316538</v>
      </c>
      <c r="S13" s="20" t="n">
        <f aca="false">Assumptions!$B$66*Assumptions!$C$33+(Assumptions!$C$66*Assumptions!$C$34+(Assumptions!$D$66+Assumptions!$E$66)*Assumptions!$C$35+Assumptions!$J$66*Assumptions!$C$36+Assumptions!$K$66)/(1-O13)+Assumptions!$L$66*Assumptions!$C$38</f>
        <v>74.6842105263158</v>
      </c>
    </row>
    <row r="14" customFormat="false" ht="15" hidden="false" customHeight="false" outlineLevel="0" collapsed="false">
      <c r="A14" s="9" t="s">
        <v>236</v>
      </c>
      <c r="B14" s="26" t="n">
        <f aca="false">Assumptions!$B$67*Assumptions!$C$12+Assumptions!$C$67*Assumptions!$C$13+(Assumptions!$D$67+Assumptions!$E$67)*Assumptions!$C$14</f>
        <v>6.552</v>
      </c>
      <c r="C14" s="26" t="n">
        <f aca="false">Assumptions!$C$67*Assumptions!$C$16*Assumptions!$C$15</f>
        <v>63.732</v>
      </c>
      <c r="D14" s="26" t="n">
        <f aca="false">(Assumptions!$D$67*Assumptions!$D$20*Assumptions!$C$17+Assumptions!$E$67*Assumptions!$D$21*Assumptions!$C$18)*Assumptions!$C$19</f>
        <v>83.7</v>
      </c>
      <c r="E14" s="26" t="n">
        <f aca="false">Assumptions!$F$67*Assumptions!$C$23*Assumptions!$C$22</f>
        <v>4.13</v>
      </c>
      <c r="F14" s="26" t="n">
        <f aca="false">Assumptions!$G$67*Assumptions!$C$24*Assumptions!$C$25</f>
        <v>0</v>
      </c>
      <c r="G14" s="26" t="n">
        <f aca="false">Assumptions!$H$67*Assumptions!$D$26*Assumptions!$D$27</f>
        <v>4.14</v>
      </c>
      <c r="H14" s="26" t="n">
        <f aca="false">Assumptions!$I$67*Assumptions!$C$28</f>
        <v>0.85</v>
      </c>
      <c r="I14" s="26" t="n">
        <f aca="false">Assumptions!$B$67*Assumptions!$D$31*Assumptions!$C$30</f>
        <v>0</v>
      </c>
      <c r="J14" s="26" t="n">
        <f aca="false">Assumptions!$B$67*Assumptions!$C$33/60*Assumptions!$C$32</f>
        <v>9</v>
      </c>
      <c r="K14" s="26" t="n">
        <f aca="false">(Assumptions!$C$67*Assumptions!$C$34+(Assumptions!$D$67+Assumptions!$E$67)*Assumptions!$C$35+Assumptions!$J$67*Assumptions!$C$36+Assumptions!$K$67)/60*Assumptions!$C$32</f>
        <v>122.75</v>
      </c>
      <c r="L14" s="26" t="n">
        <f aca="false">Assumptions!$L$67*Assumptions!$C$38/60*Assumptions!$C$37</f>
        <v>25</v>
      </c>
      <c r="M14" s="26" t="n">
        <f aca="false">SUM(B14:L14)</f>
        <v>319.854</v>
      </c>
      <c r="N14" s="26" t="n">
        <f aca="false">B14+C14+D14+E14+K14</f>
        <v>280.864</v>
      </c>
      <c r="O14" s="27" t="n">
        <f aca="false">Assumptions!$C$39</f>
        <v>0.05</v>
      </c>
      <c r="P14" s="26" t="n">
        <f aca="false">(M14-N14)+N14/(1-O14)</f>
        <v>334.636315789474</v>
      </c>
      <c r="Q14" s="28" t="n">
        <f aca="false">P14*Assumptions!$D$6</f>
        <v>252.650418421053</v>
      </c>
      <c r="R14" s="29" t="n">
        <f aca="false">IF(P14=0,0,(J14+K14/(1-O14)+L14)/P14)</f>
        <v>0.487725087251046</v>
      </c>
      <c r="S14" s="20" t="n">
        <f aca="false">Assumptions!$B$67*Assumptions!$C$33+(Assumptions!$C$67*Assumptions!$C$34+(Assumptions!$D$67+Assumptions!$E$67)*Assumptions!$C$35+Assumptions!$J$67*Assumptions!$C$36+Assumptions!$K$67)/(1-O14)+Assumptions!$L$67*Assumptions!$C$38</f>
        <v>612.842105263158</v>
      </c>
    </row>
    <row r="15" customFormat="false" ht="15" hidden="false" customHeight="false" outlineLevel="0" collapsed="false">
      <c r="A15" s="9" t="s">
        <v>237</v>
      </c>
      <c r="B15" s="26" t="n">
        <f aca="false">Assumptions!$B$68*Assumptions!$C$12+Assumptions!$C$68*Assumptions!$C$13+(Assumptions!$D$68+Assumptions!$E$68)*Assumptions!$C$14</f>
        <v>20.88</v>
      </c>
      <c r="C15" s="26" t="n">
        <f aca="false">Assumptions!$C$68*Assumptions!$C$16*Assumptions!$C$15</f>
        <v>210.18</v>
      </c>
      <c r="D15" s="26" t="n">
        <f aca="false">(Assumptions!$D$68*Assumptions!$D$20*Assumptions!$C$17+Assumptions!$E$68*Assumptions!$D$21*Assumptions!$C$18)*Assumptions!$C$19</f>
        <v>209.25</v>
      </c>
      <c r="E15" s="26" t="n">
        <f aca="false">Assumptions!$F$68*Assumptions!$C$23*Assumptions!$C$22</f>
        <v>9.44</v>
      </c>
      <c r="F15" s="26" t="n">
        <f aca="false">Assumptions!$G$68*Assumptions!$C$24*Assumptions!$C$25</f>
        <v>0</v>
      </c>
      <c r="G15" s="26" t="n">
        <f aca="false">Assumptions!$H$68*Assumptions!$D$26*Assumptions!$D$27</f>
        <v>11.7</v>
      </c>
      <c r="H15" s="26" t="n">
        <f aca="false">Assumptions!$I$68*Assumptions!$C$28</f>
        <v>2.5</v>
      </c>
      <c r="I15" s="26" t="n">
        <f aca="false">Assumptions!$B$68*Assumptions!$D$31*Assumptions!$C$30</f>
        <v>0</v>
      </c>
      <c r="J15" s="26" t="n">
        <f aca="false">Assumptions!$B$68*Assumptions!$C$33/60*Assumptions!$C$32</f>
        <v>22.5</v>
      </c>
      <c r="K15" s="26" t="n">
        <f aca="false">(Assumptions!$C$68*Assumptions!$C$34+(Assumptions!$D$68+Assumptions!$E$68)*Assumptions!$C$35+Assumptions!$J$68*Assumptions!$C$36+Assumptions!$K$68)/60*Assumptions!$C$32</f>
        <v>331.25</v>
      </c>
      <c r="L15" s="26" t="n">
        <f aca="false">Assumptions!$L$68*Assumptions!$C$38/60*Assumptions!$C$37</f>
        <v>50</v>
      </c>
      <c r="M15" s="26" t="n">
        <f aca="false">SUM(B15:L15)</f>
        <v>867.7</v>
      </c>
      <c r="N15" s="26" t="n">
        <f aca="false">B15+C15+D15+E15+K15</f>
        <v>781</v>
      </c>
      <c r="O15" s="27" t="n">
        <f aca="false">Assumptions!$C$39</f>
        <v>0.05</v>
      </c>
      <c r="P15" s="26" t="n">
        <f aca="false">(M15-N15)+N15/(1-O15)</f>
        <v>908.805263157895</v>
      </c>
      <c r="Q15" s="28" t="n">
        <f aca="false">P15*Assumptions!$D$6</f>
        <v>686.147973684211</v>
      </c>
      <c r="R15" s="29" t="n">
        <f aca="false">IF(P15=0,0,(J15+K15/(1-O15)+L15)/P15)</f>
        <v>0.463448251898096</v>
      </c>
      <c r="S15" s="20" t="n">
        <f aca="false">Assumptions!$B$68*Assumptions!$C$33+(Assumptions!$C$68*Assumptions!$C$34+(Assumptions!$D$68+Assumptions!$E$68)*Assumptions!$C$35+Assumptions!$J$68*Assumptions!$C$36+Assumptions!$K$68)/(1-O15)+Assumptions!$L$68*Assumptions!$C$38</f>
        <v>1604.73684210526</v>
      </c>
    </row>
    <row r="16" customFormat="false" ht="15" hidden="false" customHeight="false" outlineLevel="0" collapsed="false">
      <c r="A16" s="3" t="s">
        <v>483</v>
      </c>
      <c r="B16" s="2"/>
      <c r="C16" s="2"/>
      <c r="D16" s="2"/>
      <c r="E16" s="2"/>
      <c r="F16" s="2"/>
      <c r="G16" s="2"/>
      <c r="H16" s="2"/>
      <c r="I16" s="2"/>
      <c r="J16" s="2"/>
      <c r="K16" s="2"/>
      <c r="L16" s="2"/>
      <c r="M16" s="30" t="n">
        <f aca="false">Assumptions!$C$24*Assumptions!$C$25+Assumptions!$D$29*Assumptions!$C$28+Assumptions!$D$44*Assumptions!$D$26</f>
        <v>0.08</v>
      </c>
      <c r="N16" s="2"/>
      <c r="O16" s="2"/>
      <c r="P16" s="2"/>
      <c r="Q16" s="31" t="n">
        <f aca="false">M16*Assumptions!$D$6</f>
        <v>0.0604</v>
      </c>
      <c r="R16" s="2"/>
      <c r="S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row>
    <row r="18" customFormat="false" ht="15" hidden="false" customHeight="false" outlineLevel="0" collapsed="false">
      <c r="A18" s="5" t="s">
        <v>484</v>
      </c>
      <c r="B18" s="6"/>
      <c r="C18" s="6"/>
      <c r="D18" s="6"/>
      <c r="E18" s="6"/>
      <c r="F18" s="6"/>
      <c r="G18" s="6"/>
      <c r="H18" s="6"/>
      <c r="I18" s="6"/>
      <c r="J18" s="6"/>
      <c r="K18" s="6"/>
      <c r="L18" s="6"/>
      <c r="M18" s="6"/>
      <c r="N18" s="6"/>
      <c r="O18" s="6"/>
      <c r="P18" s="6"/>
      <c r="Q18" s="6"/>
      <c r="R18" s="6"/>
      <c r="S18" s="6"/>
    </row>
    <row r="19" customFormat="false" ht="30" hidden="false" customHeight="true" outlineLevel="0" collapsed="false">
      <c r="A19" s="8" t="s">
        <v>216</v>
      </c>
      <c r="B19" s="17" t="s">
        <v>465</v>
      </c>
      <c r="C19" s="17" t="s">
        <v>466</v>
      </c>
      <c r="D19" s="17" t="s">
        <v>467</v>
      </c>
      <c r="E19" s="17" t="s">
        <v>468</v>
      </c>
      <c r="F19" s="17" t="s">
        <v>469</v>
      </c>
      <c r="G19" s="17" t="s">
        <v>470</v>
      </c>
      <c r="H19" s="17" t="s">
        <v>471</v>
      </c>
      <c r="I19" s="17" t="s">
        <v>472</v>
      </c>
      <c r="J19" s="17" t="s">
        <v>473</v>
      </c>
      <c r="K19" s="17" t="s">
        <v>474</v>
      </c>
      <c r="L19" s="17" t="s">
        <v>475</v>
      </c>
      <c r="M19" s="17" t="s">
        <v>476</v>
      </c>
      <c r="N19" s="17" t="s">
        <v>477</v>
      </c>
      <c r="O19" s="17" t="s">
        <v>478</v>
      </c>
      <c r="P19" s="17" t="s">
        <v>479</v>
      </c>
      <c r="Q19" s="17" t="s">
        <v>480</v>
      </c>
      <c r="R19" s="17" t="s">
        <v>481</v>
      </c>
      <c r="S19" s="17" t="s">
        <v>482</v>
      </c>
    </row>
    <row r="20" customFormat="false" ht="15" hidden="false" customHeight="false" outlineLevel="0" collapsed="false">
      <c r="A20" s="9" t="s">
        <v>228</v>
      </c>
      <c r="B20" s="26" t="n">
        <f aca="false">Assumptions!$B$59*Assumptions!$D$12+Assumptions!$C$59*Assumptions!$D$13+(Assumptions!$D$59+Assumptions!$E$59)*Assumptions!$D$14</f>
        <v>0.082</v>
      </c>
      <c r="C20" s="26" t="n">
        <f aca="false">Assumptions!$C$59*Assumptions!$D$16*Assumptions!$D$15</f>
        <v>0.72</v>
      </c>
      <c r="D20" s="26" t="n">
        <f aca="false">(Assumptions!$D$59*Assumptions!$D$20*Assumptions!$D$17+Assumptions!$E$59*Assumptions!$D$21*Assumptions!$D$18)*Assumptions!$D$19</f>
        <v>0</v>
      </c>
      <c r="E20" s="26" t="n">
        <f aca="false">Assumptions!$F$59*Assumptions!$D$23*Assumptions!$D$22</f>
        <v>0.0545</v>
      </c>
      <c r="F20" s="26" t="n">
        <f aca="false">Assumptions!$G$59*Assumptions!$D$24*Assumptions!$D$25</f>
        <v>0</v>
      </c>
      <c r="G20" s="26" t="n">
        <f aca="false">Assumptions!$H$59*Assumptions!$D$26*Assumptions!$D$27</f>
        <v>0.018</v>
      </c>
      <c r="H20" s="26" t="n">
        <f aca="false">Assumptions!$I$59*Assumptions!$D$28</f>
        <v>0.005</v>
      </c>
      <c r="I20" s="26" t="n">
        <f aca="false">Assumptions!$B$59*Assumptions!$D$31*Assumptions!$D$30</f>
        <v>0.45</v>
      </c>
      <c r="J20" s="26" t="n">
        <f aca="false">Assumptions!$B$59*Assumptions!$D$33/60*Assumptions!$D$32</f>
        <v>4.16666666666667</v>
      </c>
      <c r="K20" s="26" t="n">
        <f aca="false">(Assumptions!$C$59*Assumptions!$D$34+(Assumptions!$D$59+Assumptions!$E$59)*Assumptions!$D$35+Assumptions!$J$59*Assumptions!$D$36+Assumptions!$K$59)/60*Assumptions!$D$32</f>
        <v>0.416666666666667</v>
      </c>
      <c r="L20" s="26" t="n">
        <f aca="false">Assumptions!$L$59*Assumptions!$D$38/60*Assumptions!$D$37</f>
        <v>1</v>
      </c>
      <c r="M20" s="26" t="n">
        <f aca="false">SUM(B20:L20)</f>
        <v>6.91283333333333</v>
      </c>
      <c r="N20" s="26" t="n">
        <f aca="false">B20+C20+D20+E20+K20</f>
        <v>1.27316666666667</v>
      </c>
      <c r="O20" s="27" t="n">
        <f aca="false">Assumptions!$D$39</f>
        <v>0.15</v>
      </c>
      <c r="P20" s="26" t="n">
        <f aca="false">(M20-N20)+N20/(1-O20)</f>
        <v>7.13750980392157</v>
      </c>
      <c r="Q20" s="28" t="n">
        <f aca="false">P20*Assumptions!$D$6</f>
        <v>5.38881990196078</v>
      </c>
      <c r="R20" s="29" t="n">
        <f aca="false">IF(P20=0,0,(J20+K20/(1-O20)+L20)/P20)</f>
        <v>0.792554112078415</v>
      </c>
      <c r="S20" s="20" t="n">
        <f aca="false">Assumptions!$B$59*Assumptions!$D$33+(Assumptions!$C$59*Assumptions!$D$34+(Assumptions!$D$59+Assumptions!$E$59)*Assumptions!$D$35+Assumptions!$J$59*Assumptions!$D$36+Assumptions!$K$59)/(1-O20)+Assumptions!$L$59*Assumptions!$D$38</f>
        <v>13.1764705882353</v>
      </c>
    </row>
    <row r="21" customFormat="false" ht="15" hidden="false" customHeight="false" outlineLevel="0" collapsed="false">
      <c r="A21" s="9" t="s">
        <v>229</v>
      </c>
      <c r="B21" s="26" t="n">
        <f aca="false">Assumptions!$B$60*Assumptions!$D$12+Assumptions!$C$60*Assumptions!$D$13+(Assumptions!$D$60+Assumptions!$E$60)*Assumptions!$D$14</f>
        <v>0.202</v>
      </c>
      <c r="C21" s="26" t="n">
        <f aca="false">Assumptions!$C$60*Assumptions!$D$16*Assumptions!$D$15</f>
        <v>3.6</v>
      </c>
      <c r="D21" s="26" t="n">
        <f aca="false">(Assumptions!$D$60*Assumptions!$D$20*Assumptions!$D$17+Assumptions!$E$60*Assumptions!$D$21*Assumptions!$D$18)*Assumptions!$D$19</f>
        <v>0</v>
      </c>
      <c r="E21" s="26" t="n">
        <f aca="false">Assumptions!$F$60*Assumptions!$D$23*Assumptions!$D$22</f>
        <v>0.218</v>
      </c>
      <c r="F21" s="26" t="n">
        <f aca="false">Assumptions!$G$60*Assumptions!$D$24*Assumptions!$D$25</f>
        <v>0</v>
      </c>
      <c r="G21" s="26" t="n">
        <f aca="false">Assumptions!$H$60*Assumptions!$D$26*Assumptions!$D$27</f>
        <v>0.09</v>
      </c>
      <c r="H21" s="26" t="n">
        <f aca="false">Assumptions!$I$60*Assumptions!$D$28</f>
        <v>0.02</v>
      </c>
      <c r="I21" s="26" t="n">
        <f aca="false">Assumptions!$B$60*Assumptions!$D$31*Assumptions!$D$30</f>
        <v>0.45</v>
      </c>
      <c r="J21" s="26" t="n">
        <f aca="false">Assumptions!$B$60*Assumptions!$D$33/60*Assumptions!$D$32</f>
        <v>4.16666666666667</v>
      </c>
      <c r="K21" s="26" t="n">
        <f aca="false">(Assumptions!$C$60*Assumptions!$D$34+(Assumptions!$D$60+Assumptions!$E$60)*Assumptions!$D$35+Assumptions!$J$60*Assumptions!$D$36+Assumptions!$K$60)/60*Assumptions!$D$32</f>
        <v>2.91666666666667</v>
      </c>
      <c r="L21" s="26" t="n">
        <f aca="false">Assumptions!$L$60*Assumptions!$D$38/60*Assumptions!$D$37</f>
        <v>1.5</v>
      </c>
      <c r="M21" s="26" t="n">
        <f aca="false">SUM(B21:L21)</f>
        <v>13.1633333333333</v>
      </c>
      <c r="N21" s="26" t="n">
        <f aca="false">B21+C21+D21+E21+K21</f>
        <v>6.93666666666667</v>
      </c>
      <c r="O21" s="27" t="n">
        <f aca="false">Assumptions!$D$39</f>
        <v>0.15</v>
      </c>
      <c r="P21" s="26" t="n">
        <f aca="false">(M21-N21)+N21/(1-O21)</f>
        <v>14.3874509803922</v>
      </c>
      <c r="Q21" s="28" t="n">
        <f aca="false">P21*Assumptions!$D$6</f>
        <v>10.8625254901961</v>
      </c>
      <c r="R21" s="29" t="n">
        <f aca="false">IF(P21=0,0,(J21+K21/(1-O21)+L21)/P21)</f>
        <v>0.632359354557349</v>
      </c>
      <c r="S21" s="20" t="n">
        <f aca="false">Assumptions!$B$60*Assumptions!$D$33+(Assumptions!$C$60*Assumptions!$D$34+(Assumptions!$D$60+Assumptions!$E$60)*Assumptions!$D$35+Assumptions!$J$60*Assumptions!$D$36+Assumptions!$K$60)/(1-O21)+Assumptions!$L$60*Assumptions!$D$38</f>
        <v>21.2352941176471</v>
      </c>
    </row>
    <row r="22" customFormat="false" ht="15" hidden="false" customHeight="false" outlineLevel="0" collapsed="false">
      <c r="A22" s="9" t="s">
        <v>230</v>
      </c>
      <c r="B22" s="26" t="n">
        <f aca="false">Assumptions!$B$61*Assumptions!$D$12+Assumptions!$C$61*Assumptions!$D$13+(Assumptions!$D$61+Assumptions!$E$61)*Assumptions!$D$14</f>
        <v>0.292</v>
      </c>
      <c r="C22" s="26" t="n">
        <f aca="false">Assumptions!$C$61*Assumptions!$D$16*Assumptions!$D$15</f>
        <v>5.76</v>
      </c>
      <c r="D22" s="26" t="n">
        <f aca="false">(Assumptions!$D$61*Assumptions!$D$20*Assumptions!$D$17+Assumptions!$E$61*Assumptions!$D$21*Assumptions!$D$18)*Assumptions!$D$19</f>
        <v>0</v>
      </c>
      <c r="E22" s="26" t="n">
        <f aca="false">Assumptions!$F$61*Assumptions!$D$23*Assumptions!$D$22</f>
        <v>0.545</v>
      </c>
      <c r="F22" s="26" t="n">
        <f aca="false">Assumptions!$G$61*Assumptions!$D$24*Assumptions!$D$25</f>
        <v>0</v>
      </c>
      <c r="G22" s="26" t="n">
        <f aca="false">Assumptions!$H$61*Assumptions!$D$26*Assumptions!$D$27</f>
        <v>0.18</v>
      </c>
      <c r="H22" s="26" t="n">
        <f aca="false">Assumptions!$I$61*Assumptions!$D$28</f>
        <v>0.05</v>
      </c>
      <c r="I22" s="26" t="n">
        <f aca="false">Assumptions!$B$61*Assumptions!$D$31*Assumptions!$D$30</f>
        <v>0.45</v>
      </c>
      <c r="J22" s="26" t="n">
        <f aca="false">Assumptions!$B$61*Assumptions!$D$33/60*Assumptions!$D$32</f>
        <v>4.16666666666667</v>
      </c>
      <c r="K22" s="26" t="n">
        <f aca="false">(Assumptions!$C$61*Assumptions!$D$34+(Assumptions!$D$61+Assumptions!$E$61)*Assumptions!$D$35+Assumptions!$J$61*Assumptions!$D$36+Assumptions!$K$61)/60*Assumptions!$D$32</f>
        <v>5.41666666666667</v>
      </c>
      <c r="L22" s="26" t="n">
        <f aca="false">Assumptions!$L$61*Assumptions!$D$38/60*Assumptions!$D$37</f>
        <v>2.5</v>
      </c>
      <c r="M22" s="26" t="n">
        <f aca="false">SUM(B22:L22)</f>
        <v>19.3603333333333</v>
      </c>
      <c r="N22" s="26" t="n">
        <f aca="false">B22+C22+D22+E22+K22</f>
        <v>12.0136666666667</v>
      </c>
      <c r="O22" s="27" t="n">
        <f aca="false">Assumptions!$D$39</f>
        <v>0.15</v>
      </c>
      <c r="P22" s="26" t="n">
        <f aca="false">(M22-N22)+N22/(1-O22)</f>
        <v>21.4803921568627</v>
      </c>
      <c r="Q22" s="28" t="n">
        <f aca="false">P22*Assumptions!$D$6</f>
        <v>16.2176960784314</v>
      </c>
      <c r="R22" s="29" t="n">
        <f aca="false">IF(P22=0,0,(J22+K22/(1-O22)+L22)/P22)</f>
        <v>0.60702875399361</v>
      </c>
      <c r="S22" s="20" t="n">
        <f aca="false">Assumptions!$B$61*Assumptions!$D$33+(Assumptions!$C$61*Assumptions!$D$34+(Assumptions!$D$61+Assumptions!$E$61)*Assumptions!$D$35+Assumptions!$J$61*Assumptions!$D$36+Assumptions!$K$61)/(1-O22)+Assumptions!$L$61*Assumptions!$D$38</f>
        <v>30.2941176470588</v>
      </c>
    </row>
    <row r="23" customFormat="false" ht="15" hidden="false" customHeight="false" outlineLevel="0" collapsed="false">
      <c r="A23" s="9" t="s">
        <v>231</v>
      </c>
      <c r="B23" s="26" t="n">
        <f aca="false">Assumptions!$B$62*Assumptions!$D$12+Assumptions!$C$62*Assumptions!$D$13+(Assumptions!$D$62+Assumptions!$E$62)*Assumptions!$D$14</f>
        <v>0.674</v>
      </c>
      <c r="C23" s="26" t="n">
        <f aca="false">Assumptions!$C$62*Assumptions!$D$16*Assumptions!$D$15</f>
        <v>13.68</v>
      </c>
      <c r="D23" s="26" t="n">
        <f aca="false">(Assumptions!$D$62*Assumptions!$D$20*Assumptions!$D$17+Assumptions!$E$62*Assumptions!$D$21*Assumptions!$D$18)*Assumptions!$D$19</f>
        <v>0</v>
      </c>
      <c r="E23" s="26" t="n">
        <f aca="false">Assumptions!$F$62*Assumptions!$D$23*Assumptions!$D$22</f>
        <v>1.09</v>
      </c>
      <c r="F23" s="26" t="n">
        <f aca="false">Assumptions!$G$62*Assumptions!$D$24*Assumptions!$D$25</f>
        <v>0</v>
      </c>
      <c r="G23" s="26" t="n">
        <f aca="false">Assumptions!$H$62*Assumptions!$D$26*Assumptions!$D$27</f>
        <v>0.36</v>
      </c>
      <c r="H23" s="26" t="n">
        <f aca="false">Assumptions!$I$62*Assumptions!$D$28</f>
        <v>0.1</v>
      </c>
      <c r="I23" s="26" t="n">
        <f aca="false">Assumptions!$B$62*Assumptions!$D$31*Assumptions!$D$30</f>
        <v>0.9</v>
      </c>
      <c r="J23" s="26" t="n">
        <f aca="false">Assumptions!$B$62*Assumptions!$D$33/60*Assumptions!$D$32</f>
        <v>8.33333333333333</v>
      </c>
      <c r="K23" s="26" t="n">
        <f aca="false">(Assumptions!$C$62*Assumptions!$D$34+(Assumptions!$D$62+Assumptions!$E$62)*Assumptions!$D$35+Assumptions!$J$62*Assumptions!$D$36+Assumptions!$K$62)/60*Assumptions!$D$32</f>
        <v>12.0833333333333</v>
      </c>
      <c r="L23" s="26" t="n">
        <f aca="false">Assumptions!$L$62*Assumptions!$D$38/60*Assumptions!$D$37</f>
        <v>4</v>
      </c>
      <c r="M23" s="26" t="n">
        <f aca="false">SUM(B23:L23)</f>
        <v>41.2206666666667</v>
      </c>
      <c r="N23" s="26" t="n">
        <f aca="false">B23+C23+D23+E23+K23</f>
        <v>27.5273333333333</v>
      </c>
      <c r="O23" s="27" t="n">
        <f aca="false">Assumptions!$D$39</f>
        <v>0.15</v>
      </c>
      <c r="P23" s="26" t="n">
        <f aca="false">(M23-N23)+N23/(1-O23)</f>
        <v>46.078431372549</v>
      </c>
      <c r="Q23" s="28" t="n">
        <f aca="false">P23*Assumptions!$D$6</f>
        <v>34.7892156862745</v>
      </c>
      <c r="R23" s="29" t="n">
        <f aca="false">IF(P23=0,0,(J23+K23/(1-O23)+L23)/P23)</f>
        <v>0.576170212765957</v>
      </c>
      <c r="S23" s="20" t="n">
        <f aca="false">Assumptions!$B$62*Assumptions!$D$33+(Assumptions!$C$62*Assumptions!$D$34+(Assumptions!$D$62+Assumptions!$E$62)*Assumptions!$D$35+Assumptions!$J$62*Assumptions!$D$36+Assumptions!$K$62)/(1-O23)+Assumptions!$L$62*Assumptions!$D$38</f>
        <v>62.1176470588235</v>
      </c>
    </row>
    <row r="24" customFormat="false" ht="15" hidden="false" customHeight="false" outlineLevel="0" collapsed="false">
      <c r="A24" s="9" t="s">
        <v>232</v>
      </c>
      <c r="B24" s="26" t="n">
        <f aca="false">Assumptions!$B$63*Assumptions!$D$12+Assumptions!$C$63*Assumptions!$D$13+(Assumptions!$D$63+Assumptions!$E$63)*Assumptions!$D$14</f>
        <v>0.052</v>
      </c>
      <c r="C24" s="26" t="n">
        <f aca="false">Assumptions!$C$63*Assumptions!$D$16*Assumptions!$D$15</f>
        <v>0</v>
      </c>
      <c r="D24" s="26" t="n">
        <f aca="false">(Assumptions!$D$63*Assumptions!$D$20*Assumptions!$D$17+Assumptions!$E$63*Assumptions!$D$21*Assumptions!$D$18)*Assumptions!$D$19</f>
        <v>0</v>
      </c>
      <c r="E24" s="26" t="n">
        <f aca="false">Assumptions!$F$63*Assumptions!$D$23*Assumptions!$D$22</f>
        <v>1.09</v>
      </c>
      <c r="F24" s="26" t="n">
        <f aca="false">Assumptions!$G$63*Assumptions!$D$24*Assumptions!$D$25</f>
        <v>3.64</v>
      </c>
      <c r="G24" s="26" t="n">
        <f aca="false">Assumptions!$H$63*Assumptions!$D$26*Assumptions!$D$27</f>
        <v>0.36</v>
      </c>
      <c r="H24" s="26" t="n">
        <f aca="false">Assumptions!$I$63*Assumptions!$D$28</f>
        <v>0.1</v>
      </c>
      <c r="I24" s="26" t="n">
        <f aca="false">Assumptions!$B$63*Assumptions!$D$31*Assumptions!$D$30</f>
        <v>0.45</v>
      </c>
      <c r="J24" s="26" t="n">
        <f aca="false">Assumptions!$B$63*Assumptions!$D$33/60*Assumptions!$D$32</f>
        <v>4.16666666666667</v>
      </c>
      <c r="K24" s="26" t="n">
        <f aca="false">(Assumptions!$C$63*Assumptions!$D$34+(Assumptions!$D$63+Assumptions!$E$63)*Assumptions!$D$35+Assumptions!$J$63*Assumptions!$D$36+Assumptions!$K$63)/60*Assumptions!$D$32</f>
        <v>6.25</v>
      </c>
      <c r="L24" s="26" t="n">
        <f aca="false">Assumptions!$L$63*Assumptions!$D$38/60*Assumptions!$D$37</f>
        <v>5</v>
      </c>
      <c r="M24" s="26" t="n">
        <f aca="false">SUM(B24:L24)</f>
        <v>21.1086666666667</v>
      </c>
      <c r="N24" s="26" t="n">
        <f aca="false">B24+C24+D24+E24+K24</f>
        <v>7.392</v>
      </c>
      <c r="O24" s="27" t="n">
        <f aca="false">Assumptions!$D$39</f>
        <v>0.15</v>
      </c>
      <c r="P24" s="26" t="n">
        <f aca="false">(M24-N24)+N24/(1-O24)</f>
        <v>22.413137254902</v>
      </c>
      <c r="Q24" s="28" t="n">
        <f aca="false">P24*Assumptions!$D$6</f>
        <v>16.921918627451</v>
      </c>
      <c r="R24" s="29" t="n">
        <f aca="false">IF(P24=0,0,(J24+K24/(1-O24)+L24)/P24)</f>
        <v>0.737050224395706</v>
      </c>
      <c r="S24" s="20" t="n">
        <f aca="false">Assumptions!$B$63*Assumptions!$D$33+(Assumptions!$C$63*Assumptions!$D$34+(Assumptions!$D$63+Assumptions!$E$63)*Assumptions!$D$35+Assumptions!$J$63*Assumptions!$D$36+Assumptions!$K$63)/(1-O24)+Assumptions!$L$63*Assumptions!$D$38</f>
        <v>37.6470588235294</v>
      </c>
    </row>
    <row r="25" customFormat="false" ht="15" hidden="false" customHeight="false" outlineLevel="0" collapsed="false">
      <c r="A25" s="9" t="s">
        <v>233</v>
      </c>
      <c r="B25" s="26" t="n">
        <f aca="false">Assumptions!$B$64*Assumptions!$D$12+Assumptions!$C$64*Assumptions!$D$13+(Assumptions!$D$64+Assumptions!$E$64)*Assumptions!$D$14</f>
        <v>0.152</v>
      </c>
      <c r="C25" s="26" t="n">
        <f aca="false">Assumptions!$C$64*Assumptions!$D$16*Assumptions!$D$15</f>
        <v>0</v>
      </c>
      <c r="D25" s="26" t="n">
        <f aca="false">(Assumptions!$D$64*Assumptions!$D$20*Assumptions!$D$17+Assumptions!$E$64*Assumptions!$D$21*Assumptions!$D$18)*Assumptions!$D$19</f>
        <v>7.2</v>
      </c>
      <c r="E25" s="26" t="n">
        <f aca="false">Assumptions!$F$64*Assumptions!$D$23*Assumptions!$D$22</f>
        <v>0.545</v>
      </c>
      <c r="F25" s="26" t="n">
        <f aca="false">Assumptions!$G$64*Assumptions!$D$24*Assumptions!$D$25</f>
        <v>0</v>
      </c>
      <c r="G25" s="26" t="n">
        <f aca="false">Assumptions!$H$64*Assumptions!$D$26*Assumptions!$D$27</f>
        <v>0.09</v>
      </c>
      <c r="H25" s="26" t="n">
        <f aca="false">Assumptions!$I$64*Assumptions!$D$28</f>
        <v>0.05</v>
      </c>
      <c r="I25" s="26" t="n">
        <f aca="false">Assumptions!$B$64*Assumptions!$D$31*Assumptions!$D$30</f>
        <v>0.45</v>
      </c>
      <c r="J25" s="26" t="n">
        <f aca="false">Assumptions!$B$64*Assumptions!$D$33/60*Assumptions!$D$32</f>
        <v>4.16666666666667</v>
      </c>
      <c r="K25" s="26" t="n">
        <f aca="false">(Assumptions!$C$64*Assumptions!$D$34+(Assumptions!$D$64+Assumptions!$E$64)*Assumptions!$D$35+Assumptions!$J$64*Assumptions!$D$36+Assumptions!$K$64)/60*Assumptions!$D$32</f>
        <v>4.16666666666667</v>
      </c>
      <c r="L25" s="26" t="n">
        <f aca="false">Assumptions!$L$64*Assumptions!$D$38/60*Assumptions!$D$37</f>
        <v>2.5</v>
      </c>
      <c r="M25" s="26" t="n">
        <f aca="false">SUM(B25:L25)</f>
        <v>19.3203333333333</v>
      </c>
      <c r="N25" s="26" t="n">
        <f aca="false">B25+C25+D25+E25+K25</f>
        <v>12.0636666666667</v>
      </c>
      <c r="O25" s="27" t="n">
        <f aca="false">Assumptions!$D$39</f>
        <v>0.15</v>
      </c>
      <c r="P25" s="26" t="n">
        <f aca="false">(M25-N25)+N25/(1-O25)</f>
        <v>21.4492156862745</v>
      </c>
      <c r="Q25" s="28" t="n">
        <f aca="false">P25*Assumptions!$D$6</f>
        <v>16.1941578431373</v>
      </c>
      <c r="R25" s="29" t="n">
        <f aca="false">IF(P25=0,0,(J25+K25/(1-O25)+L25)/P25)</f>
        <v>0.539349672276513</v>
      </c>
      <c r="S25" s="20" t="n">
        <f aca="false">Assumptions!$B$64*Assumptions!$D$33+(Assumptions!$C$64*Assumptions!$D$34+(Assumptions!$D$64+Assumptions!$E$64)*Assumptions!$D$35+Assumptions!$J$64*Assumptions!$D$36+Assumptions!$K$64)/(1-O25)+Assumptions!$L$64*Assumptions!$D$38</f>
        <v>26.7647058823529</v>
      </c>
    </row>
    <row r="26" customFormat="false" ht="15" hidden="false" customHeight="false" outlineLevel="0" collapsed="false">
      <c r="A26" s="9" t="s">
        <v>234</v>
      </c>
      <c r="B26" s="26" t="n">
        <f aca="false">Assumptions!$B$65*Assumptions!$D$12+Assumptions!$C$65*Assumptions!$D$13+(Assumptions!$D$65+Assumptions!$E$65)*Assumptions!$D$14</f>
        <v>0.152</v>
      </c>
      <c r="C26" s="26" t="n">
        <f aca="false">Assumptions!$C$65*Assumptions!$D$16*Assumptions!$D$15</f>
        <v>0</v>
      </c>
      <c r="D26" s="26" t="n">
        <f aca="false">(Assumptions!$D$65*Assumptions!$D$20*Assumptions!$D$17+Assumptions!$E$65*Assumptions!$D$21*Assumptions!$D$18)*Assumptions!$D$19</f>
        <v>48</v>
      </c>
      <c r="E26" s="26" t="n">
        <f aca="false">Assumptions!$F$65*Assumptions!$D$23*Assumptions!$D$22</f>
        <v>1.09</v>
      </c>
      <c r="F26" s="26" t="n">
        <f aca="false">Assumptions!$G$65*Assumptions!$D$24*Assumptions!$D$25</f>
        <v>0</v>
      </c>
      <c r="G26" s="26" t="n">
        <f aca="false">Assumptions!$H$65*Assumptions!$D$26*Assumptions!$D$27</f>
        <v>0.18</v>
      </c>
      <c r="H26" s="26" t="n">
        <f aca="false">Assumptions!$I$65*Assumptions!$D$28</f>
        <v>0.1</v>
      </c>
      <c r="I26" s="26" t="n">
        <f aca="false">Assumptions!$B$65*Assumptions!$D$31*Assumptions!$D$30</f>
        <v>0.45</v>
      </c>
      <c r="J26" s="26" t="n">
        <f aca="false">Assumptions!$B$65*Assumptions!$D$33/60*Assumptions!$D$32</f>
        <v>4.16666666666667</v>
      </c>
      <c r="K26" s="26" t="n">
        <f aca="false">(Assumptions!$C$65*Assumptions!$D$34+(Assumptions!$D$65+Assumptions!$E$65)*Assumptions!$D$35+Assumptions!$J$65*Assumptions!$D$36+Assumptions!$K$65)/60*Assumptions!$D$32</f>
        <v>4.16666666666667</v>
      </c>
      <c r="L26" s="26" t="n">
        <f aca="false">Assumptions!$L$65*Assumptions!$D$38/60*Assumptions!$D$37</f>
        <v>4</v>
      </c>
      <c r="M26" s="26" t="n">
        <f aca="false">SUM(B26:L26)</f>
        <v>62.3053333333333</v>
      </c>
      <c r="N26" s="26" t="n">
        <f aca="false">B26+C26+D26+E26+K26</f>
        <v>53.4086666666667</v>
      </c>
      <c r="O26" s="27" t="n">
        <f aca="false">Assumptions!$D$39</f>
        <v>0.15</v>
      </c>
      <c r="P26" s="26" t="n">
        <f aca="false">(M26-N26)+N26/(1-O26)</f>
        <v>71.7303921568627</v>
      </c>
      <c r="Q26" s="28" t="n">
        <f aca="false">P26*Assumptions!$D$6</f>
        <v>54.1564460784314</v>
      </c>
      <c r="R26" s="29" t="n">
        <f aca="false">IF(P26=0,0,(J26+K26/(1-O26)+L26)/P26)</f>
        <v>0.182190938290166</v>
      </c>
      <c r="S26" s="20" t="n">
        <f aca="false">Assumptions!$B$65*Assumptions!$D$33+(Assumptions!$C$65*Assumptions!$D$34+(Assumptions!$D$65+Assumptions!$E$65)*Assumptions!$D$35+Assumptions!$J$65*Assumptions!$D$36+Assumptions!$K$65)/(1-O26)+Assumptions!$L$65*Assumptions!$D$38</f>
        <v>29.7647058823529</v>
      </c>
    </row>
    <row r="27" customFormat="false" ht="15" hidden="false" customHeight="false" outlineLevel="0" collapsed="false">
      <c r="A27" s="9" t="s">
        <v>235</v>
      </c>
      <c r="B27" s="26" t="n">
        <f aca="false">Assumptions!$B$66*Assumptions!$D$12+Assumptions!$C$66*Assumptions!$D$13+(Assumptions!$D$66+Assumptions!$E$66)*Assumptions!$D$14</f>
        <v>0.964</v>
      </c>
      <c r="C27" s="26" t="n">
        <f aca="false">Assumptions!$C$66*Assumptions!$D$16*Assumptions!$D$15</f>
        <v>15.84</v>
      </c>
      <c r="D27" s="26" t="n">
        <f aca="false">(Assumptions!$D$66*Assumptions!$D$20*Assumptions!$D$17+Assumptions!$E$66*Assumptions!$D$21*Assumptions!$D$18)*Assumptions!$D$19</f>
        <v>55.2</v>
      </c>
      <c r="E27" s="26" t="n">
        <f aca="false">Assumptions!$F$66*Assumptions!$D$23*Assumptions!$D$22</f>
        <v>2.18</v>
      </c>
      <c r="F27" s="26" t="n">
        <f aca="false">Assumptions!$G$66*Assumptions!$D$24*Assumptions!$D$25</f>
        <v>3.64</v>
      </c>
      <c r="G27" s="26" t="n">
        <f aca="false">Assumptions!$H$66*Assumptions!$D$26*Assumptions!$D$27</f>
        <v>0.54</v>
      </c>
      <c r="H27" s="26" t="n">
        <f aca="false">Assumptions!$I$66*Assumptions!$D$28</f>
        <v>0.2</v>
      </c>
      <c r="I27" s="26" t="n">
        <f aca="false">Assumptions!$B$66*Assumptions!$D$31*Assumptions!$D$30</f>
        <v>0.9</v>
      </c>
      <c r="J27" s="26" t="n">
        <f aca="false">Assumptions!$B$66*Assumptions!$D$33/60*Assumptions!$D$32</f>
        <v>8.33333333333333</v>
      </c>
      <c r="K27" s="26" t="n">
        <f aca="false">(Assumptions!$C$66*Assumptions!$D$34+(Assumptions!$D$66+Assumptions!$E$66)*Assumptions!$D$35+Assumptions!$J$66*Assumptions!$D$36+Assumptions!$K$66)/60*Assumptions!$D$32</f>
        <v>30</v>
      </c>
      <c r="L27" s="26" t="n">
        <f aca="false">Assumptions!$L$66*Assumptions!$D$38/60*Assumptions!$D$37</f>
        <v>15</v>
      </c>
      <c r="M27" s="26" t="n">
        <f aca="false">SUM(B27:L27)</f>
        <v>132.797333333333</v>
      </c>
      <c r="N27" s="26" t="n">
        <f aca="false">B27+C27+D27+E27+K27</f>
        <v>104.184</v>
      </c>
      <c r="O27" s="27" t="n">
        <f aca="false">Assumptions!$D$39</f>
        <v>0.15</v>
      </c>
      <c r="P27" s="26" t="n">
        <f aca="false">(M27-N27)+N27/(1-O27)</f>
        <v>151.182745098039</v>
      </c>
      <c r="Q27" s="28" t="n">
        <f aca="false">P27*Assumptions!$D$6</f>
        <v>114.14297254902</v>
      </c>
      <c r="R27" s="29" t="n">
        <f aca="false">IF(P27=0,0,(J27+K27/(1-O27)+L27)/P27)</f>
        <v>0.38779194637836</v>
      </c>
      <c r="S27" s="20" t="n">
        <f aca="false">Assumptions!$B$66*Assumptions!$D$33+(Assumptions!$C$66*Assumptions!$D$34+(Assumptions!$D$66+Assumptions!$E$66)*Assumptions!$D$35+Assumptions!$J$66*Assumptions!$D$36+Assumptions!$K$66)/(1-O27)+Assumptions!$L$66*Assumptions!$D$38</f>
        <v>134.705882352941</v>
      </c>
    </row>
    <row r="28" customFormat="false" ht="15" hidden="false" customHeight="false" outlineLevel="0" collapsed="false">
      <c r="A28" s="9" t="s">
        <v>236</v>
      </c>
      <c r="B28" s="26" t="n">
        <f aca="false">Assumptions!$B$67*Assumptions!$D$12+Assumptions!$C$67*Assumptions!$D$13+(Assumptions!$D$67+Assumptions!$E$67)*Assumptions!$D$14</f>
        <v>10.284</v>
      </c>
      <c r="C28" s="26" t="n">
        <f aca="false">Assumptions!$C$67*Assumptions!$D$16*Assumptions!$D$15</f>
        <v>203.04</v>
      </c>
      <c r="D28" s="26" t="n">
        <f aca="false">(Assumptions!$D$67*Assumptions!$D$20*Assumptions!$D$17+Assumptions!$E$67*Assumptions!$D$21*Assumptions!$D$18)*Assumptions!$D$19</f>
        <v>331.2</v>
      </c>
      <c r="E28" s="26" t="n">
        <f aca="false">Assumptions!$F$67*Assumptions!$D$23*Assumptions!$D$22</f>
        <v>15.26</v>
      </c>
      <c r="F28" s="26" t="n">
        <f aca="false">Assumptions!$G$67*Assumptions!$D$24*Assumptions!$D$25</f>
        <v>21.84</v>
      </c>
      <c r="G28" s="26" t="n">
        <f aca="false">Assumptions!$H$67*Assumptions!$D$26*Assumptions!$D$27</f>
        <v>4.14</v>
      </c>
      <c r="H28" s="26" t="n">
        <f aca="false">Assumptions!$I$67*Assumptions!$D$28</f>
        <v>1.7</v>
      </c>
      <c r="I28" s="26" t="n">
        <f aca="false">Assumptions!$B$67*Assumptions!$D$31*Assumptions!$D$30</f>
        <v>5.4</v>
      </c>
      <c r="J28" s="26" t="n">
        <f aca="false">Assumptions!$B$67*Assumptions!$D$33/60*Assumptions!$D$32</f>
        <v>50</v>
      </c>
      <c r="K28" s="26" t="n">
        <f aca="false">(Assumptions!$C$67*Assumptions!$D$34+(Assumptions!$D$67+Assumptions!$E$67)*Assumptions!$D$35+Assumptions!$J$67*Assumptions!$D$36+Assumptions!$K$67)/60*Assumptions!$D$32</f>
        <v>298.75</v>
      </c>
      <c r="L28" s="26" t="n">
        <f aca="false">Assumptions!$L$67*Assumptions!$D$38/60*Assumptions!$D$37</f>
        <v>60</v>
      </c>
      <c r="M28" s="26" t="n">
        <f aca="false">SUM(B28:L28)</f>
        <v>1001.614</v>
      </c>
      <c r="N28" s="26" t="n">
        <f aca="false">B28+C28+D28+E28+K28</f>
        <v>858.534</v>
      </c>
      <c r="O28" s="27" t="n">
        <f aca="false">Assumptions!$D$39</f>
        <v>0.15</v>
      </c>
      <c r="P28" s="26" t="n">
        <f aca="false">(M28-N28)+N28/(1-O28)</f>
        <v>1153.12</v>
      </c>
      <c r="Q28" s="28" t="n">
        <f aca="false">P28*Assumptions!$D$6</f>
        <v>870.6056</v>
      </c>
      <c r="R28" s="29" t="n">
        <f aca="false">IF(P28=0,0,(J28+K28/(1-O28)+L28)/P28)</f>
        <v>0.400193031284944</v>
      </c>
      <c r="S28" s="20" t="n">
        <f aca="false">Assumptions!$B$67*Assumptions!$D$33+(Assumptions!$C$67*Assumptions!$D$34+(Assumptions!$D$67+Assumptions!$E$67)*Assumptions!$D$35+Assumptions!$J$67*Assumptions!$D$36+Assumptions!$K$67)/(1-O28)+Assumptions!$L$67*Assumptions!$D$38</f>
        <v>1083.52941176471</v>
      </c>
    </row>
    <row r="29" customFormat="false" ht="15" hidden="false" customHeight="false" outlineLevel="0" collapsed="false">
      <c r="A29" s="9" t="s">
        <v>237</v>
      </c>
      <c r="B29" s="26" t="n">
        <f aca="false">Assumptions!$B$68*Assumptions!$D$12+Assumptions!$C$68*Assumptions!$D$13+(Assumptions!$D$68+Assumptions!$E$68)*Assumptions!$D$14</f>
        <v>32.46</v>
      </c>
      <c r="C29" s="26" t="n">
        <f aca="false">Assumptions!$C$68*Assumptions!$D$16*Assumptions!$D$15</f>
        <v>669.6</v>
      </c>
      <c r="D29" s="26" t="n">
        <f aca="false">(Assumptions!$D$68*Assumptions!$D$20*Assumptions!$D$17+Assumptions!$E$68*Assumptions!$D$21*Assumptions!$D$18)*Assumptions!$D$19</f>
        <v>828</v>
      </c>
      <c r="E29" s="26" t="n">
        <f aca="false">Assumptions!$F$68*Assumptions!$D$23*Assumptions!$D$22</f>
        <v>34.88</v>
      </c>
      <c r="F29" s="26" t="n">
        <f aca="false">Assumptions!$G$68*Assumptions!$D$24*Assumptions!$D$25</f>
        <v>54.6</v>
      </c>
      <c r="G29" s="26" t="n">
        <f aca="false">Assumptions!$H$68*Assumptions!$D$26*Assumptions!$D$27</f>
        <v>11.7</v>
      </c>
      <c r="H29" s="26" t="n">
        <f aca="false">Assumptions!$I$68*Assumptions!$D$28</f>
        <v>5</v>
      </c>
      <c r="I29" s="26" t="n">
        <f aca="false">Assumptions!$B$68*Assumptions!$D$31*Assumptions!$D$30</f>
        <v>13.5</v>
      </c>
      <c r="J29" s="26" t="n">
        <f aca="false">Assumptions!$B$68*Assumptions!$D$33/60*Assumptions!$D$32</f>
        <v>125</v>
      </c>
      <c r="K29" s="26" t="n">
        <f aca="false">(Assumptions!$C$68*Assumptions!$D$34+(Assumptions!$D$68+Assumptions!$E$68)*Assumptions!$D$35+Assumptions!$J$68*Assumptions!$D$36+Assumptions!$K$68)/60*Assumptions!$D$32</f>
        <v>850</v>
      </c>
      <c r="L29" s="26" t="n">
        <f aca="false">Assumptions!$L$68*Assumptions!$D$38/60*Assumptions!$D$37</f>
        <v>120</v>
      </c>
      <c r="M29" s="26" t="n">
        <f aca="false">SUM(B29:L29)</f>
        <v>2744.74</v>
      </c>
      <c r="N29" s="26" t="n">
        <f aca="false">B29+C29+D29+E29+K29</f>
        <v>2414.94</v>
      </c>
      <c r="O29" s="27" t="n">
        <f aca="false">Assumptions!$D$39</f>
        <v>0.15</v>
      </c>
      <c r="P29" s="26" t="n">
        <f aca="false">(M29-N29)+N29/(1-O29)</f>
        <v>3170.90588235294</v>
      </c>
      <c r="Q29" s="28" t="n">
        <f aca="false">P29*Assumptions!$D$6</f>
        <v>2394.03394117647</v>
      </c>
      <c r="R29" s="29" t="n">
        <f aca="false">IF(P29=0,0,(J29+K29/(1-O29)+L29)/P29)</f>
        <v>0.392632278027804</v>
      </c>
      <c r="S29" s="20" t="n">
        <f aca="false">Assumptions!$B$68*Assumptions!$D$33+(Assumptions!$C$68*Assumptions!$D$34+(Assumptions!$D$68+Assumptions!$E$68)*Assumptions!$D$35+Assumptions!$J$68*Assumptions!$D$36+Assumptions!$K$68)/(1-O29)+Assumptions!$L$68*Assumptions!$D$38</f>
        <v>2940</v>
      </c>
    </row>
    <row r="30" customFormat="false" ht="15" hidden="false" customHeight="false" outlineLevel="0" collapsed="false">
      <c r="A30" s="3" t="s">
        <v>483</v>
      </c>
      <c r="B30" s="2"/>
      <c r="C30" s="2"/>
      <c r="D30" s="2"/>
      <c r="E30" s="2"/>
      <c r="F30" s="2"/>
      <c r="G30" s="2"/>
      <c r="H30" s="2"/>
      <c r="I30" s="2"/>
      <c r="J30" s="2"/>
      <c r="K30" s="2"/>
      <c r="L30" s="2"/>
      <c r="M30" s="30" t="n">
        <f aca="false">Assumptions!$D$24*Assumptions!$D$25+Assumptions!$D$29*Assumptions!$D$28+Assumptions!$D$44*Assumptions!$D$26</f>
        <v>3.77</v>
      </c>
      <c r="N30" s="2"/>
      <c r="O30" s="2"/>
      <c r="P30" s="2"/>
      <c r="Q30" s="31" t="n">
        <f aca="false">M30*Assumptions!$D$6</f>
        <v>2.84635</v>
      </c>
      <c r="R30" s="2"/>
      <c r="S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row>
    <row r="32" customFormat="false" ht="15" hidden="false" customHeight="false" outlineLevel="0" collapsed="false">
      <c r="A32" s="5" t="s">
        <v>485</v>
      </c>
      <c r="B32" s="6"/>
      <c r="C32" s="6"/>
      <c r="D32" s="6"/>
      <c r="E32" s="6"/>
      <c r="F32" s="6"/>
      <c r="G32" s="6"/>
      <c r="H32" s="6"/>
      <c r="I32" s="6"/>
      <c r="J32" s="6"/>
      <c r="K32" s="6"/>
      <c r="L32" s="6"/>
      <c r="M32" s="6"/>
      <c r="N32" s="6"/>
      <c r="O32" s="6"/>
      <c r="P32" s="6"/>
      <c r="Q32" s="6"/>
      <c r="R32" s="6"/>
      <c r="S32" s="6"/>
    </row>
    <row r="33" customFormat="false" ht="30" hidden="false" customHeight="true" outlineLevel="0" collapsed="false">
      <c r="A33" s="8" t="s">
        <v>216</v>
      </c>
      <c r="B33" s="17" t="s">
        <v>465</v>
      </c>
      <c r="C33" s="17" t="s">
        <v>466</v>
      </c>
      <c r="D33" s="17" t="s">
        <v>467</v>
      </c>
      <c r="E33" s="17" t="s">
        <v>468</v>
      </c>
      <c r="F33" s="17" t="s">
        <v>469</v>
      </c>
      <c r="G33" s="17" t="s">
        <v>470</v>
      </c>
      <c r="H33" s="17" t="s">
        <v>471</v>
      </c>
      <c r="I33" s="17" t="s">
        <v>472</v>
      </c>
      <c r="J33" s="17" t="s">
        <v>473</v>
      </c>
      <c r="K33" s="17" t="s">
        <v>474</v>
      </c>
      <c r="L33" s="17" t="s">
        <v>475</v>
      </c>
      <c r="M33" s="17" t="s">
        <v>476</v>
      </c>
      <c r="N33" s="17" t="s">
        <v>477</v>
      </c>
      <c r="O33" s="17" t="s">
        <v>478</v>
      </c>
      <c r="P33" s="17" t="s">
        <v>479</v>
      </c>
      <c r="Q33" s="17" t="s">
        <v>480</v>
      </c>
      <c r="R33" s="17" t="s">
        <v>481</v>
      </c>
      <c r="S33" s="17" t="s">
        <v>482</v>
      </c>
    </row>
    <row r="34" customFormat="false" ht="15" hidden="false" customHeight="false" outlineLevel="0" collapsed="false">
      <c r="A34" s="9" t="s">
        <v>228</v>
      </c>
      <c r="B34" s="26" t="n">
        <f aca="false">Assumptions!$B$59*Assumptions!$E$12+Assumptions!$C$59*Assumptions!$E$13+(Assumptions!$D$59+Assumptions!$E$59)*Assumptions!$E$14</f>
        <v>0.15</v>
      </c>
      <c r="C34" s="26" t="n">
        <f aca="false">Assumptions!$C$59*Assumptions!$E$16*Assumptions!$E$15</f>
        <v>0.96</v>
      </c>
      <c r="D34" s="26" t="n">
        <f aca="false">(Assumptions!$D$59*Assumptions!$D$20*Assumptions!$E$17+Assumptions!$E$59*Assumptions!$D$21*Assumptions!$E$18)*Assumptions!$E$19</f>
        <v>0</v>
      </c>
      <c r="E34" s="26" t="n">
        <f aca="false">Assumptions!$F$59*Assumptions!$E$23*Assumptions!$E$22</f>
        <v>0.186</v>
      </c>
      <c r="F34" s="26" t="n">
        <f aca="false">Assumptions!$G$59*Assumptions!$E$24*Assumptions!$E$25</f>
        <v>0</v>
      </c>
      <c r="G34" s="26" t="n">
        <f aca="false">Assumptions!$H$59*Assumptions!$D$26*Assumptions!$D$27</f>
        <v>0.018</v>
      </c>
      <c r="H34" s="26" t="n">
        <f aca="false">Assumptions!$I$59*Assumptions!$E$28</f>
        <v>0.005</v>
      </c>
      <c r="I34" s="26" t="n">
        <f aca="false">Assumptions!$B$59*Assumptions!$D$31*Assumptions!$E$30</f>
        <v>0.9</v>
      </c>
      <c r="J34" s="26" t="n">
        <f aca="false">Assumptions!$B$59*Assumptions!$E$33/60*Assumptions!$E$32</f>
        <v>8.75</v>
      </c>
      <c r="K34" s="26" t="n">
        <f aca="false">(Assumptions!$C$59*Assumptions!$E$34+(Assumptions!$D$59+Assumptions!$E$59)*Assumptions!$E$35+Assumptions!$J$59*Assumptions!$E$36+Assumptions!$K$59)/60*Assumptions!$E$32</f>
        <v>0.875</v>
      </c>
      <c r="L34" s="26" t="n">
        <f aca="false">Assumptions!$L$59*Assumptions!$E$38/60*Assumptions!$E$37</f>
        <v>1.75</v>
      </c>
      <c r="M34" s="26" t="n">
        <f aca="false">SUM(B34:L34)</f>
        <v>13.594</v>
      </c>
      <c r="N34" s="26" t="n">
        <f aca="false">B34+C34+D34+E34+K34</f>
        <v>2.171</v>
      </c>
      <c r="O34" s="27" t="n">
        <f aca="false">Assumptions!$E$39</f>
        <v>0.25</v>
      </c>
      <c r="P34" s="26" t="n">
        <f aca="false">(M34-N34)+N34/(1-O34)</f>
        <v>14.3176666666667</v>
      </c>
      <c r="Q34" s="28" t="n">
        <f aca="false">P34*Assumptions!$D$6</f>
        <v>10.8098383333333</v>
      </c>
      <c r="R34" s="29" t="n">
        <f aca="false">IF(P34=0,0,(J34+K34/(1-O34)+L34)/P34)</f>
        <v>0.814844131958187</v>
      </c>
      <c r="S34" s="20" t="n">
        <f aca="false">Assumptions!$B$59*Assumptions!$E$33+(Assumptions!$C$59*Assumptions!$E$34+(Assumptions!$D$59+Assumptions!$E$59)*Assumptions!$E$35+Assumptions!$J$59*Assumptions!$E$36+Assumptions!$K$59)/(1-O34)+Assumptions!$L$59*Assumptions!$E$38</f>
        <v>20</v>
      </c>
    </row>
    <row r="35" customFormat="false" ht="15" hidden="false" customHeight="false" outlineLevel="0" collapsed="false">
      <c r="A35" s="9" t="s">
        <v>229</v>
      </c>
      <c r="B35" s="26" t="n">
        <f aca="false">Assumptions!$B$60*Assumptions!$E$12+Assumptions!$C$60*Assumptions!$E$13+(Assumptions!$D$60+Assumptions!$E$60)*Assumptions!$E$14</f>
        <v>0.35</v>
      </c>
      <c r="C35" s="26" t="n">
        <f aca="false">Assumptions!$C$60*Assumptions!$E$16*Assumptions!$E$15</f>
        <v>4.8</v>
      </c>
      <c r="D35" s="26" t="n">
        <f aca="false">(Assumptions!$D$60*Assumptions!$D$20*Assumptions!$E$17+Assumptions!$E$60*Assumptions!$D$21*Assumptions!$E$18)*Assumptions!$E$19</f>
        <v>0</v>
      </c>
      <c r="E35" s="26" t="n">
        <f aca="false">Assumptions!$F$60*Assumptions!$E$23*Assumptions!$E$22</f>
        <v>0.744</v>
      </c>
      <c r="F35" s="26" t="n">
        <f aca="false">Assumptions!$G$60*Assumptions!$E$24*Assumptions!$E$25</f>
        <v>0</v>
      </c>
      <c r="G35" s="26" t="n">
        <f aca="false">Assumptions!$H$60*Assumptions!$D$26*Assumptions!$D$27</f>
        <v>0.09</v>
      </c>
      <c r="H35" s="26" t="n">
        <f aca="false">Assumptions!$I$60*Assumptions!$E$28</f>
        <v>0.02</v>
      </c>
      <c r="I35" s="26" t="n">
        <f aca="false">Assumptions!$B$60*Assumptions!$D$31*Assumptions!$E$30</f>
        <v>0.9</v>
      </c>
      <c r="J35" s="26" t="n">
        <f aca="false">Assumptions!$B$60*Assumptions!$E$33/60*Assumptions!$E$32</f>
        <v>8.75</v>
      </c>
      <c r="K35" s="26" t="n">
        <f aca="false">(Assumptions!$C$60*Assumptions!$E$34+(Assumptions!$D$60+Assumptions!$E$60)*Assumptions!$E$35+Assumptions!$J$60*Assumptions!$E$36+Assumptions!$K$60)/60*Assumptions!$E$32</f>
        <v>5.54166666666667</v>
      </c>
      <c r="L35" s="26" t="n">
        <f aca="false">Assumptions!$L$60*Assumptions!$E$38/60*Assumptions!$E$37</f>
        <v>2.625</v>
      </c>
      <c r="M35" s="26" t="n">
        <f aca="false">SUM(B35:L35)</f>
        <v>23.8206666666667</v>
      </c>
      <c r="N35" s="26" t="n">
        <f aca="false">B35+C35+D35+E35+K35</f>
        <v>11.4356666666667</v>
      </c>
      <c r="O35" s="27" t="n">
        <f aca="false">Assumptions!$E$39</f>
        <v>0.25</v>
      </c>
      <c r="P35" s="26" t="n">
        <f aca="false">(M35-N35)+N35/(1-O35)</f>
        <v>27.6325555555556</v>
      </c>
      <c r="Q35" s="28" t="n">
        <f aca="false">P35*Assumptions!$D$6</f>
        <v>20.8625794444444</v>
      </c>
      <c r="R35" s="29" t="n">
        <f aca="false">IF(P35=0,0,(J35+K35/(1-O35)+L35)/P35)</f>
        <v>0.679050073785752</v>
      </c>
      <c r="S35" s="20" t="n">
        <f aca="false">Assumptions!$B$60*Assumptions!$E$33+(Assumptions!$C$60*Assumptions!$E$34+(Assumptions!$D$60+Assumptions!$E$60)*Assumptions!$E$35+Assumptions!$J$60*Assumptions!$E$36+Assumptions!$K$60)/(1-O35)+Assumptions!$L$60*Assumptions!$E$38</f>
        <v>32.1666666666667</v>
      </c>
    </row>
    <row r="36" customFormat="false" ht="15" hidden="false" customHeight="false" outlineLevel="0" collapsed="false">
      <c r="A36" s="9" t="s">
        <v>230</v>
      </c>
      <c r="B36" s="26" t="n">
        <f aca="false">Assumptions!$B$61*Assumptions!$E$12+Assumptions!$C$61*Assumptions!$E$13+(Assumptions!$D$61+Assumptions!$E$61)*Assumptions!$E$14</f>
        <v>0.5</v>
      </c>
      <c r="C36" s="26" t="n">
        <f aca="false">Assumptions!$C$61*Assumptions!$E$16*Assumptions!$E$15</f>
        <v>7.68</v>
      </c>
      <c r="D36" s="26" t="n">
        <f aca="false">(Assumptions!$D$61*Assumptions!$D$20*Assumptions!$E$17+Assumptions!$E$61*Assumptions!$D$21*Assumptions!$E$18)*Assumptions!$E$19</f>
        <v>0</v>
      </c>
      <c r="E36" s="26" t="n">
        <f aca="false">Assumptions!$F$61*Assumptions!$E$23*Assumptions!$E$22</f>
        <v>1.86</v>
      </c>
      <c r="F36" s="26" t="n">
        <f aca="false">Assumptions!$G$61*Assumptions!$E$24*Assumptions!$E$25</f>
        <v>0</v>
      </c>
      <c r="G36" s="26" t="n">
        <f aca="false">Assumptions!$H$61*Assumptions!$D$26*Assumptions!$D$27</f>
        <v>0.18</v>
      </c>
      <c r="H36" s="26" t="n">
        <f aca="false">Assumptions!$I$61*Assumptions!$E$28</f>
        <v>0.05</v>
      </c>
      <c r="I36" s="26" t="n">
        <f aca="false">Assumptions!$B$61*Assumptions!$D$31*Assumptions!$E$30</f>
        <v>0.9</v>
      </c>
      <c r="J36" s="26" t="n">
        <f aca="false">Assumptions!$B$61*Assumptions!$E$33/60*Assumptions!$E$32</f>
        <v>8.75</v>
      </c>
      <c r="K36" s="26" t="n">
        <f aca="false">(Assumptions!$C$61*Assumptions!$E$34+(Assumptions!$D$61+Assumptions!$E$61)*Assumptions!$E$35+Assumptions!$J$61*Assumptions!$E$36+Assumptions!$K$61)/60*Assumptions!$E$32</f>
        <v>9.91666666666667</v>
      </c>
      <c r="L36" s="26" t="n">
        <f aca="false">Assumptions!$L$61*Assumptions!$E$38/60*Assumptions!$E$37</f>
        <v>4.375</v>
      </c>
      <c r="M36" s="26" t="n">
        <f aca="false">SUM(B36:L36)</f>
        <v>34.2116666666667</v>
      </c>
      <c r="N36" s="26" t="n">
        <f aca="false">B36+C36+D36+E36+K36</f>
        <v>19.9566666666667</v>
      </c>
      <c r="O36" s="27" t="n">
        <f aca="false">Assumptions!$E$39</f>
        <v>0.25</v>
      </c>
      <c r="P36" s="26" t="n">
        <f aca="false">(M36-N36)+N36/(1-O36)</f>
        <v>40.8638888888889</v>
      </c>
      <c r="Q36" s="28" t="n">
        <f aca="false">P36*Assumptions!$D$6</f>
        <v>30.8522361111111</v>
      </c>
      <c r="R36" s="29" t="n">
        <f aca="false">IF(P36=0,0,(J36+K36/(1-O36)+L36)/P36)</f>
        <v>0.644755625042485</v>
      </c>
      <c r="S36" s="20" t="n">
        <f aca="false">Assumptions!$B$61*Assumptions!$E$33+(Assumptions!$C$61*Assumptions!$E$34+(Assumptions!$D$61+Assumptions!$E$61)*Assumptions!$E$35+Assumptions!$J$61*Assumptions!$E$36+Assumptions!$K$61)/(1-O36)+Assumptions!$L$61*Assumptions!$E$38</f>
        <v>45.1666666666667</v>
      </c>
    </row>
    <row r="37" customFormat="false" ht="15" hidden="false" customHeight="false" outlineLevel="0" collapsed="false">
      <c r="A37" s="9" t="s">
        <v>231</v>
      </c>
      <c r="B37" s="26" t="n">
        <f aca="false">Assumptions!$B$62*Assumptions!$E$12+Assumptions!$C$62*Assumptions!$E$13+(Assumptions!$D$62+Assumptions!$E$62)*Assumptions!$E$14</f>
        <v>1.15</v>
      </c>
      <c r="C37" s="26" t="n">
        <f aca="false">Assumptions!$C$62*Assumptions!$E$16*Assumptions!$E$15</f>
        <v>18.24</v>
      </c>
      <c r="D37" s="26" t="n">
        <f aca="false">(Assumptions!$D$62*Assumptions!$D$20*Assumptions!$E$17+Assumptions!$E$62*Assumptions!$D$21*Assumptions!$E$18)*Assumptions!$E$19</f>
        <v>0</v>
      </c>
      <c r="E37" s="26" t="n">
        <f aca="false">Assumptions!$F$62*Assumptions!$E$23*Assumptions!$E$22</f>
        <v>3.72</v>
      </c>
      <c r="F37" s="26" t="n">
        <f aca="false">Assumptions!$G$62*Assumptions!$E$24*Assumptions!$E$25</f>
        <v>0</v>
      </c>
      <c r="G37" s="26" t="n">
        <f aca="false">Assumptions!$H$62*Assumptions!$D$26*Assumptions!$D$27</f>
        <v>0.36</v>
      </c>
      <c r="H37" s="26" t="n">
        <f aca="false">Assumptions!$I$62*Assumptions!$E$28</f>
        <v>0.1</v>
      </c>
      <c r="I37" s="26" t="n">
        <f aca="false">Assumptions!$B$62*Assumptions!$D$31*Assumptions!$E$30</f>
        <v>1.8</v>
      </c>
      <c r="J37" s="26" t="n">
        <f aca="false">Assumptions!$B$62*Assumptions!$E$33/60*Assumptions!$E$32</f>
        <v>17.5</v>
      </c>
      <c r="K37" s="26" t="n">
        <f aca="false">(Assumptions!$C$62*Assumptions!$E$34+(Assumptions!$D$62+Assumptions!$E$62)*Assumptions!$E$35+Assumptions!$J$62*Assumptions!$E$36+Assumptions!$K$62)/60*Assumptions!$E$32</f>
        <v>22.4583333333333</v>
      </c>
      <c r="L37" s="26" t="n">
        <f aca="false">Assumptions!$L$62*Assumptions!$E$38/60*Assumptions!$E$37</f>
        <v>7</v>
      </c>
      <c r="M37" s="26" t="n">
        <f aca="false">SUM(B37:L37)</f>
        <v>72.3283333333333</v>
      </c>
      <c r="N37" s="26" t="n">
        <f aca="false">B37+C37+D37+E37+K37</f>
        <v>45.5683333333333</v>
      </c>
      <c r="O37" s="27" t="n">
        <f aca="false">Assumptions!$E$39</f>
        <v>0.25</v>
      </c>
      <c r="P37" s="26" t="n">
        <f aca="false">(M37-N37)+N37/(1-O37)</f>
        <v>87.5177777777778</v>
      </c>
      <c r="Q37" s="28" t="n">
        <f aca="false">P37*Assumptions!$D$6</f>
        <v>66.0759222222222</v>
      </c>
      <c r="R37" s="29" t="n">
        <f aca="false">IF(P37=0,0,(J37+K37/(1-O37)+L37)/P37)</f>
        <v>0.622095828149201</v>
      </c>
      <c r="S37" s="20" t="n">
        <f aca="false">Assumptions!$B$62*Assumptions!$E$33+(Assumptions!$C$62*Assumptions!$E$34+(Assumptions!$D$62+Assumptions!$E$62)*Assumptions!$E$35+Assumptions!$J$62*Assumptions!$E$36+Assumptions!$K$62)/(1-O37)+Assumptions!$L$62*Assumptions!$E$38</f>
        <v>93.3333333333333</v>
      </c>
    </row>
    <row r="38" customFormat="false" ht="15" hidden="false" customHeight="false" outlineLevel="0" collapsed="false">
      <c r="A38" s="9" t="s">
        <v>232</v>
      </c>
      <c r="B38" s="26" t="n">
        <f aca="false">Assumptions!$B$63*Assumptions!$E$12+Assumptions!$C$63*Assumptions!$E$13+(Assumptions!$D$63+Assumptions!$E$63)*Assumptions!$E$14</f>
        <v>0.1</v>
      </c>
      <c r="C38" s="26" t="n">
        <f aca="false">Assumptions!$C$63*Assumptions!$E$16*Assumptions!$E$15</f>
        <v>0</v>
      </c>
      <c r="D38" s="26" t="n">
        <f aca="false">(Assumptions!$D$63*Assumptions!$D$20*Assumptions!$E$17+Assumptions!$E$63*Assumptions!$D$21*Assumptions!$E$18)*Assumptions!$E$19</f>
        <v>0</v>
      </c>
      <c r="E38" s="26" t="n">
        <f aca="false">Assumptions!$F$63*Assumptions!$E$23*Assumptions!$E$22</f>
        <v>3.72</v>
      </c>
      <c r="F38" s="26" t="n">
        <f aca="false">Assumptions!$G$63*Assumptions!$E$24*Assumptions!$E$25</f>
        <v>18.753</v>
      </c>
      <c r="G38" s="26" t="n">
        <f aca="false">Assumptions!$H$63*Assumptions!$D$26*Assumptions!$D$27</f>
        <v>0.36</v>
      </c>
      <c r="H38" s="26" t="n">
        <f aca="false">Assumptions!$I$63*Assumptions!$E$28</f>
        <v>0.1</v>
      </c>
      <c r="I38" s="26" t="n">
        <f aca="false">Assumptions!$B$63*Assumptions!$D$31*Assumptions!$E$30</f>
        <v>0.9</v>
      </c>
      <c r="J38" s="26" t="n">
        <f aca="false">Assumptions!$B$63*Assumptions!$E$33/60*Assumptions!$E$32</f>
        <v>8.75</v>
      </c>
      <c r="K38" s="26" t="n">
        <f aca="false">(Assumptions!$C$63*Assumptions!$E$34+(Assumptions!$D$63+Assumptions!$E$63)*Assumptions!$E$35+Assumptions!$J$63*Assumptions!$E$36+Assumptions!$K$63)/60*Assumptions!$E$32</f>
        <v>8.75</v>
      </c>
      <c r="L38" s="26" t="n">
        <f aca="false">Assumptions!$L$63*Assumptions!$E$38/60*Assumptions!$E$37</f>
        <v>8.75</v>
      </c>
      <c r="M38" s="26" t="n">
        <f aca="false">SUM(B38:L38)</f>
        <v>50.183</v>
      </c>
      <c r="N38" s="26" t="n">
        <f aca="false">B38+C38+D38+E38+K38</f>
        <v>12.57</v>
      </c>
      <c r="O38" s="27" t="n">
        <f aca="false">Assumptions!$E$39</f>
        <v>0.25</v>
      </c>
      <c r="P38" s="26" t="n">
        <f aca="false">(M38-N38)+N38/(1-O38)</f>
        <v>54.373</v>
      </c>
      <c r="Q38" s="28" t="n">
        <f aca="false">P38*Assumptions!$D$6</f>
        <v>41.051615</v>
      </c>
      <c r="R38" s="29" t="n">
        <f aca="false">IF(P38=0,0,(J38+K38/(1-O38)+L38)/P38)</f>
        <v>0.536418197757465</v>
      </c>
      <c r="S38" s="20" t="n">
        <f aca="false">Assumptions!$B$63*Assumptions!$E$33+(Assumptions!$C$63*Assumptions!$E$34+(Assumptions!$D$63+Assumptions!$E$63)*Assumptions!$E$35+Assumptions!$J$63*Assumptions!$E$36+Assumptions!$K$63)/(1-O38)+Assumptions!$L$63*Assumptions!$E$38</f>
        <v>50</v>
      </c>
    </row>
    <row r="39" customFormat="false" ht="15" hidden="false" customHeight="false" outlineLevel="0" collapsed="false">
      <c r="A39" s="9" t="s">
        <v>233</v>
      </c>
      <c r="B39" s="26" t="n">
        <f aca="false">Assumptions!$B$64*Assumptions!$E$12+Assumptions!$C$64*Assumptions!$E$13+(Assumptions!$D$64+Assumptions!$E$64)*Assumptions!$E$14</f>
        <v>0.3</v>
      </c>
      <c r="C39" s="26" t="n">
        <f aca="false">Assumptions!$C$64*Assumptions!$E$16*Assumptions!$E$15</f>
        <v>0</v>
      </c>
      <c r="D39" s="26" t="n">
        <f aca="false">(Assumptions!$D$64*Assumptions!$D$20*Assumptions!$E$17+Assumptions!$E$64*Assumptions!$D$21*Assumptions!$E$18)*Assumptions!$E$19</f>
        <v>15.12</v>
      </c>
      <c r="E39" s="26" t="n">
        <f aca="false">Assumptions!$F$64*Assumptions!$E$23*Assumptions!$E$22</f>
        <v>1.86</v>
      </c>
      <c r="F39" s="26" t="n">
        <f aca="false">Assumptions!$G$64*Assumptions!$E$24*Assumptions!$E$25</f>
        <v>0</v>
      </c>
      <c r="G39" s="26" t="n">
        <f aca="false">Assumptions!$H$64*Assumptions!$D$26*Assumptions!$D$27</f>
        <v>0.09</v>
      </c>
      <c r="H39" s="26" t="n">
        <f aca="false">Assumptions!$I$64*Assumptions!$E$28</f>
        <v>0.05</v>
      </c>
      <c r="I39" s="26" t="n">
        <f aca="false">Assumptions!$B$64*Assumptions!$D$31*Assumptions!$E$30</f>
        <v>0.9</v>
      </c>
      <c r="J39" s="26" t="n">
        <f aca="false">Assumptions!$B$64*Assumptions!$E$33/60*Assumptions!$E$32</f>
        <v>8.75</v>
      </c>
      <c r="K39" s="26" t="n">
        <f aca="false">(Assumptions!$C$64*Assumptions!$E$34+(Assumptions!$D$64+Assumptions!$E$64)*Assumptions!$E$35+Assumptions!$J$64*Assumptions!$E$36+Assumptions!$K$64)/60*Assumptions!$E$32</f>
        <v>8.75</v>
      </c>
      <c r="L39" s="26" t="n">
        <f aca="false">Assumptions!$L$64*Assumptions!$E$38/60*Assumptions!$E$37</f>
        <v>4.375</v>
      </c>
      <c r="M39" s="26" t="n">
        <f aca="false">SUM(B39:L39)</f>
        <v>40.195</v>
      </c>
      <c r="N39" s="26" t="n">
        <f aca="false">B39+C39+D39+E39+K39</f>
        <v>26.03</v>
      </c>
      <c r="O39" s="27" t="n">
        <f aca="false">Assumptions!$E$39</f>
        <v>0.25</v>
      </c>
      <c r="P39" s="26" t="n">
        <f aca="false">(M39-N39)+N39/(1-O39)</f>
        <v>48.8716666666667</v>
      </c>
      <c r="Q39" s="28" t="n">
        <f aca="false">P39*Assumptions!$D$6</f>
        <v>36.8981083333333</v>
      </c>
      <c r="R39" s="29" t="n">
        <f aca="false">IF(P39=0,0,(J39+K39/(1-O39)+L39)/P39)</f>
        <v>0.50728097397947</v>
      </c>
      <c r="S39" s="20" t="n">
        <f aca="false">Assumptions!$B$64*Assumptions!$E$33+(Assumptions!$C$64*Assumptions!$E$34+(Assumptions!$D$64+Assumptions!$E$64)*Assumptions!$E$35+Assumptions!$J$64*Assumptions!$E$36+Assumptions!$K$64)/(1-O39)+Assumptions!$L$64*Assumptions!$E$38</f>
        <v>42.5</v>
      </c>
    </row>
    <row r="40" customFormat="false" ht="15" hidden="false" customHeight="false" outlineLevel="0" collapsed="false">
      <c r="A40" s="9" t="s">
        <v>234</v>
      </c>
      <c r="B40" s="26" t="n">
        <f aca="false">Assumptions!$B$65*Assumptions!$E$12+Assumptions!$C$65*Assumptions!$E$13+(Assumptions!$D$65+Assumptions!$E$65)*Assumptions!$E$14</f>
        <v>0.3</v>
      </c>
      <c r="C40" s="26" t="n">
        <f aca="false">Assumptions!$C$65*Assumptions!$E$16*Assumptions!$E$15</f>
        <v>0</v>
      </c>
      <c r="D40" s="26" t="n">
        <f aca="false">(Assumptions!$D$65*Assumptions!$D$20*Assumptions!$E$17+Assumptions!$E$65*Assumptions!$D$21*Assumptions!$E$18)*Assumptions!$E$19</f>
        <v>108</v>
      </c>
      <c r="E40" s="26" t="n">
        <f aca="false">Assumptions!$F$65*Assumptions!$E$23*Assumptions!$E$22</f>
        <v>3.72</v>
      </c>
      <c r="F40" s="26" t="n">
        <f aca="false">Assumptions!$G$65*Assumptions!$E$24*Assumptions!$E$25</f>
        <v>0</v>
      </c>
      <c r="G40" s="26" t="n">
        <f aca="false">Assumptions!$H$65*Assumptions!$D$26*Assumptions!$D$27</f>
        <v>0.18</v>
      </c>
      <c r="H40" s="26" t="n">
        <f aca="false">Assumptions!$I$65*Assumptions!$E$28</f>
        <v>0.1</v>
      </c>
      <c r="I40" s="26" t="n">
        <f aca="false">Assumptions!$B$65*Assumptions!$D$31*Assumptions!$E$30</f>
        <v>0.9</v>
      </c>
      <c r="J40" s="26" t="n">
        <f aca="false">Assumptions!$B$65*Assumptions!$E$33/60*Assumptions!$E$32</f>
        <v>8.75</v>
      </c>
      <c r="K40" s="26" t="n">
        <f aca="false">(Assumptions!$C$65*Assumptions!$E$34+(Assumptions!$D$65+Assumptions!$E$65)*Assumptions!$E$35+Assumptions!$J$65*Assumptions!$E$36+Assumptions!$K$65)/60*Assumptions!$E$32</f>
        <v>8.75</v>
      </c>
      <c r="L40" s="26" t="n">
        <f aca="false">Assumptions!$L$65*Assumptions!$E$38/60*Assumptions!$E$37</f>
        <v>7</v>
      </c>
      <c r="M40" s="26" t="n">
        <f aca="false">SUM(B40:L40)</f>
        <v>137.7</v>
      </c>
      <c r="N40" s="26" t="n">
        <f aca="false">B40+C40+D40+E40+K40</f>
        <v>120.77</v>
      </c>
      <c r="O40" s="27" t="n">
        <f aca="false">Assumptions!$E$39</f>
        <v>0.25</v>
      </c>
      <c r="P40" s="26" t="n">
        <f aca="false">(M40-N40)+N40/(1-O40)</f>
        <v>177.956666666667</v>
      </c>
      <c r="Q40" s="28" t="n">
        <f aca="false">P40*Assumptions!$D$6</f>
        <v>134.357283333333</v>
      </c>
      <c r="R40" s="29" t="n">
        <f aca="false">IF(P40=0,0,(J40+K40/(1-O40)+L40)/P40)</f>
        <v>0.154063723378351</v>
      </c>
      <c r="S40" s="20" t="n">
        <f aca="false">Assumptions!$B$65*Assumptions!$E$33+(Assumptions!$C$65*Assumptions!$E$34+(Assumptions!$D$65+Assumptions!$E$65)*Assumptions!$E$35+Assumptions!$J$65*Assumptions!$E$36+Assumptions!$K$65)/(1-O40)+Assumptions!$L$65*Assumptions!$E$38</f>
        <v>47</v>
      </c>
    </row>
    <row r="41" customFormat="false" ht="15" hidden="false" customHeight="false" outlineLevel="0" collapsed="false">
      <c r="A41" s="9" t="s">
        <v>235</v>
      </c>
      <c r="B41" s="26" t="n">
        <f aca="false">Assumptions!$B$66*Assumptions!$E$12+Assumptions!$C$66*Assumptions!$E$13+(Assumptions!$D$66+Assumptions!$E$66)*Assumptions!$E$14</f>
        <v>1.7</v>
      </c>
      <c r="C41" s="26" t="n">
        <f aca="false">Assumptions!$C$66*Assumptions!$E$16*Assumptions!$E$15</f>
        <v>21.12</v>
      </c>
      <c r="D41" s="26" t="n">
        <f aca="false">(Assumptions!$D$66*Assumptions!$D$20*Assumptions!$E$17+Assumptions!$E$66*Assumptions!$D$21*Assumptions!$E$18)*Assumptions!$E$19</f>
        <v>123.12</v>
      </c>
      <c r="E41" s="26" t="n">
        <f aca="false">Assumptions!$F$66*Assumptions!$E$23*Assumptions!$E$22</f>
        <v>7.44</v>
      </c>
      <c r="F41" s="26" t="n">
        <f aca="false">Assumptions!$G$66*Assumptions!$E$24*Assumptions!$E$25</f>
        <v>18.753</v>
      </c>
      <c r="G41" s="26" t="n">
        <f aca="false">Assumptions!$H$66*Assumptions!$D$26*Assumptions!$D$27</f>
        <v>0.54</v>
      </c>
      <c r="H41" s="26" t="n">
        <f aca="false">Assumptions!$I$66*Assumptions!$E$28</f>
        <v>0.2</v>
      </c>
      <c r="I41" s="26" t="n">
        <f aca="false">Assumptions!$B$66*Assumptions!$D$31*Assumptions!$E$30</f>
        <v>1.8</v>
      </c>
      <c r="J41" s="26" t="n">
        <f aca="false">Assumptions!$B$66*Assumptions!$E$33/60*Assumptions!$E$32</f>
        <v>17.5</v>
      </c>
      <c r="K41" s="26" t="n">
        <f aca="false">(Assumptions!$C$66*Assumptions!$E$34+(Assumptions!$D$66+Assumptions!$E$66)*Assumptions!$E$35+Assumptions!$J$66*Assumptions!$E$36+Assumptions!$K$66)/60*Assumptions!$E$32</f>
        <v>54.25</v>
      </c>
      <c r="L41" s="26" t="n">
        <f aca="false">Assumptions!$L$66*Assumptions!$E$38/60*Assumptions!$E$37</f>
        <v>26.25</v>
      </c>
      <c r="M41" s="26" t="n">
        <f aca="false">SUM(B41:L41)</f>
        <v>272.673</v>
      </c>
      <c r="N41" s="26" t="n">
        <f aca="false">B41+C41+D41+E41+K41</f>
        <v>207.63</v>
      </c>
      <c r="O41" s="27" t="n">
        <f aca="false">Assumptions!$E$39</f>
        <v>0.25</v>
      </c>
      <c r="P41" s="26" t="n">
        <f aca="false">(M41-N41)+N41/(1-O41)</f>
        <v>341.883</v>
      </c>
      <c r="Q41" s="28" t="n">
        <f aca="false">P41*Assumptions!$D$6</f>
        <v>258.121665</v>
      </c>
      <c r="R41" s="29" t="n">
        <f aca="false">IF(P41=0,0,(J41+K41/(1-O41)+L41)/P41)</f>
        <v>0.339541110067869</v>
      </c>
      <c r="S41" s="20" t="n">
        <f aca="false">Assumptions!$B$66*Assumptions!$E$33+(Assumptions!$C$66*Assumptions!$E$34+(Assumptions!$D$66+Assumptions!$E$66)*Assumptions!$E$35+Assumptions!$J$66*Assumptions!$E$36+Assumptions!$K$66)/(1-O41)+Assumptions!$L$66*Assumptions!$E$38</f>
        <v>199</v>
      </c>
    </row>
    <row r="42" customFormat="false" ht="15" hidden="false" customHeight="false" outlineLevel="0" collapsed="false">
      <c r="A42" s="9" t="s">
        <v>236</v>
      </c>
      <c r="B42" s="26" t="n">
        <f aca="false">Assumptions!$B$67*Assumptions!$E$12+Assumptions!$C$67*Assumptions!$E$13+(Assumptions!$D$67+Assumptions!$E$67)*Assumptions!$E$14</f>
        <v>17.7</v>
      </c>
      <c r="C42" s="26" t="n">
        <f aca="false">Assumptions!$C$67*Assumptions!$E$16*Assumptions!$E$15</f>
        <v>270.72</v>
      </c>
      <c r="D42" s="26" t="n">
        <f aca="false">(Assumptions!$D$67*Assumptions!$D$20*Assumptions!$E$17+Assumptions!$E$67*Assumptions!$D$21*Assumptions!$E$18)*Assumptions!$E$19</f>
        <v>738.72</v>
      </c>
      <c r="E42" s="26" t="n">
        <f aca="false">Assumptions!$F$67*Assumptions!$E$23*Assumptions!$E$22</f>
        <v>52.08</v>
      </c>
      <c r="F42" s="26" t="n">
        <f aca="false">Assumptions!$G$67*Assumptions!$E$24*Assumptions!$E$25</f>
        <v>112.518</v>
      </c>
      <c r="G42" s="26" t="n">
        <f aca="false">Assumptions!$H$67*Assumptions!$D$26*Assumptions!$D$27</f>
        <v>4.14</v>
      </c>
      <c r="H42" s="26" t="n">
        <f aca="false">Assumptions!$I$67*Assumptions!$E$28</f>
        <v>1.7</v>
      </c>
      <c r="I42" s="26" t="n">
        <f aca="false">Assumptions!$B$67*Assumptions!$D$31*Assumptions!$E$30</f>
        <v>10.8</v>
      </c>
      <c r="J42" s="26" t="n">
        <f aca="false">Assumptions!$B$67*Assumptions!$E$33/60*Assumptions!$E$32</f>
        <v>105</v>
      </c>
      <c r="K42" s="26" t="n">
        <f aca="false">(Assumptions!$C$67*Assumptions!$E$34+(Assumptions!$D$67+Assumptions!$E$67)*Assumptions!$E$35+Assumptions!$J$67*Assumptions!$E$36+Assumptions!$K$67)/60*Assumptions!$E$32</f>
        <v>564.666666666667</v>
      </c>
      <c r="L42" s="26" t="n">
        <f aca="false">Assumptions!$L$67*Assumptions!$E$38/60*Assumptions!$E$37</f>
        <v>105</v>
      </c>
      <c r="M42" s="26" t="n">
        <f aca="false">SUM(B42:L42)</f>
        <v>1983.04466666667</v>
      </c>
      <c r="N42" s="26" t="n">
        <f aca="false">B42+C42+D42+E42+K42</f>
        <v>1643.88666666667</v>
      </c>
      <c r="O42" s="27" t="n">
        <f aca="false">Assumptions!$E$39</f>
        <v>0.25</v>
      </c>
      <c r="P42" s="26" t="n">
        <f aca="false">(M42-N42)+N42/(1-O42)</f>
        <v>2531.00688888889</v>
      </c>
      <c r="Q42" s="28" t="n">
        <f aca="false">P42*Assumptions!$D$6</f>
        <v>1910.91020111111</v>
      </c>
      <c r="R42" s="29" t="n">
        <f aca="false">IF(P42=0,0,(J42+K42/(1-O42)+L42)/P42)</f>
        <v>0.380437087356802</v>
      </c>
      <c r="S42" s="20" t="n">
        <f aca="false">Assumptions!$B$67*Assumptions!$E$33+(Assumptions!$C$67*Assumptions!$E$34+(Assumptions!$D$67+Assumptions!$E$67)*Assumptions!$E$35+Assumptions!$J$67*Assumptions!$E$36+Assumptions!$K$67)/(1-O42)+Assumptions!$L$67*Assumptions!$E$38</f>
        <v>1650.66666666667</v>
      </c>
    </row>
    <row r="43" customFormat="false" ht="15" hidden="false" customHeight="false" outlineLevel="0" collapsed="false">
      <c r="A43" s="9" t="s">
        <v>237</v>
      </c>
      <c r="B43" s="26" t="n">
        <f aca="false">Assumptions!$B$68*Assumptions!$E$12+Assumptions!$C$68*Assumptions!$E$13+(Assumptions!$D$68+Assumptions!$E$68)*Assumptions!$E$14</f>
        <v>55.5</v>
      </c>
      <c r="C43" s="26" t="n">
        <f aca="false">Assumptions!$C$68*Assumptions!$E$16*Assumptions!$E$15</f>
        <v>892.8</v>
      </c>
      <c r="D43" s="26" t="n">
        <f aca="false">(Assumptions!$D$68*Assumptions!$D$20*Assumptions!$E$17+Assumptions!$E$68*Assumptions!$D$21*Assumptions!$E$18)*Assumptions!$E$19</f>
        <v>1846.8</v>
      </c>
      <c r="E43" s="26" t="n">
        <f aca="false">Assumptions!$F$68*Assumptions!$E$23*Assumptions!$E$22</f>
        <v>119.04</v>
      </c>
      <c r="F43" s="26" t="n">
        <f aca="false">Assumptions!$G$68*Assumptions!$E$24*Assumptions!$E$25</f>
        <v>281.295</v>
      </c>
      <c r="G43" s="26" t="n">
        <f aca="false">Assumptions!$H$68*Assumptions!$D$26*Assumptions!$D$27</f>
        <v>11.7</v>
      </c>
      <c r="H43" s="26" t="n">
        <f aca="false">Assumptions!$I$68*Assumptions!$E$28</f>
        <v>5</v>
      </c>
      <c r="I43" s="26" t="n">
        <f aca="false">Assumptions!$B$68*Assumptions!$D$31*Assumptions!$E$30</f>
        <v>27</v>
      </c>
      <c r="J43" s="26" t="n">
        <f aca="false">Assumptions!$B$68*Assumptions!$E$33/60*Assumptions!$E$32</f>
        <v>262.5</v>
      </c>
      <c r="K43" s="26" t="n">
        <f aca="false">(Assumptions!$C$68*Assumptions!$E$34+(Assumptions!$D$68+Assumptions!$E$68)*Assumptions!$E$35+Assumptions!$J$68*Assumptions!$E$36+Assumptions!$K$68)/60*Assumptions!$E$32</f>
        <v>1665.41666666667</v>
      </c>
      <c r="L43" s="26" t="n">
        <f aca="false">Assumptions!$L$68*Assumptions!$E$38/60*Assumptions!$E$37</f>
        <v>210</v>
      </c>
      <c r="M43" s="26" t="n">
        <f aca="false">SUM(B43:L43)</f>
        <v>5377.05166666667</v>
      </c>
      <c r="N43" s="26" t="n">
        <f aca="false">B43+C43+D43+E43+K43</f>
        <v>4579.55666666667</v>
      </c>
      <c r="O43" s="27" t="n">
        <f aca="false">Assumptions!$E$39</f>
        <v>0.25</v>
      </c>
      <c r="P43" s="26" t="n">
        <f aca="false">(M43-N43)+N43/(1-O43)</f>
        <v>6903.57055555556</v>
      </c>
      <c r="Q43" s="28" t="n">
        <f aca="false">P43*Assumptions!$D$6</f>
        <v>5212.19576944444</v>
      </c>
      <c r="R43" s="29" t="n">
        <f aca="false">IF(P43=0,0,(J43+K43/(1-O43)+L43)/P43)</f>
        <v>0.390096042893102</v>
      </c>
      <c r="S43" s="20" t="n">
        <f aca="false">Assumptions!$B$68*Assumptions!$E$33+(Assumptions!$C$68*Assumptions!$E$34+(Assumptions!$D$68+Assumptions!$E$68)*Assumptions!$E$35+Assumptions!$J$68*Assumptions!$E$36+Assumptions!$K$68)/(1-O43)+Assumptions!$L$68*Assumptions!$E$38</f>
        <v>4616.66666666667</v>
      </c>
    </row>
    <row r="44" customFormat="false" ht="15" hidden="false" customHeight="false" outlineLevel="0" collapsed="false">
      <c r="A44" s="3" t="s">
        <v>483</v>
      </c>
      <c r="B44" s="2"/>
      <c r="C44" s="2"/>
      <c r="D44" s="2"/>
      <c r="E44" s="2"/>
      <c r="F44" s="2"/>
      <c r="G44" s="2"/>
      <c r="H44" s="2"/>
      <c r="I44" s="2"/>
      <c r="J44" s="2"/>
      <c r="K44" s="2"/>
      <c r="L44" s="2"/>
      <c r="M44" s="30" t="n">
        <f aca="false">Assumptions!$E$24*Assumptions!$E$25+Assumptions!$D$29*Assumptions!$E$28+Assumptions!$D$44*Assumptions!$D$26</f>
        <v>18.883</v>
      </c>
      <c r="N44" s="2"/>
      <c r="O44" s="2"/>
      <c r="P44" s="2"/>
      <c r="Q44" s="31" t="n">
        <f aca="false">M44*Assumptions!$D$6</f>
        <v>14.256665</v>
      </c>
      <c r="R44" s="2"/>
      <c r="S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row>
    <row r="46" customFormat="false" ht="15" hidden="false" customHeight="false" outlineLevel="0" collapsed="false">
      <c r="A46" s="5" t="s">
        <v>486</v>
      </c>
      <c r="B46" s="6"/>
      <c r="C46" s="6"/>
      <c r="D46" s="6"/>
      <c r="E46" s="6"/>
      <c r="F46" s="6"/>
      <c r="G46" s="6"/>
      <c r="H46" s="6"/>
      <c r="I46" s="2"/>
      <c r="J46" s="2"/>
      <c r="K46" s="2"/>
      <c r="L46" s="2"/>
      <c r="M46" s="2"/>
      <c r="N46" s="2"/>
      <c r="O46" s="2"/>
      <c r="P46" s="2"/>
      <c r="Q46" s="2"/>
      <c r="R46" s="2"/>
      <c r="S46" s="2"/>
    </row>
    <row r="47" customFormat="false" ht="23.85" hidden="false" customHeight="false" outlineLevel="0" collapsed="false">
      <c r="A47" s="17" t="s">
        <v>216</v>
      </c>
      <c r="B47" s="17" t="s">
        <v>487</v>
      </c>
      <c r="C47" s="17" t="s">
        <v>488</v>
      </c>
      <c r="D47" s="17" t="s">
        <v>489</v>
      </c>
      <c r="E47" s="17" t="s">
        <v>490</v>
      </c>
      <c r="F47" s="17" t="s">
        <v>491</v>
      </c>
      <c r="G47" s="17" t="s">
        <v>492</v>
      </c>
      <c r="H47" s="17" t="s">
        <v>493</v>
      </c>
      <c r="I47" s="2"/>
      <c r="J47" s="2"/>
      <c r="K47" s="2"/>
      <c r="L47" s="2"/>
      <c r="M47" s="2"/>
      <c r="N47" s="2"/>
      <c r="O47" s="2"/>
      <c r="P47" s="2"/>
      <c r="Q47" s="2"/>
      <c r="R47" s="2"/>
      <c r="S47" s="2"/>
    </row>
    <row r="48" customFormat="false" ht="15" hidden="false" customHeight="false" outlineLevel="0" collapsed="false">
      <c r="A48" s="2" t="s">
        <v>228</v>
      </c>
      <c r="B48" s="30" t="n">
        <f aca="false">P6</f>
        <v>1.62058771929825</v>
      </c>
      <c r="C48" s="30" t="n">
        <f aca="false">P20</f>
        <v>7.13750980392157</v>
      </c>
      <c r="D48" s="30" t="n">
        <f aca="false">P34</f>
        <v>14.3176666666667</v>
      </c>
      <c r="E48" s="31" t="n">
        <f aca="false">Q6</f>
        <v>1.22354372807018</v>
      </c>
      <c r="F48" s="31" t="n">
        <f aca="false">Q20</f>
        <v>5.38881990196078</v>
      </c>
      <c r="G48" s="31" t="n">
        <f aca="false">Q34</f>
        <v>10.8098383333333</v>
      </c>
      <c r="H48" s="32" t="n">
        <f aca="false">R20</f>
        <v>0.792554112078415</v>
      </c>
      <c r="I48" s="2"/>
      <c r="J48" s="2"/>
      <c r="K48" s="2"/>
      <c r="L48" s="2"/>
      <c r="M48" s="2"/>
      <c r="N48" s="2"/>
      <c r="O48" s="2"/>
      <c r="P48" s="2"/>
      <c r="Q48" s="2"/>
      <c r="R48" s="2"/>
      <c r="S48" s="2"/>
    </row>
    <row r="49" customFormat="false" ht="15" hidden="false" customHeight="false" outlineLevel="0" collapsed="false">
      <c r="A49" s="2" t="s">
        <v>229</v>
      </c>
      <c r="B49" s="30" t="n">
        <f aca="false">P7</f>
        <v>4.04342105263158</v>
      </c>
      <c r="C49" s="30" t="n">
        <f aca="false">P21</f>
        <v>14.3874509803922</v>
      </c>
      <c r="D49" s="30" t="n">
        <f aca="false">P35</f>
        <v>27.6325555555556</v>
      </c>
      <c r="E49" s="31" t="n">
        <f aca="false">Q7</f>
        <v>3.05278289473684</v>
      </c>
      <c r="F49" s="31" t="n">
        <f aca="false">Q21</f>
        <v>10.8625254901961</v>
      </c>
      <c r="G49" s="31" t="n">
        <f aca="false">Q35</f>
        <v>20.8625794444444</v>
      </c>
      <c r="H49" s="32" t="n">
        <f aca="false">R21</f>
        <v>0.632359354557349</v>
      </c>
      <c r="I49" s="2"/>
      <c r="J49" s="2"/>
      <c r="K49" s="2"/>
      <c r="L49" s="2"/>
      <c r="M49" s="2"/>
      <c r="N49" s="2"/>
      <c r="O49" s="2"/>
      <c r="P49" s="2"/>
      <c r="Q49" s="2"/>
      <c r="R49" s="2"/>
      <c r="S49" s="2"/>
    </row>
    <row r="50" customFormat="false" ht="15" hidden="false" customHeight="false" outlineLevel="0" collapsed="false">
      <c r="A50" s="2" t="s">
        <v>230</v>
      </c>
      <c r="B50" s="30" t="n">
        <f aca="false">P8</f>
        <v>6.61929824561404</v>
      </c>
      <c r="C50" s="30" t="n">
        <f aca="false">P22</f>
        <v>21.4803921568627</v>
      </c>
      <c r="D50" s="30" t="n">
        <f aca="false">P36</f>
        <v>40.8638888888889</v>
      </c>
      <c r="E50" s="31" t="n">
        <f aca="false">Q8</f>
        <v>4.9975701754386</v>
      </c>
      <c r="F50" s="31" t="n">
        <f aca="false">Q22</f>
        <v>16.2176960784314</v>
      </c>
      <c r="G50" s="31" t="n">
        <f aca="false">Q36</f>
        <v>30.8522361111111</v>
      </c>
      <c r="H50" s="32" t="n">
        <f aca="false">R22</f>
        <v>0.60702875399361</v>
      </c>
      <c r="I50" s="2"/>
      <c r="J50" s="2"/>
      <c r="K50" s="2"/>
      <c r="L50" s="2"/>
      <c r="M50" s="2"/>
      <c r="N50" s="2"/>
      <c r="O50" s="2"/>
      <c r="P50" s="2"/>
      <c r="Q50" s="2"/>
      <c r="R50" s="2"/>
      <c r="S50" s="2"/>
    </row>
    <row r="51" customFormat="false" ht="15" hidden="false" customHeight="false" outlineLevel="0" collapsed="false">
      <c r="A51" s="2" t="s">
        <v>231</v>
      </c>
      <c r="B51" s="30" t="n">
        <f aca="false">P9</f>
        <v>13.9935087719298</v>
      </c>
      <c r="C51" s="30" t="n">
        <f aca="false">P23</f>
        <v>46.078431372549</v>
      </c>
      <c r="D51" s="30" t="n">
        <f aca="false">P37</f>
        <v>87.5177777777778</v>
      </c>
      <c r="E51" s="31" t="n">
        <f aca="false">Q9</f>
        <v>10.565099122807</v>
      </c>
      <c r="F51" s="31" t="n">
        <f aca="false">Q23</f>
        <v>34.7892156862745</v>
      </c>
      <c r="G51" s="31" t="n">
        <f aca="false">Q37</f>
        <v>66.0759222222222</v>
      </c>
      <c r="H51" s="32" t="n">
        <f aca="false">R23</f>
        <v>0.576170212765957</v>
      </c>
      <c r="I51" s="2"/>
      <c r="J51" s="2"/>
      <c r="K51" s="2"/>
      <c r="L51" s="2"/>
      <c r="M51" s="2"/>
      <c r="N51" s="2"/>
      <c r="O51" s="2"/>
      <c r="P51" s="2"/>
      <c r="Q51" s="2"/>
      <c r="R51" s="2"/>
      <c r="S51" s="2"/>
    </row>
    <row r="52" customFormat="false" ht="15" hidden="false" customHeight="false" outlineLevel="0" collapsed="false">
      <c r="A52" s="2" t="s">
        <v>232</v>
      </c>
      <c r="B52" s="30" t="n">
        <f aca="false">P10</f>
        <v>7.52859649122807</v>
      </c>
      <c r="C52" s="30" t="n">
        <f aca="false">P24</f>
        <v>22.413137254902</v>
      </c>
      <c r="D52" s="30" t="n">
        <f aca="false">P38</f>
        <v>54.373</v>
      </c>
      <c r="E52" s="31" t="n">
        <f aca="false">Q10</f>
        <v>5.68409035087719</v>
      </c>
      <c r="F52" s="31" t="n">
        <f aca="false">Q24</f>
        <v>16.921918627451</v>
      </c>
      <c r="G52" s="31" t="n">
        <f aca="false">Q38</f>
        <v>41.051615</v>
      </c>
      <c r="H52" s="32" t="n">
        <f aca="false">R24</f>
        <v>0.737050224395706</v>
      </c>
      <c r="I52" s="2"/>
      <c r="J52" s="2"/>
      <c r="K52" s="2"/>
      <c r="L52" s="2"/>
      <c r="M52" s="2"/>
      <c r="N52" s="2"/>
      <c r="O52" s="2"/>
      <c r="P52" s="2"/>
      <c r="Q52" s="2"/>
      <c r="R52" s="2"/>
      <c r="S52" s="2"/>
    </row>
    <row r="53" customFormat="false" ht="15" hidden="false" customHeight="false" outlineLevel="0" collapsed="false">
      <c r="A53" s="2" t="s">
        <v>233</v>
      </c>
      <c r="B53" s="30" t="n">
        <f aca="false">P11</f>
        <v>6.77350877192983</v>
      </c>
      <c r="C53" s="30" t="n">
        <f aca="false">P25</f>
        <v>21.4492156862745</v>
      </c>
      <c r="D53" s="30" t="n">
        <f aca="false">P39</f>
        <v>48.8716666666667</v>
      </c>
      <c r="E53" s="31" t="n">
        <f aca="false">Q11</f>
        <v>5.11399912280702</v>
      </c>
      <c r="F53" s="31" t="n">
        <f aca="false">Q25</f>
        <v>16.1941578431373</v>
      </c>
      <c r="G53" s="31" t="n">
        <f aca="false">Q39</f>
        <v>36.8981083333333</v>
      </c>
      <c r="H53" s="32" t="n">
        <f aca="false">R25</f>
        <v>0.539349672276513</v>
      </c>
      <c r="I53" s="2"/>
      <c r="J53" s="2"/>
      <c r="K53" s="2"/>
      <c r="L53" s="2"/>
      <c r="M53" s="2"/>
      <c r="N53" s="2"/>
      <c r="O53" s="2"/>
      <c r="P53" s="2"/>
      <c r="Q53" s="2"/>
      <c r="R53" s="2"/>
      <c r="S53" s="2"/>
    </row>
    <row r="54" customFormat="false" ht="15" hidden="false" customHeight="false" outlineLevel="0" collapsed="false">
      <c r="A54" s="2" t="s">
        <v>234</v>
      </c>
      <c r="B54" s="30" t="n">
        <f aca="false">P12</f>
        <v>15.7214035087719</v>
      </c>
      <c r="C54" s="30" t="n">
        <f aca="false">P26</f>
        <v>71.7303921568627</v>
      </c>
      <c r="D54" s="30" t="n">
        <f aca="false">P40</f>
        <v>177.956666666667</v>
      </c>
      <c r="E54" s="31" t="n">
        <f aca="false">Q12</f>
        <v>11.8696596491228</v>
      </c>
      <c r="F54" s="31" t="n">
        <f aca="false">Q26</f>
        <v>54.1564460784314</v>
      </c>
      <c r="G54" s="31" t="n">
        <f aca="false">Q40</f>
        <v>134.357283333333</v>
      </c>
      <c r="H54" s="32" t="n">
        <f aca="false">R26</f>
        <v>0.182190938290166</v>
      </c>
      <c r="I54" s="2"/>
      <c r="J54" s="2"/>
      <c r="K54" s="2"/>
      <c r="L54" s="2"/>
      <c r="M54" s="2"/>
      <c r="N54" s="2"/>
      <c r="O54" s="2"/>
      <c r="P54" s="2"/>
      <c r="Q54" s="2"/>
      <c r="R54" s="2"/>
      <c r="S54" s="2"/>
    </row>
    <row r="55" customFormat="false" ht="15" hidden="false" customHeight="false" outlineLevel="0" collapsed="false">
      <c r="A55" s="2" t="s">
        <v>235</v>
      </c>
      <c r="B55" s="30" t="n">
        <f aca="false">P13</f>
        <v>42.9731578947368</v>
      </c>
      <c r="C55" s="30" t="n">
        <f aca="false">P27</f>
        <v>151.182745098039</v>
      </c>
      <c r="D55" s="30" t="n">
        <f aca="false">P41</f>
        <v>341.883</v>
      </c>
      <c r="E55" s="31" t="n">
        <f aca="false">Q13</f>
        <v>32.4447342105263</v>
      </c>
      <c r="F55" s="31" t="n">
        <f aca="false">Q27</f>
        <v>114.14297254902</v>
      </c>
      <c r="G55" s="31" t="n">
        <f aca="false">Q41</f>
        <v>258.121665</v>
      </c>
      <c r="H55" s="32" t="n">
        <f aca="false">R27</f>
        <v>0.38779194637836</v>
      </c>
      <c r="I55" s="2"/>
      <c r="J55" s="2"/>
      <c r="K55" s="2"/>
      <c r="L55" s="2"/>
      <c r="M55" s="2"/>
      <c r="N55" s="2"/>
      <c r="O55" s="2"/>
      <c r="P55" s="2"/>
      <c r="Q55" s="2"/>
      <c r="R55" s="2"/>
      <c r="S55" s="2"/>
    </row>
    <row r="56" customFormat="false" ht="15" hidden="false" customHeight="false" outlineLevel="0" collapsed="false">
      <c r="A56" s="2" t="s">
        <v>236</v>
      </c>
      <c r="B56" s="30" t="n">
        <f aca="false">P14</f>
        <v>334.636315789474</v>
      </c>
      <c r="C56" s="30" t="n">
        <f aca="false">P28</f>
        <v>1153.12</v>
      </c>
      <c r="D56" s="30" t="n">
        <f aca="false">P42</f>
        <v>2531.00688888889</v>
      </c>
      <c r="E56" s="31" t="n">
        <f aca="false">Q14</f>
        <v>252.650418421053</v>
      </c>
      <c r="F56" s="31" t="n">
        <f aca="false">Q28</f>
        <v>870.6056</v>
      </c>
      <c r="G56" s="31" t="n">
        <f aca="false">Q42</f>
        <v>1910.91020111111</v>
      </c>
      <c r="H56" s="32" t="n">
        <f aca="false">R28</f>
        <v>0.400193031284944</v>
      </c>
      <c r="I56" s="2"/>
      <c r="J56" s="2"/>
      <c r="K56" s="2"/>
      <c r="L56" s="2"/>
      <c r="M56" s="2"/>
      <c r="N56" s="2"/>
      <c r="O56" s="2"/>
      <c r="P56" s="2"/>
      <c r="Q56" s="2"/>
      <c r="R56" s="2"/>
      <c r="S56" s="2"/>
    </row>
    <row r="57" customFormat="false" ht="15" hidden="false" customHeight="false" outlineLevel="0" collapsed="false">
      <c r="A57" s="2" t="s">
        <v>237</v>
      </c>
      <c r="B57" s="30" t="n">
        <f aca="false">P15</f>
        <v>908.805263157895</v>
      </c>
      <c r="C57" s="30" t="n">
        <f aca="false">P29</f>
        <v>3170.90588235294</v>
      </c>
      <c r="D57" s="30" t="n">
        <f aca="false">P43</f>
        <v>6903.57055555556</v>
      </c>
      <c r="E57" s="31" t="n">
        <f aca="false">Q15</f>
        <v>686.147973684211</v>
      </c>
      <c r="F57" s="31" t="n">
        <f aca="false">Q29</f>
        <v>2394.03394117647</v>
      </c>
      <c r="G57" s="31" t="n">
        <f aca="false">Q43</f>
        <v>5212.19576944444</v>
      </c>
      <c r="H57" s="32" t="n">
        <f aca="false">R29</f>
        <v>0.392632278027804</v>
      </c>
      <c r="I57" s="2"/>
      <c r="J57" s="2"/>
      <c r="K57" s="2"/>
      <c r="L57" s="2"/>
      <c r="M57" s="2"/>
      <c r="N57" s="2"/>
      <c r="O57" s="2"/>
      <c r="P57" s="2"/>
      <c r="Q57" s="2"/>
      <c r="R57" s="2"/>
      <c r="S57" s="2"/>
    </row>
    <row r="58" customFormat="false" ht="15" hidden="false" customHeight="false" outlineLevel="0" collapsed="false">
      <c r="A58" s="2" t="s">
        <v>494</v>
      </c>
      <c r="B58" s="30" t="n">
        <f aca="false">M16</f>
        <v>0.08</v>
      </c>
      <c r="C58" s="30" t="n">
        <f aca="false">M30</f>
        <v>3.77</v>
      </c>
      <c r="D58" s="30" t="n">
        <f aca="false">M44</f>
        <v>18.883</v>
      </c>
      <c r="E58" s="31" t="n">
        <f aca="false">Q16</f>
        <v>0.0604</v>
      </c>
      <c r="F58" s="31" t="n">
        <f aca="false">Q30</f>
        <v>2.84635</v>
      </c>
      <c r="G58" s="31" t="n">
        <f aca="false">Q44</f>
        <v>14.256665</v>
      </c>
      <c r="H58" s="2"/>
      <c r="I58" s="2"/>
      <c r="J58" s="2"/>
      <c r="K58" s="2"/>
      <c r="L58" s="2"/>
      <c r="M58" s="2"/>
      <c r="N58" s="2"/>
      <c r="O58" s="2"/>
      <c r="P58" s="2"/>
      <c r="Q58" s="2"/>
      <c r="R58" s="2"/>
      <c r="S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row>
    <row r="60" customFormat="false" ht="15" hidden="false" customHeight="false" outlineLevel="0" collapsed="false">
      <c r="A60" s="5" t="s">
        <v>495</v>
      </c>
      <c r="B60" s="6"/>
      <c r="C60" s="6"/>
      <c r="D60" s="6"/>
      <c r="E60" s="6"/>
      <c r="F60" s="6"/>
      <c r="G60" s="6"/>
      <c r="H60" s="6"/>
      <c r="I60" s="6"/>
      <c r="J60" s="2"/>
      <c r="K60" s="2"/>
      <c r="L60" s="2"/>
      <c r="M60" s="2"/>
      <c r="N60" s="2"/>
      <c r="O60" s="2"/>
      <c r="P60" s="2"/>
      <c r="Q60" s="2"/>
      <c r="R60" s="2"/>
      <c r="S60" s="2"/>
    </row>
    <row r="61" customFormat="false" ht="15" hidden="false" customHeight="false" outlineLevel="0" collapsed="false">
      <c r="A61" s="8" t="s">
        <v>216</v>
      </c>
      <c r="B61" s="8" t="str">
        <f aca="false">"USD @ "&amp;TEXT(Assumptions!$D$40,"0%")</f>
        <v>USD @ 5%</v>
      </c>
      <c r="C61" s="8" t="str">
        <f aca="false">"USD @ "&amp;TEXT(Assumptions!$D$41,"0%")</f>
        <v>USD @ 15%</v>
      </c>
      <c r="D61" s="8" t="str">
        <f aca="false">"USD @ "&amp;TEXT(Assumptions!$D$42,"0%")</f>
        <v>USD @ 30%</v>
      </c>
      <c r="E61" s="8" t="str">
        <f aca="false">"USD @ "&amp;TEXT(Assumptions!$D$43,"0%")</f>
        <v>USD @ 50%</v>
      </c>
      <c r="F61" s="8" t="str">
        <f aca="false">"GBP @ "&amp;TEXT(Assumptions!$D$40,"0%")</f>
        <v>GBP @ 5%</v>
      </c>
      <c r="G61" s="8" t="str">
        <f aca="false">"GBP @ "&amp;TEXT(Assumptions!$D$41,"0%")</f>
        <v>GBP @ 15%</v>
      </c>
      <c r="H61" s="8" t="str">
        <f aca="false">"GBP @ "&amp;TEXT(Assumptions!$D$42,"0%")</f>
        <v>GBP @ 30%</v>
      </c>
      <c r="I61" s="8" t="str">
        <f aca="false">"GBP @ "&amp;TEXT(Assumptions!$D$43,"0%")</f>
        <v>GBP @ 50%</v>
      </c>
      <c r="J61" s="2"/>
      <c r="K61" s="2"/>
      <c r="L61" s="2"/>
      <c r="M61" s="2"/>
      <c r="N61" s="2"/>
      <c r="O61" s="2"/>
      <c r="P61" s="2"/>
      <c r="Q61" s="2"/>
      <c r="R61" s="2"/>
      <c r="S61" s="2"/>
    </row>
    <row r="62" customFormat="false" ht="15" hidden="false" customHeight="false" outlineLevel="0" collapsed="false">
      <c r="A62" s="2" t="s">
        <v>228</v>
      </c>
      <c r="B62" s="30" t="n">
        <f aca="false">(M20-N20)+N20/(1-Assumptions!$D$40)</f>
        <v>6.97984210526316</v>
      </c>
      <c r="C62" s="30" t="n">
        <f aca="false">(M20-N20)+N20/(1-Assumptions!$D$41)</f>
        <v>7.13750980392157</v>
      </c>
      <c r="D62" s="30" t="n">
        <f aca="false">(M20-N20)+N20/(1-Assumptions!$D$42)</f>
        <v>7.45847619047619</v>
      </c>
      <c r="E62" s="30" t="n">
        <f aca="false">(M20-N20)+N20/(1-Assumptions!$D$43)</f>
        <v>8.186</v>
      </c>
      <c r="F62" s="31" t="n">
        <f aca="false">B62*Assumptions!$D$6</f>
        <v>5.26978078947368</v>
      </c>
      <c r="G62" s="31" t="n">
        <f aca="false">C62*Assumptions!$D$6</f>
        <v>5.38881990196078</v>
      </c>
      <c r="H62" s="31" t="n">
        <f aca="false">D62*Assumptions!$D$6</f>
        <v>5.63114952380952</v>
      </c>
      <c r="I62" s="31" t="n">
        <f aca="false">E62*Assumptions!$D$6</f>
        <v>6.18043</v>
      </c>
      <c r="J62" s="2"/>
      <c r="K62" s="2"/>
      <c r="L62" s="2"/>
      <c r="M62" s="2"/>
      <c r="N62" s="2"/>
      <c r="O62" s="2"/>
      <c r="P62" s="2"/>
      <c r="Q62" s="2"/>
      <c r="R62" s="2"/>
      <c r="S62" s="2"/>
    </row>
    <row r="63" customFormat="false" ht="15" hidden="false" customHeight="false" outlineLevel="0" collapsed="false">
      <c r="A63" s="2" t="s">
        <v>229</v>
      </c>
      <c r="B63" s="30" t="n">
        <f aca="false">(M21-N21)+N21/(1-Assumptions!$D$40)</f>
        <v>13.5284210526316</v>
      </c>
      <c r="C63" s="30" t="n">
        <f aca="false">(M21-N21)+N21/(1-Assumptions!$D$41)</f>
        <v>14.3874509803922</v>
      </c>
      <c r="D63" s="30" t="n">
        <f aca="false">(M21-N21)+N21/(1-Assumptions!$D$42)</f>
        <v>16.1361904761905</v>
      </c>
      <c r="E63" s="30" t="n">
        <f aca="false">(M21-N21)+N21/(1-Assumptions!$D$43)</f>
        <v>20.1</v>
      </c>
      <c r="F63" s="31" t="n">
        <f aca="false">B63*Assumptions!$D$6</f>
        <v>10.2139578947368</v>
      </c>
      <c r="G63" s="31" t="n">
        <f aca="false">C63*Assumptions!$D$6</f>
        <v>10.8625254901961</v>
      </c>
      <c r="H63" s="31" t="n">
        <f aca="false">D63*Assumptions!$D$6</f>
        <v>12.1828238095238</v>
      </c>
      <c r="I63" s="31" t="n">
        <f aca="false">E63*Assumptions!$D$6</f>
        <v>15.1755</v>
      </c>
      <c r="J63" s="2"/>
      <c r="K63" s="2"/>
      <c r="L63" s="2"/>
      <c r="M63" s="2"/>
      <c r="N63" s="2"/>
      <c r="O63" s="2"/>
      <c r="P63" s="2"/>
      <c r="Q63" s="2"/>
      <c r="R63" s="2"/>
      <c r="S63" s="2"/>
    </row>
    <row r="64" customFormat="false" ht="15" hidden="false" customHeight="false" outlineLevel="0" collapsed="false">
      <c r="A64" s="2" t="s">
        <v>230</v>
      </c>
      <c r="B64" s="30" t="n">
        <f aca="false">(M22-N22)+N22/(1-Assumptions!$D$40)</f>
        <v>19.9926315789474</v>
      </c>
      <c r="C64" s="30" t="n">
        <f aca="false">(M22-N22)+N22/(1-Assumptions!$D$41)</f>
        <v>21.4803921568627</v>
      </c>
      <c r="D64" s="30" t="n">
        <f aca="false">(M22-N22)+N22/(1-Assumptions!$D$42)</f>
        <v>24.5090476190476</v>
      </c>
      <c r="E64" s="30" t="n">
        <f aca="false">(M22-N22)+N22/(1-Assumptions!$D$43)</f>
        <v>31.374</v>
      </c>
      <c r="F64" s="31" t="n">
        <f aca="false">B64*Assumptions!$D$6</f>
        <v>15.0944368421053</v>
      </c>
      <c r="G64" s="31" t="n">
        <f aca="false">C64*Assumptions!$D$6</f>
        <v>16.2176960784314</v>
      </c>
      <c r="H64" s="31" t="n">
        <f aca="false">D64*Assumptions!$D$6</f>
        <v>18.504330952381</v>
      </c>
      <c r="I64" s="31" t="n">
        <f aca="false">E64*Assumptions!$D$6</f>
        <v>23.68737</v>
      </c>
      <c r="J64" s="2"/>
      <c r="K64" s="2"/>
      <c r="L64" s="2"/>
      <c r="M64" s="2"/>
      <c r="N64" s="2"/>
      <c r="O64" s="2"/>
      <c r="P64" s="2"/>
      <c r="Q64" s="2"/>
      <c r="R64" s="2"/>
      <c r="S64" s="2"/>
    </row>
    <row r="65" customFormat="false" ht="15" hidden="false" customHeight="false" outlineLevel="0" collapsed="false">
      <c r="A65" s="2" t="s">
        <v>231</v>
      </c>
      <c r="B65" s="30" t="n">
        <f aca="false">(M23-N23)+N23/(1-Assumptions!$D$40)</f>
        <v>42.6694736842105</v>
      </c>
      <c r="C65" s="30" t="n">
        <f aca="false">(M23-N23)+N23/(1-Assumptions!$D$41)</f>
        <v>46.078431372549</v>
      </c>
      <c r="D65" s="30" t="n">
        <f aca="false">(M23-N23)+N23/(1-Assumptions!$D$42)</f>
        <v>53.0180952380952</v>
      </c>
      <c r="E65" s="30" t="n">
        <f aca="false">(M23-N23)+N23/(1-Assumptions!$D$43)</f>
        <v>68.748</v>
      </c>
      <c r="F65" s="31" t="n">
        <f aca="false">B65*Assumptions!$D$6</f>
        <v>32.215452631579</v>
      </c>
      <c r="G65" s="31" t="n">
        <f aca="false">C65*Assumptions!$D$6</f>
        <v>34.7892156862745</v>
      </c>
      <c r="H65" s="31" t="n">
        <f aca="false">D65*Assumptions!$D$6</f>
        <v>40.0286619047619</v>
      </c>
      <c r="I65" s="31" t="n">
        <f aca="false">E65*Assumptions!$D$6</f>
        <v>51.90474</v>
      </c>
      <c r="J65" s="2"/>
      <c r="K65" s="2"/>
      <c r="L65" s="2"/>
      <c r="M65" s="2"/>
      <c r="N65" s="2"/>
      <c r="O65" s="2"/>
      <c r="P65" s="2"/>
      <c r="Q65" s="2"/>
      <c r="R65" s="2"/>
      <c r="S65" s="2"/>
    </row>
    <row r="66" customFormat="false" ht="15" hidden="false" customHeight="false" outlineLevel="0" collapsed="false">
      <c r="A66" s="2" t="s">
        <v>232</v>
      </c>
      <c r="B66" s="30" t="n">
        <f aca="false">(M24-N24)+N24/(1-Assumptions!$D$40)</f>
        <v>21.4977192982456</v>
      </c>
      <c r="C66" s="30" t="n">
        <f aca="false">(M24-N24)+N24/(1-Assumptions!$D$41)</f>
        <v>22.413137254902</v>
      </c>
      <c r="D66" s="30" t="n">
        <f aca="false">(M24-N24)+N24/(1-Assumptions!$D$42)</f>
        <v>24.2766666666667</v>
      </c>
      <c r="E66" s="30" t="n">
        <f aca="false">(M24-N24)+N24/(1-Assumptions!$D$43)</f>
        <v>28.5006666666667</v>
      </c>
      <c r="F66" s="31" t="n">
        <f aca="false">B66*Assumptions!$D$6</f>
        <v>16.2307780701754</v>
      </c>
      <c r="G66" s="31" t="n">
        <f aca="false">C66*Assumptions!$D$6</f>
        <v>16.921918627451</v>
      </c>
      <c r="H66" s="31" t="n">
        <f aca="false">D66*Assumptions!$D$6</f>
        <v>18.3288833333333</v>
      </c>
      <c r="I66" s="31" t="n">
        <f aca="false">E66*Assumptions!$D$6</f>
        <v>21.5180033333333</v>
      </c>
      <c r="J66" s="2"/>
      <c r="K66" s="2"/>
      <c r="L66" s="2"/>
      <c r="M66" s="2"/>
      <c r="N66" s="2"/>
      <c r="O66" s="2"/>
      <c r="P66" s="2"/>
      <c r="Q66" s="2"/>
      <c r="R66" s="2"/>
      <c r="S66" s="2"/>
    </row>
    <row r="67" customFormat="false" ht="15" hidden="false" customHeight="false" outlineLevel="0" collapsed="false">
      <c r="A67" s="2" t="s">
        <v>233</v>
      </c>
      <c r="B67" s="30" t="n">
        <f aca="false">(M25-N25)+N25/(1-Assumptions!$D$40)</f>
        <v>19.9552631578947</v>
      </c>
      <c r="C67" s="30" t="n">
        <f aca="false">(M25-N25)+N25/(1-Assumptions!$D$41)</f>
        <v>21.4492156862745</v>
      </c>
      <c r="D67" s="30" t="n">
        <f aca="false">(M25-N25)+N25/(1-Assumptions!$D$42)</f>
        <v>24.4904761904762</v>
      </c>
      <c r="E67" s="30" t="n">
        <f aca="false">(M25-N25)+N25/(1-Assumptions!$D$43)</f>
        <v>31.384</v>
      </c>
      <c r="F67" s="31" t="n">
        <f aca="false">B67*Assumptions!$D$6</f>
        <v>15.0662236842105</v>
      </c>
      <c r="G67" s="31" t="n">
        <f aca="false">C67*Assumptions!$D$6</f>
        <v>16.1941578431373</v>
      </c>
      <c r="H67" s="31" t="n">
        <f aca="false">D67*Assumptions!$D$6</f>
        <v>18.4903095238095</v>
      </c>
      <c r="I67" s="31" t="n">
        <f aca="false">E67*Assumptions!$D$6</f>
        <v>23.69492</v>
      </c>
      <c r="J67" s="2"/>
      <c r="K67" s="2"/>
      <c r="L67" s="2"/>
      <c r="M67" s="2"/>
      <c r="N67" s="2"/>
      <c r="O67" s="2"/>
      <c r="P67" s="2"/>
      <c r="Q67" s="2"/>
      <c r="R67" s="2"/>
      <c r="S67" s="2"/>
    </row>
    <row r="68" customFormat="false" ht="15" hidden="false" customHeight="false" outlineLevel="0" collapsed="false">
      <c r="A68" s="2" t="s">
        <v>234</v>
      </c>
      <c r="B68" s="30" t="n">
        <f aca="false">(M26-N26)+N26/(1-Assumptions!$D$40)</f>
        <v>65.1163157894737</v>
      </c>
      <c r="C68" s="30" t="n">
        <f aca="false">(M26-N26)+N26/(1-Assumptions!$D$41)</f>
        <v>71.7303921568627</v>
      </c>
      <c r="D68" s="30" t="n">
        <f aca="false">(M26-N26)+N26/(1-Assumptions!$D$42)</f>
        <v>85.1947619047619</v>
      </c>
      <c r="E68" s="30" t="n">
        <f aca="false">(M26-N26)+N26/(1-Assumptions!$D$43)</f>
        <v>115.714</v>
      </c>
      <c r="F68" s="31" t="n">
        <f aca="false">B68*Assumptions!$D$6</f>
        <v>49.1628184210526</v>
      </c>
      <c r="G68" s="31" t="n">
        <f aca="false">C68*Assumptions!$D$6</f>
        <v>54.1564460784314</v>
      </c>
      <c r="H68" s="31" t="n">
        <f aca="false">D68*Assumptions!$D$6</f>
        <v>64.3220452380952</v>
      </c>
      <c r="I68" s="31" t="n">
        <f aca="false">E68*Assumptions!$D$6</f>
        <v>87.36407</v>
      </c>
      <c r="J68" s="2"/>
      <c r="K68" s="2"/>
      <c r="L68" s="2"/>
      <c r="M68" s="2"/>
      <c r="N68" s="2"/>
      <c r="O68" s="2"/>
      <c r="P68" s="2"/>
      <c r="Q68" s="2"/>
      <c r="R68" s="2"/>
      <c r="S68" s="2"/>
    </row>
    <row r="69" customFormat="false" ht="15" hidden="false" customHeight="false" outlineLevel="0" collapsed="false">
      <c r="A69" s="2" t="s">
        <v>235</v>
      </c>
      <c r="B69" s="30" t="n">
        <f aca="false">(M27-N27)+N27/(1-Assumptions!$D$40)</f>
        <v>138.280701754386</v>
      </c>
      <c r="C69" s="30" t="n">
        <f aca="false">(M27-N27)+N27/(1-Assumptions!$D$41)</f>
        <v>151.182745098039</v>
      </c>
      <c r="D69" s="30" t="n">
        <f aca="false">(M27-N27)+N27/(1-Assumptions!$D$42)</f>
        <v>177.447619047619</v>
      </c>
      <c r="E69" s="30" t="n">
        <f aca="false">(M27-N27)+N27/(1-Assumptions!$D$43)</f>
        <v>236.981333333333</v>
      </c>
      <c r="F69" s="31" t="n">
        <f aca="false">B69*Assumptions!$D$6</f>
        <v>104.401929824561</v>
      </c>
      <c r="G69" s="31" t="n">
        <f aca="false">C69*Assumptions!$D$6</f>
        <v>114.14297254902</v>
      </c>
      <c r="H69" s="31" t="n">
        <f aca="false">D69*Assumptions!$D$6</f>
        <v>133.972952380952</v>
      </c>
      <c r="I69" s="31" t="n">
        <f aca="false">E69*Assumptions!$D$6</f>
        <v>178.920906666667</v>
      </c>
      <c r="J69" s="2"/>
      <c r="K69" s="2"/>
      <c r="L69" s="2"/>
      <c r="M69" s="2"/>
      <c r="N69" s="2"/>
      <c r="O69" s="2"/>
      <c r="P69" s="2"/>
      <c r="Q69" s="2"/>
      <c r="R69" s="2"/>
      <c r="S69" s="2"/>
    </row>
    <row r="70" customFormat="false" ht="15" hidden="false" customHeight="false" outlineLevel="0" collapsed="false">
      <c r="A70" s="2" t="s">
        <v>236</v>
      </c>
      <c r="B70" s="30" t="n">
        <f aca="false">(M28-N28)+N28/(1-Assumptions!$D$40)</f>
        <v>1046.8</v>
      </c>
      <c r="C70" s="30" t="n">
        <f aca="false">(M28-N28)+N28/(1-Assumptions!$D$41)</f>
        <v>1153.12</v>
      </c>
      <c r="D70" s="30" t="n">
        <f aca="false">(M28-N28)+N28/(1-Assumptions!$D$42)</f>
        <v>1369.55714285714</v>
      </c>
      <c r="E70" s="30" t="n">
        <f aca="false">(M28-N28)+N28/(1-Assumptions!$D$43)</f>
        <v>1860.148</v>
      </c>
      <c r="F70" s="31" t="n">
        <f aca="false">B70*Assumptions!$D$6</f>
        <v>790.334</v>
      </c>
      <c r="G70" s="31" t="n">
        <f aca="false">C70*Assumptions!$D$6</f>
        <v>870.6056</v>
      </c>
      <c r="H70" s="31" t="n">
        <f aca="false">D70*Assumptions!$D$6</f>
        <v>1034.01564285714</v>
      </c>
      <c r="I70" s="31" t="n">
        <f aca="false">E70*Assumptions!$D$6</f>
        <v>1404.41174</v>
      </c>
      <c r="J70" s="2"/>
      <c r="K70" s="2"/>
      <c r="L70" s="2"/>
      <c r="M70" s="2"/>
      <c r="N70" s="2"/>
      <c r="O70" s="2"/>
      <c r="P70" s="2"/>
      <c r="Q70" s="2"/>
      <c r="R70" s="2"/>
      <c r="S70" s="2"/>
    </row>
    <row r="71" customFormat="false" ht="15" hidden="false" customHeight="false" outlineLevel="0" collapsed="false">
      <c r="A71" s="2" t="s">
        <v>237</v>
      </c>
      <c r="B71" s="30" t="n">
        <f aca="false">(M29-N29)+N29/(1-Assumptions!$D$40)</f>
        <v>2871.84210526316</v>
      </c>
      <c r="C71" s="30" t="n">
        <f aca="false">(M29-N29)+N29/(1-Assumptions!$D$41)</f>
        <v>3170.90588235294</v>
      </c>
      <c r="D71" s="30" t="n">
        <f aca="false">(M29-N29)+N29/(1-Assumptions!$D$42)</f>
        <v>3779.71428571429</v>
      </c>
      <c r="E71" s="30" t="n">
        <f aca="false">(M29-N29)+N29/(1-Assumptions!$D$43)</f>
        <v>5159.68</v>
      </c>
      <c r="F71" s="31" t="n">
        <f aca="false">B71*Assumptions!$D$6</f>
        <v>2168.24078947369</v>
      </c>
      <c r="G71" s="31" t="n">
        <f aca="false">C71*Assumptions!$D$6</f>
        <v>2394.03394117647</v>
      </c>
      <c r="H71" s="31" t="n">
        <f aca="false">D71*Assumptions!$D$6</f>
        <v>2853.68428571429</v>
      </c>
      <c r="I71" s="31" t="n">
        <f aca="false">E71*Assumptions!$D$6</f>
        <v>3895.5584</v>
      </c>
      <c r="J71" s="2"/>
      <c r="K71" s="2"/>
      <c r="L71" s="2"/>
      <c r="M71" s="2"/>
      <c r="N71" s="2"/>
      <c r="O71" s="2"/>
      <c r="P71" s="2"/>
      <c r="Q71" s="2"/>
      <c r="R71" s="2"/>
      <c r="S71" s="2"/>
    </row>
    <row r="72" customFormat="false" ht="45" hidden="false" customHeight="true" outlineLevel="0" collapsed="false">
      <c r="A72" s="7" t="s">
        <v>496</v>
      </c>
      <c r="B72" s="7"/>
      <c r="C72" s="7"/>
      <c r="D72" s="7"/>
      <c r="E72" s="7"/>
      <c r="F72" s="7"/>
      <c r="G72" s="7"/>
      <c r="H72" s="7"/>
      <c r="I72" s="7"/>
      <c r="J72" s="2"/>
      <c r="K72" s="2"/>
      <c r="L72" s="2"/>
      <c r="M72" s="2"/>
      <c r="N72" s="2"/>
      <c r="O72" s="2"/>
      <c r="P72" s="2"/>
      <c r="Q72" s="2"/>
      <c r="R72" s="2"/>
      <c r="S72" s="2"/>
    </row>
  </sheetData>
  <mergeCells count="2">
    <mergeCell ref="A2:S2"/>
    <mergeCell ref="A72:I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11" min="2" style="0" width="15"/>
  </cols>
  <sheetData>
    <row r="1" customFormat="false" ht="17.35" hidden="false" customHeight="false" outlineLevel="0" collapsed="false">
      <c r="A1" s="1" t="s">
        <v>497</v>
      </c>
      <c r="B1" s="2"/>
      <c r="C1" s="2"/>
      <c r="D1" s="2"/>
      <c r="E1" s="2"/>
      <c r="F1" s="2"/>
      <c r="G1" s="2"/>
      <c r="H1" s="2"/>
      <c r="I1" s="2"/>
    </row>
    <row r="2" customFormat="false" ht="15" hidden="false" customHeight="false" outlineLevel="0" collapsed="false">
      <c r="A2" s="2"/>
      <c r="B2" s="2"/>
      <c r="C2" s="2"/>
      <c r="D2" s="2"/>
      <c r="E2" s="2"/>
      <c r="F2" s="2"/>
      <c r="G2" s="2"/>
      <c r="H2" s="2"/>
      <c r="I2" s="2"/>
    </row>
    <row r="3" customFormat="false" ht="15" hidden="false" customHeight="false" outlineLevel="0" collapsed="false">
      <c r="A3" s="5" t="s">
        <v>498</v>
      </c>
      <c r="B3" s="6"/>
      <c r="C3" s="6"/>
      <c r="D3" s="6"/>
      <c r="E3" s="6"/>
      <c r="F3" s="2"/>
      <c r="G3" s="2"/>
      <c r="H3" s="2"/>
      <c r="I3" s="2"/>
    </row>
    <row r="4" customFormat="false" ht="15" hidden="false" customHeight="false" outlineLevel="0" collapsed="false">
      <c r="A4" s="8" t="s">
        <v>499</v>
      </c>
      <c r="B4" s="8" t="s">
        <v>319</v>
      </c>
      <c r="C4" s="8" t="s">
        <v>320</v>
      </c>
      <c r="D4" s="8" t="s">
        <v>321</v>
      </c>
      <c r="E4" s="8" t="s">
        <v>322</v>
      </c>
      <c r="F4" s="2"/>
      <c r="G4" s="2"/>
      <c r="H4" s="2"/>
      <c r="I4" s="2"/>
    </row>
    <row r="5" customFormat="false" ht="15" hidden="false" customHeight="false" outlineLevel="0" collapsed="false">
      <c r="A5" s="3" t="s">
        <v>500</v>
      </c>
      <c r="B5" s="33" t="n">
        <f aca="false">Assumptions!$D$73</f>
        <v>149</v>
      </c>
      <c r="C5" s="33" t="n">
        <f aca="false">Assumptions!$D$74</f>
        <v>499</v>
      </c>
      <c r="D5" s="33" t="n">
        <f aca="false">Assumptions!$D$75</f>
        <v>1499</v>
      </c>
      <c r="E5" s="33" t="n">
        <f aca="false">Assumptions!$D$76</f>
        <v>5000</v>
      </c>
      <c r="F5" s="2"/>
      <c r="G5" s="2"/>
      <c r="H5" s="2"/>
      <c r="I5" s="2"/>
    </row>
    <row r="6" customFormat="false" ht="15" hidden="false" customHeight="false" outlineLevel="0" collapsed="false">
      <c r="A6" s="9" t="s">
        <v>501</v>
      </c>
      <c r="B6" s="34" t="n">
        <f aca="false">Assumptions!$B$113*Assumptions!$M$59+Assumptions!$C$113*Assumptions!$M$60+Assumptions!$D$113*Assumptions!$M$61+Assumptions!$E$113*Assumptions!$M$62+Assumptions!$F$113*Assumptions!$M$63+Assumptions!$G$113*Assumptions!$M$64+Assumptions!$H$113*Assumptions!$M$65+Assumptions!$I$113*Assumptions!$M$66+Assumptions!$J$113*Assumptions!$M$67+Assumptions!$K$113*Assumptions!$M$68</f>
        <v>52</v>
      </c>
      <c r="C6" s="34" t="n">
        <f aca="false">Assumptions!$B$114*Assumptions!$M$59+Assumptions!$C$114*Assumptions!$M$60+Assumptions!$D$114*Assumptions!$M$61+Assumptions!$E$114*Assumptions!$M$62+Assumptions!$F$114*Assumptions!$M$63+Assumptions!$G$114*Assumptions!$M$64+Assumptions!$H$114*Assumptions!$M$65+Assumptions!$I$114*Assumptions!$M$66+Assumptions!$J$114*Assumptions!$M$67+Assumptions!$K$114*Assumptions!$M$68</f>
        <v>204</v>
      </c>
      <c r="D6" s="34" t="n">
        <f aca="false">Assumptions!$B$115*Assumptions!$M$59+Assumptions!$C$115*Assumptions!$M$60+Assumptions!$D$115*Assumptions!$M$61+Assumptions!$E$115*Assumptions!$M$62+Assumptions!$F$115*Assumptions!$M$63+Assumptions!$G$115*Assumptions!$M$64+Assumptions!$H$115*Assumptions!$M$65+Assumptions!$I$115*Assumptions!$M$66+Assumptions!$J$115*Assumptions!$M$67+Assumptions!$K$115*Assumptions!$M$68</f>
        <v>444</v>
      </c>
      <c r="E6" s="34" t="n">
        <f aca="false">Assumptions!$B$116*Assumptions!$M$59+Assumptions!$C$116*Assumptions!$M$60+Assumptions!$D$116*Assumptions!$M$61+Assumptions!$E$116*Assumptions!$M$62+Assumptions!$F$116*Assumptions!$M$63+Assumptions!$G$116*Assumptions!$M$64+Assumptions!$H$116*Assumptions!$M$65+Assumptions!$I$116*Assumptions!$M$66+Assumptions!$J$116*Assumptions!$M$67+Assumptions!$K$116*Assumptions!$M$68</f>
        <v>1874</v>
      </c>
      <c r="F6" s="2"/>
      <c r="G6" s="2"/>
      <c r="H6" s="2"/>
      <c r="I6" s="2"/>
    </row>
    <row r="7" customFormat="false" ht="15" hidden="false" customHeight="false" outlineLevel="0" collapsed="false">
      <c r="A7" s="9" t="s">
        <v>502</v>
      </c>
      <c r="B7" s="28" t="n">
        <f aca="false">IF(B6=0,0,B5/B6)</f>
        <v>2.86538461538462</v>
      </c>
      <c r="C7" s="28" t="n">
        <f aca="false">IF(C6=0,0,C5/C6)</f>
        <v>2.44607843137255</v>
      </c>
      <c r="D7" s="28" t="n">
        <f aca="false">IF(D6=0,0,D5/D6)</f>
        <v>3.37612612612613</v>
      </c>
      <c r="E7" s="28" t="n">
        <f aca="false">IF(E6=0,0,E5/E6)</f>
        <v>2.66808964781217</v>
      </c>
      <c r="F7" s="2"/>
      <c r="G7" s="2"/>
      <c r="H7" s="2"/>
      <c r="I7" s="2"/>
    </row>
    <row r="8" customFormat="false" ht="15" hidden="false" customHeight="false" outlineLevel="0" collapsed="false">
      <c r="A8" s="9" t="s">
        <v>503</v>
      </c>
      <c r="B8" s="35" t="n">
        <f aca="false">Assumptions!$D$79</f>
        <v>4</v>
      </c>
      <c r="C8" s="35" t="n">
        <f aca="false">Assumptions!$D$80</f>
        <v>3.5</v>
      </c>
      <c r="D8" s="35" t="n">
        <f aca="false">Assumptions!$D$81</f>
        <v>3</v>
      </c>
      <c r="E8" s="35" t="n">
        <f aca="false">Assumptions!$D$82</f>
        <v>2.5</v>
      </c>
      <c r="F8" s="2"/>
      <c r="G8" s="2"/>
      <c r="H8" s="2"/>
      <c r="I8" s="2"/>
    </row>
    <row r="9" customFormat="false" ht="15" hidden="false" customHeight="false" outlineLevel="0" collapsed="false">
      <c r="A9" s="9" t="s">
        <v>504</v>
      </c>
      <c r="B9" s="33" t="n">
        <f aca="false">Assumptions!$D$83</f>
        <v>0</v>
      </c>
      <c r="C9" s="33" t="n">
        <f aca="false">Assumptions!$D$84</f>
        <v>500</v>
      </c>
      <c r="D9" s="33" t="n">
        <f aca="false">Assumptions!$D$85</f>
        <v>1500</v>
      </c>
      <c r="E9" s="33" t="n">
        <f aca="false">Assumptions!$D$86</f>
        <v>7500</v>
      </c>
      <c r="F9" s="2"/>
      <c r="G9" s="2"/>
      <c r="H9" s="2"/>
      <c r="I9" s="2"/>
    </row>
    <row r="10" customFormat="false" ht="15" hidden="false" customHeight="false" outlineLevel="0" collapsed="false">
      <c r="A10" s="9" t="s">
        <v>505</v>
      </c>
      <c r="B10" s="36" t="n">
        <v>0</v>
      </c>
      <c r="C10" s="36" t="n">
        <v>0</v>
      </c>
      <c r="D10" s="33" t="n">
        <f aca="false">Assumptions!$D$87</f>
        <v>350</v>
      </c>
      <c r="E10" s="33" t="n">
        <f aca="false">Assumptions!$D$87</f>
        <v>350</v>
      </c>
      <c r="F10" s="2"/>
      <c r="G10" s="2"/>
      <c r="H10" s="2"/>
      <c r="I10" s="2"/>
    </row>
    <row r="11" customFormat="false" ht="15" hidden="false" customHeight="false" outlineLevel="0" collapsed="false">
      <c r="A11" s="9" t="s">
        <v>506</v>
      </c>
      <c r="B11" s="34" t="n">
        <f aca="false">Assumptions!$D$88</f>
        <v>1</v>
      </c>
      <c r="C11" s="34" t="n">
        <f aca="false">Assumptions!$D$89</f>
        <v>5</v>
      </c>
      <c r="D11" s="34" t="n">
        <f aca="false">Assumptions!$D$90</f>
        <v>15</v>
      </c>
      <c r="E11" s="34" t="n">
        <f aca="false">Assumptions!$D$91</f>
        <v>50</v>
      </c>
      <c r="F11" s="2"/>
      <c r="G11" s="2"/>
      <c r="H11" s="2"/>
      <c r="I11" s="2"/>
    </row>
    <row r="12" customFormat="false" ht="15" hidden="false" customHeight="false" outlineLevel="0" collapsed="false">
      <c r="A12" s="9" t="s">
        <v>507</v>
      </c>
      <c r="B12" s="34" t="n">
        <f aca="false">Assumptions!$D$92</f>
        <v>0</v>
      </c>
      <c r="C12" s="34" t="n">
        <f aca="false">Assumptions!$D$93</f>
        <v>0</v>
      </c>
      <c r="D12" s="34" t="n">
        <f aca="false">Assumptions!$D$94</f>
        <v>0</v>
      </c>
      <c r="E12" s="34" t="n">
        <f aca="false">Assumptions!$D$95</f>
        <v>1</v>
      </c>
      <c r="F12" s="2"/>
      <c r="G12" s="2"/>
      <c r="H12" s="2"/>
      <c r="I12" s="2"/>
    </row>
    <row r="13" customFormat="false" ht="15" hidden="false" customHeight="false" outlineLevel="0" collapsed="false">
      <c r="A13" s="2"/>
      <c r="B13" s="2"/>
      <c r="C13" s="2"/>
      <c r="D13" s="2"/>
      <c r="E13" s="2"/>
      <c r="F13" s="2"/>
      <c r="G13" s="2"/>
      <c r="H13" s="2"/>
      <c r="I13" s="2"/>
    </row>
    <row r="14" customFormat="false" ht="15" hidden="false" customHeight="false" outlineLevel="0" collapsed="false">
      <c r="A14" s="8" t="s">
        <v>464</v>
      </c>
      <c r="B14" s="2"/>
      <c r="C14" s="2"/>
      <c r="D14" s="2"/>
      <c r="E14" s="2"/>
      <c r="F14" s="2"/>
      <c r="G14" s="2"/>
      <c r="H14" s="2"/>
      <c r="I14" s="2"/>
    </row>
    <row r="15" customFormat="false" ht="15" hidden="false" customHeight="false" outlineLevel="0" collapsed="false">
      <c r="A15" s="9" t="s">
        <v>508</v>
      </c>
      <c r="B15" s="33" t="n">
        <f aca="false">Assumptions!$B$113*Unit_Costs!$Q$6+Assumptions!$C$113*Unit_Costs!$Q$7+Assumptions!$D$113*Unit_Costs!$Q$8+Assumptions!$E$113*Unit_Costs!$Q$9+Assumptions!$F$113*Unit_Costs!$Q$10+Assumptions!$G$113*Unit_Costs!$Q$11+Assumptions!$H$113*Unit_Costs!$Q$12+Assumptions!$I$113*Unit_Costs!$Q$13+Assumptions!$J$113*Unit_Costs!$Q$14+Assumptions!$K$113*Unit_Costs!$Q$15</f>
        <v>16.7862130263158</v>
      </c>
      <c r="C15" s="33" t="n">
        <f aca="false">Assumptions!$B$114*Unit_Costs!$Q$6+Assumptions!$C$114*Unit_Costs!$Q$7+Assumptions!$D$114*Unit_Costs!$Q$8+Assumptions!$E$114*Unit_Costs!$Q$9+Assumptions!$F$114*Unit_Costs!$Q$10+Assumptions!$G$114*Unit_Costs!$Q$11+Assumptions!$H$114*Unit_Costs!$Q$12+Assumptions!$I$114*Unit_Costs!$Q$13+Assumptions!$J$114*Unit_Costs!$Q$14+Assumptions!$K$114*Unit_Costs!$Q$15</f>
        <v>63.1381333333333</v>
      </c>
      <c r="D15" s="33" t="n">
        <f aca="false">Assumptions!$B$115*Unit_Costs!$Q$6+Assumptions!$C$115*Unit_Costs!$Q$7+Assumptions!$D$115*Unit_Costs!$Q$8+Assumptions!$E$115*Unit_Costs!$Q$9+Assumptions!$F$115*Unit_Costs!$Q$10+Assumptions!$G$115*Unit_Costs!$Q$11+Assumptions!$H$115*Unit_Costs!$Q$12+Assumptions!$I$115*Unit_Costs!$Q$13+Assumptions!$J$115*Unit_Costs!$Q$14+Assumptions!$K$115*Unit_Costs!$Q$15</f>
        <v>103.071937719298</v>
      </c>
      <c r="E15" s="33" t="n">
        <f aca="false">Assumptions!$B$116*Unit_Costs!$Q$6+Assumptions!$C$116*Unit_Costs!$Q$7+Assumptions!$D$116*Unit_Costs!$Q$8+Assumptions!$E$116*Unit_Costs!$Q$9+Assumptions!$F$116*Unit_Costs!$Q$10+Assumptions!$G$116*Unit_Costs!$Q$11+Assumptions!$H$116*Unit_Costs!$Q$12+Assumptions!$I$116*Unit_Costs!$Q$13+Assumptions!$J$116*Unit_Costs!$Q$14+Assumptions!$K$116*Unit_Costs!$Q$15</f>
        <v>427.317019298246</v>
      </c>
      <c r="F15" s="2"/>
      <c r="G15" s="2"/>
      <c r="H15" s="2"/>
      <c r="I15" s="2"/>
    </row>
    <row r="16" customFormat="false" ht="15" hidden="false" customHeight="false" outlineLevel="0" collapsed="false">
      <c r="A16" s="9" t="s">
        <v>509</v>
      </c>
      <c r="B16" s="33" t="n">
        <f aca="false">Assumptions!$D$88*Unit_Costs!$Q$16+Assumptions!$D$92*Assumptions!$D$96*Assumptions!$D$6</f>
        <v>0.0604</v>
      </c>
      <c r="C16" s="33" t="n">
        <f aca="false">Assumptions!$D$89*Unit_Costs!$Q$16+Assumptions!$D$93*Assumptions!$D$96*Assumptions!$D$6</f>
        <v>0.302</v>
      </c>
      <c r="D16" s="33" t="n">
        <f aca="false">Assumptions!$D$90*Unit_Costs!$Q$16+Assumptions!$D$94*Assumptions!$D$96*Assumptions!$D$6</f>
        <v>0.906</v>
      </c>
      <c r="E16" s="33" t="n">
        <f aca="false">Assumptions!$D$91*Unit_Costs!$Q$16+Assumptions!$D$95*Assumptions!$D$96*Assumptions!$D$6</f>
        <v>97.395</v>
      </c>
      <c r="F16" s="2"/>
      <c r="G16" s="2"/>
      <c r="H16" s="2"/>
      <c r="I16" s="2"/>
    </row>
    <row r="17" customFormat="false" ht="15" hidden="false" customHeight="false" outlineLevel="0" collapsed="false">
      <c r="A17" s="9" t="s">
        <v>510</v>
      </c>
      <c r="B17" s="28" t="n">
        <f aca="false">B5*Assumptions!$D$97+Assumptions!$D$101</f>
        <v>3.478</v>
      </c>
      <c r="C17" s="28" t="n">
        <f aca="false">C5*Assumptions!$D$98+Assumptions!$D$102</f>
        <v>11.178</v>
      </c>
      <c r="D17" s="28" t="n">
        <f aca="false">D5*Assumptions!$D$99+Assumptions!$D$103</f>
        <v>20.489</v>
      </c>
      <c r="E17" s="28" t="n">
        <f aca="false">E5*Assumptions!$D$100+Assumptions!$D$104</f>
        <v>59</v>
      </c>
      <c r="F17" s="2"/>
      <c r="G17" s="2"/>
      <c r="H17" s="2"/>
      <c r="I17" s="2"/>
    </row>
    <row r="18" customFormat="false" ht="15" hidden="false" customHeight="false" outlineLevel="0" collapsed="false">
      <c r="A18" s="3" t="s">
        <v>511</v>
      </c>
      <c r="B18" s="29" t="n">
        <f aca="false">1-(B15+B16+B17)/B5</f>
        <v>0.863593201165666</v>
      </c>
      <c r="C18" s="29" t="n">
        <f aca="false">1-(C15+C16+C17)/C5</f>
        <v>0.850464662658651</v>
      </c>
      <c r="D18" s="29" t="n">
        <f aca="false">1-(D15+D16+D17)/D5</f>
        <v>0.916966685977786</v>
      </c>
      <c r="E18" s="29" t="n">
        <f aca="false">1-(E15+E16+E17)/E5</f>
        <v>0.883257596140351</v>
      </c>
      <c r="F18" s="2"/>
      <c r="G18" s="2"/>
      <c r="H18" s="2"/>
      <c r="I18" s="2"/>
    </row>
    <row r="19" customFormat="false" ht="15" hidden="false" customHeight="false" outlineLevel="0" collapsed="false">
      <c r="A19" s="9" t="s">
        <v>512</v>
      </c>
      <c r="B19" s="29" t="n">
        <f aca="false">1-(B15*Assumptions!$D$153+B16+B17)/B5</f>
        <v>0.903023902905334</v>
      </c>
      <c r="C19" s="29" t="n">
        <f aca="false">1-(C15*Assumptions!$D$153+C16+C17)/C5</f>
        <v>0.894749926519706</v>
      </c>
      <c r="D19" s="29" t="n">
        <f aca="false">1-(D15*Assumptions!$D$153+D16+D17)/D5</f>
        <v>0.941032848887562</v>
      </c>
      <c r="E19" s="29" t="n">
        <f aca="false">1-(E15*Assumptions!$D$153+E16+E17)/E5</f>
        <v>0.913169787491228</v>
      </c>
      <c r="F19" s="2"/>
      <c r="G19" s="2"/>
      <c r="H19" s="2"/>
      <c r="I19" s="2"/>
    </row>
    <row r="20" customFormat="false" ht="15" hidden="false" customHeight="false" outlineLevel="0" collapsed="false">
      <c r="A20" s="9" t="s">
        <v>513</v>
      </c>
      <c r="B20" s="28" t="n">
        <f aca="false">IF(B6=0,0,B15/B6)</f>
        <v>0.322811788967611</v>
      </c>
      <c r="C20" s="28" t="n">
        <f aca="false">IF(C6=0,0,C15/C6)</f>
        <v>0.309500653594771</v>
      </c>
      <c r="D20" s="28" t="n">
        <f aca="false">IF(D6=0,0,D15/D6)</f>
        <v>0.232144003872293</v>
      </c>
      <c r="E20" s="28" t="n">
        <f aca="false">IF(E6=0,0,E15/E6)</f>
        <v>0.22802402310472</v>
      </c>
      <c r="F20" s="2"/>
      <c r="G20" s="2"/>
      <c r="H20" s="2"/>
      <c r="I20" s="2"/>
    </row>
    <row r="21" customFormat="false" ht="15" hidden="false" customHeight="false" outlineLevel="0" collapsed="false">
      <c r="A21" s="9" t="s">
        <v>514</v>
      </c>
      <c r="B21" s="29" t="n">
        <f aca="false">IF(B8=0,0,1-B20/B8-Assumptions!$D$97)</f>
        <v>0.897297052758097</v>
      </c>
      <c r="C21" s="29" t="n">
        <f aca="false">IF(C8=0,0,1-C20/C8-Assumptions!$D$98)</f>
        <v>0.889571241830065</v>
      </c>
      <c r="D21" s="29" t="n">
        <f aca="false">IF(D8=0,0,1-D20/D8-Assumptions!$D$99)</f>
        <v>0.911618665375902</v>
      </c>
      <c r="E21" s="29" t="n">
        <f aca="false">IF(E8=0,0,1-E20/E8-Assumptions!$D$100)</f>
        <v>0.897790390758112</v>
      </c>
      <c r="F21" s="2"/>
      <c r="G21" s="2"/>
      <c r="H21" s="2"/>
      <c r="I21" s="2"/>
    </row>
    <row r="22" customFormat="false" ht="15" hidden="false" customHeight="false" outlineLevel="0" collapsed="false">
      <c r="A22" s="9" t="s">
        <v>515</v>
      </c>
      <c r="B22" s="29" t="n">
        <f aca="false">IF(B9=0,0,1-Assumptions!$D$105*Assumptions!$D$109/B9)</f>
        <v>0</v>
      </c>
      <c r="C22" s="29" t="n">
        <f aca="false">IF(C9=0,0,1-Assumptions!$D$106*Assumptions!$D$109/C9)</f>
        <v>0.79</v>
      </c>
      <c r="D22" s="29" t="n">
        <f aca="false">IF(D9=0,0,1-Assumptions!$D$107*Assumptions!$D$109/D9)</f>
        <v>0.813333333333333</v>
      </c>
      <c r="E22" s="29" t="n">
        <f aca="false">IF(E9=0,0,1-Assumptions!$D$108*Assumptions!$D$109/E9)</f>
        <v>0.86</v>
      </c>
      <c r="F22" s="2"/>
      <c r="G22" s="2"/>
      <c r="H22" s="2"/>
      <c r="I22" s="2"/>
    </row>
    <row r="23" customFormat="false" ht="15" hidden="false" customHeight="false" outlineLevel="0" collapsed="false">
      <c r="A23" s="9" t="s">
        <v>516</v>
      </c>
      <c r="B23" s="21" t="n">
        <f aca="false">IF(B6=0,0,(Assumptions!$B$113*Unit_Costs!$S$6+Assumptions!$C$113*Unit_Costs!$S$7+Assumptions!$D$113*Unit_Costs!$S$8+Assumptions!$E$113*Unit_Costs!$S$9+Assumptions!$F$113*Unit_Costs!$S$10+Assumptions!$G$113*Unit_Costs!$S$11+Assumptions!$H$113*Unit_Costs!$S$12+Assumptions!$I$113*Unit_Costs!$S$13+Assumptions!$J$113*Unit_Costs!$S$14+Assumptions!$K$113*Unit_Costs!$S$15)/B6)</f>
        <v>0.962044534412956</v>
      </c>
      <c r="C23" s="21" t="n">
        <f aca="false">IF(C6=0,0,(Assumptions!$B$114*Unit_Costs!$S$6+Assumptions!$C$114*Unit_Costs!$S$7+Assumptions!$D$114*Unit_Costs!$S$8+Assumptions!$E$114*Unit_Costs!$S$9+Assumptions!$F$114*Unit_Costs!$S$10+Assumptions!$G$114*Unit_Costs!$S$11+Assumptions!$H$114*Unit_Costs!$S$12+Assumptions!$I$114*Unit_Costs!$S$13+Assumptions!$J$114*Unit_Costs!$S$14+Assumptions!$K$114*Unit_Costs!$S$15)/C6)</f>
        <v>0.905572755417957</v>
      </c>
      <c r="D23" s="21" t="n">
        <f aca="false">IF(D6=0,0,(Assumptions!$B$115*Unit_Costs!$S$6+Assumptions!$C$115*Unit_Costs!$S$7+Assumptions!$D$115*Unit_Costs!$S$8+Assumptions!$E$115*Unit_Costs!$S$9+Assumptions!$F$115*Unit_Costs!$S$10+Assumptions!$G$115*Unit_Costs!$S$11+Assumptions!$H$115*Unit_Costs!$S$12+Assumptions!$I$115*Unit_Costs!$S$13+Assumptions!$J$115*Unit_Costs!$S$14+Assumptions!$K$115*Unit_Costs!$S$15)/D6)</f>
        <v>0.63466097676624</v>
      </c>
      <c r="E23" s="21" t="n">
        <f aca="false">IF(E6=0,0,(Assumptions!$B$116*Unit_Costs!$S$6+Assumptions!$C$116*Unit_Costs!$S$7+Assumptions!$D$116*Unit_Costs!$S$8+Assumptions!$E$116*Unit_Costs!$S$9+Assumptions!$F$116*Unit_Costs!$S$10+Assumptions!$G$116*Unit_Costs!$S$11+Assumptions!$H$116*Unit_Costs!$S$12+Assumptions!$I$116*Unit_Costs!$S$13+Assumptions!$J$116*Unit_Costs!$S$14+Assumptions!$K$116*Unit_Costs!$S$15)/E6)</f>
        <v>0.573358422737741</v>
      </c>
      <c r="F23" s="2"/>
      <c r="G23" s="2"/>
      <c r="H23" s="2"/>
      <c r="I23" s="2"/>
    </row>
    <row r="24" customFormat="false" ht="15" hidden="false" customHeight="false" outlineLevel="0" collapsed="false">
      <c r="A24" s="8" t="s">
        <v>484</v>
      </c>
      <c r="B24" s="2"/>
      <c r="C24" s="2"/>
      <c r="D24" s="2"/>
      <c r="E24" s="2"/>
      <c r="F24" s="2"/>
      <c r="G24" s="2"/>
      <c r="H24" s="2"/>
      <c r="I24" s="2"/>
    </row>
    <row r="25" customFormat="false" ht="15" hidden="false" customHeight="false" outlineLevel="0" collapsed="false">
      <c r="A25" s="9" t="s">
        <v>508</v>
      </c>
      <c r="B25" s="33" t="n">
        <f aca="false">Assumptions!$B$113*Unit_Costs!$Q$20+Assumptions!$C$113*Unit_Costs!$Q$21+Assumptions!$D$113*Unit_Costs!$Q$22+Assumptions!$E$113*Unit_Costs!$Q$23+Assumptions!$F$113*Unit_Costs!$Q$24+Assumptions!$G$113*Unit_Costs!$Q$25+Assumptions!$H$113*Unit_Costs!$Q$26+Assumptions!$I$113*Unit_Costs!$Q$27+Assumptions!$J$113*Unit_Costs!$Q$28+Assumptions!$K$113*Unit_Costs!$Q$29</f>
        <v>56.3957316666667</v>
      </c>
      <c r="C25" s="33" t="n">
        <f aca="false">Assumptions!$B$114*Unit_Costs!$Q$20+Assumptions!$C$114*Unit_Costs!$Q$21+Assumptions!$D$114*Unit_Costs!$Q$22+Assumptions!$E$114*Unit_Costs!$Q$23+Assumptions!$F$114*Unit_Costs!$Q$24+Assumptions!$G$114*Unit_Costs!$Q$25+Assumptions!$H$114*Unit_Costs!$Q$26+Assumptions!$I$114*Unit_Costs!$Q$27+Assumptions!$J$114*Unit_Costs!$Q$28+Assumptions!$K$114*Unit_Costs!$Q$29</f>
        <v>205.484500980392</v>
      </c>
      <c r="D25" s="33" t="n">
        <f aca="false">Assumptions!$B$115*Unit_Costs!$Q$20+Assumptions!$C$115*Unit_Costs!$Q$21+Assumptions!$D$115*Unit_Costs!$Q$22+Assumptions!$E$115*Unit_Costs!$Q$23+Assumptions!$F$115*Unit_Costs!$Q$24+Assumptions!$G$115*Unit_Costs!$Q$25+Assumptions!$H$115*Unit_Costs!$Q$26+Assumptions!$I$115*Unit_Costs!$Q$27+Assumptions!$J$115*Unit_Costs!$Q$28+Assumptions!$K$115*Unit_Costs!$Q$29</f>
        <v>348.630132352941</v>
      </c>
      <c r="E25" s="33" t="n">
        <f aca="false">Assumptions!$B$116*Unit_Costs!$Q$20+Assumptions!$C$116*Unit_Costs!$Q$21+Assumptions!$D$116*Unit_Costs!$Q$22+Assumptions!$E$116*Unit_Costs!$Q$23+Assumptions!$F$116*Unit_Costs!$Q$24+Assumptions!$G$116*Unit_Costs!$Q$25+Assumptions!$H$116*Unit_Costs!$Q$26+Assumptions!$I$116*Unit_Costs!$Q$27+Assumptions!$J$116*Unit_Costs!$Q$28+Assumptions!$K$116*Unit_Costs!$Q$29</f>
        <v>1470.68922254902</v>
      </c>
      <c r="F25" s="2"/>
      <c r="G25" s="2"/>
      <c r="H25" s="2"/>
      <c r="I25" s="2"/>
    </row>
    <row r="26" customFormat="false" ht="15" hidden="false" customHeight="false" outlineLevel="0" collapsed="false">
      <c r="A26" s="9" t="s">
        <v>509</v>
      </c>
      <c r="B26" s="33" t="n">
        <f aca="false">Assumptions!$D$88*Unit_Costs!$Q$30+Assumptions!$D$92*Assumptions!$D$96*Assumptions!$D$6</f>
        <v>2.84635</v>
      </c>
      <c r="C26" s="33" t="n">
        <f aca="false">Assumptions!$D$89*Unit_Costs!$Q$30+Assumptions!$D$93*Assumptions!$D$96*Assumptions!$D$6</f>
        <v>14.23175</v>
      </c>
      <c r="D26" s="33" t="n">
        <f aca="false">Assumptions!$D$90*Unit_Costs!$Q$30+Assumptions!$D$94*Assumptions!$D$96*Assumptions!$D$6</f>
        <v>42.69525</v>
      </c>
      <c r="E26" s="33" t="n">
        <f aca="false">Assumptions!$D$91*Unit_Costs!$Q$30+Assumptions!$D$95*Assumptions!$D$96*Assumptions!$D$6</f>
        <v>236.6925</v>
      </c>
      <c r="F26" s="2"/>
      <c r="G26" s="2"/>
      <c r="H26" s="2"/>
      <c r="I26" s="2"/>
    </row>
    <row r="27" customFormat="false" ht="15" hidden="false" customHeight="false" outlineLevel="0" collapsed="false">
      <c r="A27" s="9" t="s">
        <v>510</v>
      </c>
      <c r="B27" s="28" t="n">
        <f aca="false">B5*Assumptions!$D$97+Assumptions!$D$101</f>
        <v>3.478</v>
      </c>
      <c r="C27" s="28" t="n">
        <f aca="false">C5*Assumptions!$D$98+Assumptions!$D$102</f>
        <v>11.178</v>
      </c>
      <c r="D27" s="28" t="n">
        <f aca="false">D5*Assumptions!$D$99+Assumptions!$D$103</f>
        <v>20.489</v>
      </c>
      <c r="E27" s="28" t="n">
        <f aca="false">E5*Assumptions!$D$100+Assumptions!$D$104</f>
        <v>59</v>
      </c>
      <c r="F27" s="2"/>
      <c r="G27" s="2"/>
      <c r="H27" s="2"/>
      <c r="I27" s="2"/>
    </row>
    <row r="28" customFormat="false" ht="15" hidden="false" customHeight="false" outlineLevel="0" collapsed="false">
      <c r="A28" s="3" t="s">
        <v>511</v>
      </c>
      <c r="B28" s="29" t="n">
        <f aca="false">1-(B25+B26+B27)/B5</f>
        <v>0.57905985458613</v>
      </c>
      <c r="C28" s="29" t="n">
        <f aca="false">1-(C25+C26+C27)/C5</f>
        <v>0.537286070179575</v>
      </c>
      <c r="D28" s="29" t="n">
        <f aca="false">1-(D25+D26+D27)/D5</f>
        <v>0.725273927716517</v>
      </c>
      <c r="E28" s="29" t="n">
        <f aca="false">1-(E25+E26+E27)/E5</f>
        <v>0.646723655490196</v>
      </c>
      <c r="F28" s="2"/>
      <c r="G28" s="2"/>
      <c r="H28" s="2"/>
      <c r="I28" s="2"/>
    </row>
    <row r="29" customFormat="false" ht="15" hidden="false" customHeight="false" outlineLevel="0" collapsed="false">
      <c r="A29" s="9" t="s">
        <v>512</v>
      </c>
      <c r="B29" s="29" t="n">
        <f aca="false">1-(B25*Assumptions!$D$153+B26+B27)/B5</f>
        <v>0.711533049776286</v>
      </c>
      <c r="C29" s="29" t="n">
        <f aca="false">1-(C25*Assumptions!$D$153+C26+C27)/C5</f>
        <v>0.681413475676844</v>
      </c>
      <c r="D29" s="29" t="n">
        <f aca="false">1-(D25*Assumptions!$D$153+D26+D27)/D5</f>
        <v>0.806675226131146</v>
      </c>
      <c r="E29" s="29" t="n">
        <f aca="false">1-(E25*Assumptions!$D$153+E26+E27)/E5</f>
        <v>0.749671901068628</v>
      </c>
      <c r="F29" s="2"/>
      <c r="G29" s="2"/>
      <c r="H29" s="2"/>
      <c r="I29" s="2"/>
    </row>
    <row r="30" customFormat="false" ht="15" hidden="false" customHeight="false" outlineLevel="0" collapsed="false">
      <c r="A30" s="9" t="s">
        <v>513</v>
      </c>
      <c r="B30" s="28" t="n">
        <f aca="false">IF(B6=0,0,B25/B6)</f>
        <v>1.08453330128205</v>
      </c>
      <c r="C30" s="28" t="n">
        <f aca="false">IF(C6=0,0,C25/C6)</f>
        <v>1.00727696559016</v>
      </c>
      <c r="D30" s="28" t="n">
        <f aca="false">IF(D6=0,0,D25/D6)</f>
        <v>0.785203000794913</v>
      </c>
      <c r="E30" s="28" t="n">
        <f aca="false">IF(E6=0,0,E25/E6)</f>
        <v>0.784786137966392</v>
      </c>
      <c r="F30" s="2"/>
      <c r="G30" s="2"/>
      <c r="H30" s="2"/>
      <c r="I30" s="2"/>
    </row>
    <row r="31" customFormat="false" ht="15" hidden="false" customHeight="false" outlineLevel="0" collapsed="false">
      <c r="A31" s="9" t="s">
        <v>514</v>
      </c>
      <c r="B31" s="29" t="n">
        <f aca="false">IF(B8=0,0,1-B30/B8-Assumptions!$D$97)</f>
        <v>0.706866674679487</v>
      </c>
      <c r="C31" s="29" t="n">
        <f aca="false">IF(C8=0,0,1-C30/C8-Assumptions!$D$98)</f>
        <v>0.690206581259955</v>
      </c>
      <c r="D31" s="29" t="n">
        <f aca="false">IF(D8=0,0,1-D30/D8-Assumptions!$D$99)</f>
        <v>0.727265666401696</v>
      </c>
      <c r="E31" s="29" t="n">
        <f aca="false">IF(E8=0,0,1-E30/E8-Assumptions!$D$100)</f>
        <v>0.675085544813443</v>
      </c>
      <c r="F31" s="2"/>
      <c r="G31" s="2"/>
      <c r="H31" s="2"/>
      <c r="I31" s="2"/>
    </row>
    <row r="32" customFormat="false" ht="15" hidden="false" customHeight="false" outlineLevel="0" collapsed="false">
      <c r="A32" s="9" t="s">
        <v>515</v>
      </c>
      <c r="B32" s="29" t="n">
        <f aca="false">IF(B9=0,0,1-Assumptions!$D$105*Assumptions!$D$109/B9)</f>
        <v>0</v>
      </c>
      <c r="C32" s="29" t="n">
        <f aca="false">IF(C9=0,0,1-Assumptions!$D$106*Assumptions!$D$109/C9)</f>
        <v>0.79</v>
      </c>
      <c r="D32" s="29" t="n">
        <f aca="false">IF(D9=0,0,1-Assumptions!$D$107*Assumptions!$D$109/D9)</f>
        <v>0.813333333333333</v>
      </c>
      <c r="E32" s="29" t="n">
        <f aca="false">IF(E9=0,0,1-Assumptions!$D$108*Assumptions!$D$109/E9)</f>
        <v>0.86</v>
      </c>
      <c r="F32" s="2"/>
      <c r="G32" s="2"/>
      <c r="H32" s="2"/>
      <c r="I32" s="2"/>
    </row>
    <row r="33" customFormat="false" ht="15" hidden="false" customHeight="false" outlineLevel="0" collapsed="false">
      <c r="A33" s="9" t="s">
        <v>516</v>
      </c>
      <c r="B33" s="21" t="n">
        <f aca="false">IF(B6=0,0,(Assumptions!$B$113*Unit_Costs!$S$20+Assumptions!$C$113*Unit_Costs!$S$21+Assumptions!$D$113*Unit_Costs!$S$22+Assumptions!$E$113*Unit_Costs!$S$23+Assumptions!$F$113*Unit_Costs!$S$24+Assumptions!$G$113*Unit_Costs!$S$25+Assumptions!$H$113*Unit_Costs!$S$26+Assumptions!$I$113*Unit_Costs!$S$27+Assumptions!$J$113*Unit_Costs!$S$28+Assumptions!$K$113*Unit_Costs!$S$29)/B6)</f>
        <v>2.03054298642534</v>
      </c>
      <c r="C33" s="21" t="n">
        <f aca="false">IF(C6=0,0,(Assumptions!$B$114*Unit_Costs!$S$20+Assumptions!$C$114*Unit_Costs!$S$21+Assumptions!$D$114*Unit_Costs!$S$22+Assumptions!$E$114*Unit_Costs!$S$23+Assumptions!$F$114*Unit_Costs!$S$24+Assumptions!$G$114*Unit_Costs!$S$25+Assumptions!$H$114*Unit_Costs!$S$26+Assumptions!$I$114*Unit_Costs!$S$27+Assumptions!$J$114*Unit_Costs!$S$28+Assumptions!$K$114*Unit_Costs!$S$29)/C6)</f>
        <v>1.85813148788927</v>
      </c>
      <c r="D33" s="21" t="n">
        <f aca="false">IF(D6=0,0,(Assumptions!$B$115*Unit_Costs!$S$20+Assumptions!$C$115*Unit_Costs!$S$21+Assumptions!$D$115*Unit_Costs!$S$22+Assumptions!$E$115*Unit_Costs!$S$23+Assumptions!$F$115*Unit_Costs!$S$24+Assumptions!$G$115*Unit_Costs!$S$25+Assumptions!$H$115*Unit_Costs!$S$26+Assumptions!$I$115*Unit_Costs!$S$27+Assumptions!$J$115*Unit_Costs!$S$28+Assumptions!$K$115*Unit_Costs!$S$29)/D6)</f>
        <v>1.14096449390567</v>
      </c>
      <c r="E33" s="21" t="n">
        <f aca="false">IF(E6=0,0,(Assumptions!$B$116*Unit_Costs!$S$20+Assumptions!$C$116*Unit_Costs!$S$21+Assumptions!$D$116*Unit_Costs!$S$22+Assumptions!$E$116*Unit_Costs!$S$23+Assumptions!$F$116*Unit_Costs!$S$24+Assumptions!$G$116*Unit_Costs!$S$25+Assumptions!$H$116*Unit_Costs!$S$26+Assumptions!$I$116*Unit_Costs!$S$27+Assumptions!$J$116*Unit_Costs!$S$28+Assumptions!$K$116*Unit_Costs!$S$29)/E6)</f>
        <v>1.02511143197941</v>
      </c>
      <c r="F33" s="2"/>
      <c r="G33" s="2"/>
      <c r="H33" s="2"/>
      <c r="I33" s="2"/>
    </row>
    <row r="34" customFormat="false" ht="15" hidden="false" customHeight="false" outlineLevel="0" collapsed="false">
      <c r="A34" s="8" t="s">
        <v>485</v>
      </c>
      <c r="B34" s="2"/>
      <c r="C34" s="2"/>
      <c r="D34" s="2"/>
      <c r="E34" s="2"/>
      <c r="F34" s="2"/>
      <c r="G34" s="2"/>
      <c r="H34" s="2"/>
      <c r="I34" s="2"/>
    </row>
    <row r="35" customFormat="false" ht="15" hidden="false" customHeight="false" outlineLevel="0" collapsed="false">
      <c r="A35" s="9" t="s">
        <v>508</v>
      </c>
      <c r="B35" s="33" t="n">
        <f aca="false">Assumptions!$B$113*Unit_Costs!$Q$34+Assumptions!$C$113*Unit_Costs!$Q$35+Assumptions!$D$113*Unit_Costs!$Q$36+Assumptions!$E$113*Unit_Costs!$Q$37+Assumptions!$F$113*Unit_Costs!$Q$38+Assumptions!$G$113*Unit_Costs!$Q$39+Assumptions!$H$113*Unit_Costs!$Q$40+Assumptions!$I$113*Unit_Costs!$Q$41+Assumptions!$J$113*Unit_Costs!$Q$42+Assumptions!$K$113*Unit_Costs!$Q$43</f>
        <v>107.737996666667</v>
      </c>
      <c r="C35" s="33" t="n">
        <f aca="false">Assumptions!$B$114*Unit_Costs!$Q$34+Assumptions!$C$114*Unit_Costs!$Q$35+Assumptions!$D$114*Unit_Costs!$Q$36+Assumptions!$E$114*Unit_Costs!$Q$37+Assumptions!$F$114*Unit_Costs!$Q$38+Assumptions!$G$114*Unit_Costs!$Q$39+Assumptions!$H$114*Unit_Costs!$Q$40+Assumptions!$I$114*Unit_Costs!$Q$41+Assumptions!$J$114*Unit_Costs!$Q$42+Assumptions!$K$114*Unit_Costs!$Q$43</f>
        <v>412.133779444445</v>
      </c>
      <c r="D35" s="33" t="n">
        <f aca="false">Assumptions!$B$115*Unit_Costs!$Q$34+Assumptions!$C$115*Unit_Costs!$Q$35+Assumptions!$D$115*Unit_Costs!$Q$36+Assumptions!$E$115*Unit_Costs!$Q$37+Assumptions!$F$115*Unit_Costs!$Q$38+Assumptions!$G$115*Unit_Costs!$Q$39+Assumptions!$H$115*Unit_Costs!$Q$40+Assumptions!$I$115*Unit_Costs!$Q$41+Assumptions!$J$115*Unit_Costs!$Q$42+Assumptions!$K$115*Unit_Costs!$Q$43</f>
        <v>771.550019444445</v>
      </c>
      <c r="E35" s="33" t="n">
        <f aca="false">Assumptions!$B$116*Unit_Costs!$Q$34+Assumptions!$C$116*Unit_Costs!$Q$35+Assumptions!$D$116*Unit_Costs!$Q$36+Assumptions!$E$116*Unit_Costs!$Q$37+Assumptions!$F$116*Unit_Costs!$Q$38+Assumptions!$G$116*Unit_Costs!$Q$39+Assumptions!$H$116*Unit_Costs!$Q$40+Assumptions!$I$116*Unit_Costs!$Q$41+Assumptions!$J$116*Unit_Costs!$Q$42+Assumptions!$K$116*Unit_Costs!$Q$43</f>
        <v>3271.89023055556</v>
      </c>
      <c r="F35" s="2"/>
      <c r="G35" s="2"/>
      <c r="H35" s="2"/>
      <c r="I35" s="2"/>
    </row>
    <row r="36" customFormat="false" ht="15" hidden="false" customHeight="false" outlineLevel="0" collapsed="false">
      <c r="A36" s="9" t="s">
        <v>509</v>
      </c>
      <c r="B36" s="33" t="n">
        <f aca="false">Assumptions!$D$88*Unit_Costs!$Q$44+Assumptions!$D$92*Assumptions!$D$96*Assumptions!$D$6</f>
        <v>14.256665</v>
      </c>
      <c r="C36" s="33" t="n">
        <f aca="false">Assumptions!$D$89*Unit_Costs!$Q$44+Assumptions!$D$93*Assumptions!$D$96*Assumptions!$D$6</f>
        <v>71.283325</v>
      </c>
      <c r="D36" s="33" t="n">
        <f aca="false">Assumptions!$D$90*Unit_Costs!$Q$44+Assumptions!$D$94*Assumptions!$D$96*Assumptions!$D$6</f>
        <v>213.849975</v>
      </c>
      <c r="E36" s="33" t="n">
        <f aca="false">Assumptions!$D$91*Unit_Costs!$Q$44+Assumptions!$D$95*Assumptions!$D$96*Assumptions!$D$6</f>
        <v>807.20825</v>
      </c>
      <c r="F36" s="2"/>
      <c r="G36" s="2"/>
      <c r="H36" s="2"/>
      <c r="I36" s="2"/>
    </row>
    <row r="37" customFormat="false" ht="15" hidden="false" customHeight="false" outlineLevel="0" collapsed="false">
      <c r="A37" s="9" t="s">
        <v>510</v>
      </c>
      <c r="B37" s="28" t="n">
        <f aca="false">B5*Assumptions!$D$97+Assumptions!$D$101</f>
        <v>3.478</v>
      </c>
      <c r="C37" s="28" t="n">
        <f aca="false">C5*Assumptions!$D$98+Assumptions!$D$102</f>
        <v>11.178</v>
      </c>
      <c r="D37" s="28" t="n">
        <f aca="false">D5*Assumptions!$D$99+Assumptions!$D$103</f>
        <v>20.489</v>
      </c>
      <c r="E37" s="28" t="n">
        <f aca="false">E5*Assumptions!$D$100+Assumptions!$D$104</f>
        <v>59</v>
      </c>
      <c r="F37" s="2"/>
      <c r="G37" s="2"/>
      <c r="H37" s="2"/>
      <c r="I37" s="2"/>
    </row>
    <row r="38" customFormat="false" ht="15" hidden="false" customHeight="false" outlineLevel="0" collapsed="false">
      <c r="A38" s="3" t="s">
        <v>511</v>
      </c>
      <c r="B38" s="29" t="n">
        <f aca="false">1-(B35+B36+B37)/B5</f>
        <v>0.157901599552573</v>
      </c>
      <c r="C38" s="29" t="n">
        <f aca="false">1-(C35+C36+C37)/C5</f>
        <v>0.00882744600311725</v>
      </c>
      <c r="D38" s="29" t="n">
        <f aca="false">1-(D35+D36+D37)/D5</f>
        <v>0.328959977021718</v>
      </c>
      <c r="E38" s="29" t="n">
        <f aca="false">1-(E35+E36+E37)/E5</f>
        <v>0.172380303888889</v>
      </c>
      <c r="F38" s="2"/>
      <c r="G38" s="2"/>
      <c r="H38" s="2"/>
      <c r="I38" s="2"/>
    </row>
    <row r="39" customFormat="false" ht="15" hidden="false" customHeight="false" outlineLevel="0" collapsed="false">
      <c r="A39" s="9" t="s">
        <v>512</v>
      </c>
      <c r="B39" s="29" t="n">
        <f aca="false">1-(B35*Assumptions!$D$153+B36+B37)/B5</f>
        <v>0.41097743064877</v>
      </c>
      <c r="C39" s="29" t="n">
        <f aca="false">1-(C35*Assumptions!$D$153+C36+C37)/C5</f>
        <v>0.297899235192607</v>
      </c>
      <c r="D39" s="29" t="n">
        <f aca="false">1-(D35*Assumptions!$D$153+D36+D37)/D5</f>
        <v>0.509108413849974</v>
      </c>
      <c r="E39" s="29" t="n">
        <f aca="false">1-(E35*Assumptions!$D$153+E36+E37)/E5</f>
        <v>0.401412620027778</v>
      </c>
      <c r="F39" s="2"/>
      <c r="G39" s="2"/>
      <c r="H39" s="2"/>
      <c r="I39" s="2"/>
    </row>
    <row r="40" customFormat="false" ht="15" hidden="false" customHeight="false" outlineLevel="0" collapsed="false">
      <c r="A40" s="9" t="s">
        <v>513</v>
      </c>
      <c r="B40" s="28" t="n">
        <f aca="false">IF(B6=0,0,B35/B6)</f>
        <v>2.07188455128205</v>
      </c>
      <c r="C40" s="28" t="n">
        <f aca="false">IF(C6=0,0,C35/C6)</f>
        <v>2.02026362472767</v>
      </c>
      <c r="D40" s="28" t="n">
        <f aca="false">IF(D6=0,0,D35/D6)</f>
        <v>1.73772526901902</v>
      </c>
      <c r="E40" s="28" t="n">
        <f aca="false">IF(E6=0,0,E35/E6)</f>
        <v>1.74593929058461</v>
      </c>
      <c r="F40" s="2"/>
      <c r="G40" s="2"/>
      <c r="H40" s="2"/>
      <c r="I40" s="2"/>
    </row>
    <row r="41" customFormat="false" ht="15" hidden="false" customHeight="false" outlineLevel="0" collapsed="false">
      <c r="A41" s="9" t="s">
        <v>514</v>
      </c>
      <c r="B41" s="29" t="n">
        <f aca="false">IF(B8=0,0,1-B40/B8-Assumptions!$D$97)</f>
        <v>0.460028862179487</v>
      </c>
      <c r="C41" s="29" t="n">
        <f aca="false">IF(C8=0,0,1-C40/C8-Assumptions!$D$98)</f>
        <v>0.40078182150638</v>
      </c>
      <c r="D41" s="29" t="n">
        <f aca="false">IF(D8=0,0,1-D40/D8-Assumptions!$D$99)</f>
        <v>0.409758243660327</v>
      </c>
      <c r="E41" s="29" t="n">
        <f aca="false">IF(E8=0,0,1-E40/E8-Assumptions!$D$100)</f>
        <v>0.290624283766157</v>
      </c>
      <c r="F41" s="2"/>
      <c r="G41" s="2"/>
      <c r="H41" s="2"/>
      <c r="I41" s="2"/>
    </row>
    <row r="42" customFormat="false" ht="15" hidden="false" customHeight="false" outlineLevel="0" collapsed="false">
      <c r="A42" s="9" t="s">
        <v>515</v>
      </c>
      <c r="B42" s="29" t="n">
        <f aca="false">IF(B9=0,0,1-Assumptions!$D$105*Assumptions!$D$109/B9)</f>
        <v>0</v>
      </c>
      <c r="C42" s="29" t="n">
        <f aca="false">IF(C9=0,0,1-Assumptions!$D$106*Assumptions!$D$109/C9)</f>
        <v>0.79</v>
      </c>
      <c r="D42" s="29" t="n">
        <f aca="false">IF(D9=0,0,1-Assumptions!$D$107*Assumptions!$D$109/D9)</f>
        <v>0.813333333333333</v>
      </c>
      <c r="E42" s="29" t="n">
        <f aca="false">IF(E9=0,0,1-Assumptions!$D$108*Assumptions!$D$109/E9)</f>
        <v>0.86</v>
      </c>
      <c r="F42" s="2"/>
      <c r="G42" s="2"/>
      <c r="H42" s="2"/>
      <c r="I42" s="2"/>
    </row>
    <row r="43" customFormat="false" ht="15" hidden="false" customHeight="false" outlineLevel="0" collapsed="false">
      <c r="A43" s="9" t="s">
        <v>516</v>
      </c>
      <c r="B43" s="21" t="n">
        <f aca="false">IF(B6=0,0,(Assumptions!$B$113*Unit_Costs!$S$34+Assumptions!$C$113*Unit_Costs!$S$35+Assumptions!$D$113*Unit_Costs!$S$36+Assumptions!$E$113*Unit_Costs!$S$37+Assumptions!$F$113*Unit_Costs!$S$38+Assumptions!$G$113*Unit_Costs!$S$39+Assumptions!$H$113*Unit_Costs!$S$40+Assumptions!$I$113*Unit_Costs!$S$41+Assumptions!$J$113*Unit_Costs!$S$42+Assumptions!$K$113*Unit_Costs!$S$43)/B6)</f>
        <v>3.04807692307692</v>
      </c>
      <c r="C43" s="21" t="n">
        <f aca="false">IF(C6=0,0,(Assumptions!$B$114*Unit_Costs!$S$34+Assumptions!$C$114*Unit_Costs!$S$35+Assumptions!$D$114*Unit_Costs!$S$36+Assumptions!$E$114*Unit_Costs!$S$37+Assumptions!$F$114*Unit_Costs!$S$38+Assumptions!$G$114*Unit_Costs!$S$39+Assumptions!$H$114*Unit_Costs!$S$40+Assumptions!$I$114*Unit_Costs!$S$41+Assumptions!$J$114*Unit_Costs!$S$42+Assumptions!$K$114*Unit_Costs!$S$43)/C6)</f>
        <v>2.77777777777778</v>
      </c>
      <c r="D43" s="21" t="n">
        <f aca="false">IF(D6=0,0,(Assumptions!$B$115*Unit_Costs!$S$34+Assumptions!$C$115*Unit_Costs!$S$35+Assumptions!$D$115*Unit_Costs!$S$36+Assumptions!$E$115*Unit_Costs!$S$37+Assumptions!$F$115*Unit_Costs!$S$38+Assumptions!$G$115*Unit_Costs!$S$39+Assumptions!$H$115*Unit_Costs!$S$40+Assumptions!$I$115*Unit_Costs!$S$41+Assumptions!$J$115*Unit_Costs!$S$42+Assumptions!$K$115*Unit_Costs!$S$43)/D6)</f>
        <v>1.65465465465465</v>
      </c>
      <c r="E43" s="21" t="n">
        <f aca="false">IF(E6=0,0,(Assumptions!$B$116*Unit_Costs!$S$34+Assumptions!$C$116*Unit_Costs!$S$35+Assumptions!$D$116*Unit_Costs!$S$36+Assumptions!$E$116*Unit_Costs!$S$37+Assumptions!$F$116*Unit_Costs!$S$38+Assumptions!$G$116*Unit_Costs!$S$39+Assumptions!$H$116*Unit_Costs!$S$40+Assumptions!$I$116*Unit_Costs!$S$41+Assumptions!$J$116*Unit_Costs!$S$42+Assumptions!$K$116*Unit_Costs!$S$43)/E6)</f>
        <v>1.52952685876912</v>
      </c>
      <c r="F43" s="2"/>
      <c r="G43" s="2"/>
      <c r="H43" s="2"/>
      <c r="I43" s="2"/>
    </row>
    <row r="44" customFormat="false" ht="15" hidden="false" customHeight="false" outlineLevel="0" collapsed="false">
      <c r="A44" s="2"/>
      <c r="B44" s="2"/>
      <c r="C44" s="2"/>
      <c r="D44" s="2"/>
      <c r="E44" s="2"/>
      <c r="F44" s="2"/>
      <c r="G44" s="2"/>
      <c r="H44" s="2"/>
      <c r="I44" s="2"/>
    </row>
    <row r="45" customFormat="false" ht="15" hidden="false" customHeight="false" outlineLevel="0" collapsed="false">
      <c r="A45" s="8" t="s">
        <v>517</v>
      </c>
      <c r="B45" s="2"/>
      <c r="C45" s="2"/>
      <c r="D45" s="2"/>
      <c r="E45" s="2"/>
      <c r="F45" s="2"/>
      <c r="G45" s="2"/>
      <c r="H45" s="2"/>
      <c r="I45" s="2"/>
    </row>
    <row r="46" customFormat="false" ht="15" hidden="false" customHeight="false" outlineLevel="0" collapsed="false">
      <c r="A46" s="2" t="s">
        <v>518</v>
      </c>
      <c r="B46" s="37" t="n">
        <f aca="false">Assumptions!$D$48*Assumptions!$D$87</f>
        <v>2100</v>
      </c>
      <c r="C46" s="2"/>
      <c r="D46" s="2"/>
      <c r="E46" s="2"/>
      <c r="F46" s="2"/>
      <c r="G46" s="2"/>
      <c r="H46" s="2"/>
      <c r="I46" s="2"/>
    </row>
    <row r="47" customFormat="false" ht="15" hidden="false" customHeight="false" outlineLevel="0" collapsed="false">
      <c r="A47" s="2" t="s">
        <v>519</v>
      </c>
      <c r="B47" s="37" t="n">
        <f aca="false">Unit_Costs!$Q$14</f>
        <v>252.650418421053</v>
      </c>
      <c r="C47" s="32" t="n">
        <f aca="false">IF($B$46=0,0,1-B47/$B$46-Assumptions!$D$99)</f>
        <v>0.868690276942356</v>
      </c>
      <c r="D47" s="2" t="s">
        <v>520</v>
      </c>
      <c r="E47" s="2"/>
      <c r="F47" s="2"/>
      <c r="G47" s="2"/>
      <c r="H47" s="2"/>
      <c r="I47" s="2"/>
    </row>
    <row r="48" customFormat="false" ht="15" hidden="false" customHeight="false" outlineLevel="0" collapsed="false">
      <c r="A48" s="2" t="s">
        <v>521</v>
      </c>
      <c r="B48" s="37" t="n">
        <f aca="false">Unit_Costs!$Q$28</f>
        <v>870.6056</v>
      </c>
      <c r="C48" s="32" t="n">
        <f aca="false">IF($B$46=0,0,1-B48/$B$46-Assumptions!$D$99)</f>
        <v>0.574425904761905</v>
      </c>
      <c r="D48" s="2" t="s">
        <v>520</v>
      </c>
      <c r="E48" s="2"/>
      <c r="F48" s="2"/>
      <c r="G48" s="2"/>
      <c r="H48" s="2"/>
      <c r="I48" s="2"/>
    </row>
    <row r="49" customFormat="false" ht="15" hidden="false" customHeight="false" outlineLevel="0" collapsed="false">
      <c r="A49" s="2" t="s">
        <v>522</v>
      </c>
      <c r="B49" s="37" t="n">
        <f aca="false">Unit_Costs!$Q$42</f>
        <v>1910.91020111111</v>
      </c>
      <c r="C49" s="32" t="n">
        <f aca="false">IF($B$46=0,0,1-B49/$B$46-Assumptions!$D$99)</f>
        <v>0.0790427613756615</v>
      </c>
      <c r="D49" s="2" t="s">
        <v>520</v>
      </c>
      <c r="E49" s="2"/>
      <c r="F49" s="2"/>
      <c r="G49" s="2"/>
      <c r="H49" s="2"/>
      <c r="I49" s="2"/>
    </row>
    <row r="50" customFormat="false" ht="15" hidden="false" customHeight="false" outlineLevel="0" collapsed="false">
      <c r="A50" s="2"/>
      <c r="B50" s="2"/>
      <c r="C50" s="2"/>
      <c r="D50" s="2"/>
      <c r="E50" s="2"/>
      <c r="F50" s="2"/>
      <c r="G50" s="2"/>
      <c r="H50" s="2"/>
      <c r="I50" s="2"/>
    </row>
    <row r="51" customFormat="false" ht="15" hidden="false" customHeight="false" outlineLevel="0" collapsed="false">
      <c r="A51" s="5" t="s">
        <v>523</v>
      </c>
      <c r="B51" s="6"/>
      <c r="C51" s="6"/>
      <c r="D51" s="6"/>
      <c r="E51" s="6"/>
      <c r="F51" s="6"/>
      <c r="G51" s="6"/>
      <c r="H51" s="2"/>
      <c r="I51" s="2"/>
    </row>
    <row r="52" customFormat="false" ht="23.85" hidden="false" customHeight="false" outlineLevel="0" collapsed="false">
      <c r="A52" s="17" t="s">
        <v>524</v>
      </c>
      <c r="B52" s="17" t="s">
        <v>525</v>
      </c>
      <c r="C52" s="17" t="s">
        <v>526</v>
      </c>
      <c r="D52" s="17" t="s">
        <v>527</v>
      </c>
      <c r="E52" s="17" t="s">
        <v>528</v>
      </c>
      <c r="F52" s="17" t="s">
        <v>529</v>
      </c>
      <c r="G52" s="17" t="s">
        <v>530</v>
      </c>
      <c r="H52" s="2"/>
      <c r="I52" s="2"/>
    </row>
    <row r="53" customFormat="false" ht="15" hidden="false" customHeight="false" outlineLevel="0" collapsed="false">
      <c r="A53" s="2" t="s">
        <v>531</v>
      </c>
      <c r="B53" s="37" t="n">
        <f aca="false">Assumptions!$D$73</f>
        <v>149</v>
      </c>
      <c r="C53" s="2" t="s">
        <v>319</v>
      </c>
      <c r="D53" s="32" t="n">
        <f aca="false">1-(B25+B26+B53*Assumptions!$D$97+Assumptions!$D$101)/B53</f>
        <v>0.57905985458613</v>
      </c>
      <c r="E53" s="32" t="n">
        <f aca="false">1-(B35+B36+B53*Assumptions!$D$97+Assumptions!$D$101)/B53</f>
        <v>0.157901599552573</v>
      </c>
      <c r="F53" s="32" t="n">
        <f aca="false">1-(B25*Assumptions!$D$153+B26+B53*Assumptions!$D$97+Assumptions!$D$101)/B53</f>
        <v>0.711533049776286</v>
      </c>
      <c r="G53" s="32" t="n">
        <f aca="false">1-(B35*Assumptions!$D$153+B36+B53*Assumptions!$D$97+Assumptions!$D$101)/B53</f>
        <v>0.41097743064877</v>
      </c>
      <c r="H53" s="2"/>
      <c r="I53" s="2"/>
    </row>
    <row r="54" customFormat="false" ht="15" hidden="false" customHeight="false" outlineLevel="0" collapsed="false">
      <c r="A54" s="2" t="s">
        <v>532</v>
      </c>
      <c r="B54" s="37" t="n">
        <f aca="false">Assumptions!$D$74</f>
        <v>499</v>
      </c>
      <c r="C54" s="2" t="s">
        <v>320</v>
      </c>
      <c r="D54" s="32" t="n">
        <f aca="false">1-(C25+C26+B54*Assumptions!$D$98+Assumptions!$D$102)/B54</f>
        <v>0.537286070179575</v>
      </c>
      <c r="E54" s="32" t="n">
        <f aca="false">1-(C35+C36+B54*Assumptions!$D$98+Assumptions!$D$102)/B54</f>
        <v>0.00882744600311725</v>
      </c>
      <c r="F54" s="32" t="n">
        <f aca="false">1-(C25*Assumptions!$D$153+C26+B54*Assumptions!$D$98+Assumptions!$D$102)/B54</f>
        <v>0.681413475676844</v>
      </c>
      <c r="G54" s="32" t="n">
        <f aca="false">1-(C35*Assumptions!$D$153+C36+B54*Assumptions!$D$98+Assumptions!$D$102)/B54</f>
        <v>0.297899235192607</v>
      </c>
      <c r="H54" s="2"/>
      <c r="I54" s="2"/>
    </row>
    <row r="55" customFormat="false" ht="15" hidden="false" customHeight="false" outlineLevel="0" collapsed="false">
      <c r="A55" s="2" t="s">
        <v>533</v>
      </c>
      <c r="B55" s="37" t="n">
        <f aca="false">Assumptions!$D$75</f>
        <v>1499</v>
      </c>
      <c r="C55" s="2" t="s">
        <v>321</v>
      </c>
      <c r="D55" s="32" t="n">
        <f aca="false">1-(D25+D26+B55*Assumptions!$D$99+Assumptions!$D$103)/B55</f>
        <v>0.725273927716517</v>
      </c>
      <c r="E55" s="32" t="n">
        <f aca="false">1-(D35+D36+B55*Assumptions!$D$99+Assumptions!$D$103)/B55</f>
        <v>0.328959977021718</v>
      </c>
      <c r="F55" s="32" t="n">
        <f aca="false">1-(D25*Assumptions!$D$153+D26+B55*Assumptions!$D$99+Assumptions!$D$103)/B55</f>
        <v>0.806675226131146</v>
      </c>
      <c r="G55" s="32" t="n">
        <f aca="false">1-(D35*Assumptions!$D$153+D36+B55*Assumptions!$D$99+Assumptions!$D$103)/B55</f>
        <v>0.509108413849974</v>
      </c>
      <c r="H55" s="2"/>
      <c r="I55" s="2"/>
    </row>
    <row r="56" customFormat="false" ht="15" hidden="false" customHeight="false" outlineLevel="0" collapsed="false">
      <c r="A56" s="2" t="s">
        <v>534</v>
      </c>
      <c r="B56" s="37" t="n">
        <f aca="false">Assumptions!$D$77</f>
        <v>3000</v>
      </c>
      <c r="C56" s="2" t="s">
        <v>322</v>
      </c>
      <c r="D56" s="32" t="n">
        <f aca="false">1-(E25+E26+B56*Assumptions!$D$100+Assumptions!$D$104)/B56</f>
        <v>0.418539425816994</v>
      </c>
      <c r="E56" s="32" t="n">
        <f aca="false">1-(E35+E36+B56*Assumptions!$D$100+Assumptions!$D$104)/B56</f>
        <v>-0.372032826851852</v>
      </c>
      <c r="F56" s="32" t="n">
        <f aca="false">1-(E25*Assumptions!$D$153+E26+B56*Assumptions!$D$100+Assumptions!$D$104)/B56</f>
        <v>0.590119835114379</v>
      </c>
      <c r="G56" s="32" t="n">
        <f aca="false">1-(E35*Assumptions!$D$153+E36+B56*Assumptions!$D$100+Assumptions!$D$104)/B56</f>
        <v>0.00968770004629627</v>
      </c>
      <c r="H56" s="2"/>
      <c r="I56" s="2"/>
    </row>
    <row r="57" customFormat="false" ht="15" hidden="false" customHeight="false" outlineLevel="0" collapsed="false">
      <c r="A57" s="2" t="s">
        <v>535</v>
      </c>
      <c r="B57" s="37" t="n">
        <f aca="false">Assumptions!$D$76</f>
        <v>5000</v>
      </c>
      <c r="C57" s="2" t="s">
        <v>322</v>
      </c>
      <c r="D57" s="32" t="n">
        <f aca="false">1-(E25+E26+B57*Assumptions!$D$100+Assumptions!$D$104)/B57</f>
        <v>0.646723655490196</v>
      </c>
      <c r="E57" s="32" t="n">
        <f aca="false">1-(E35+E36+B57*Assumptions!$D$100+Assumptions!$D$104)/B57</f>
        <v>0.172380303888889</v>
      </c>
      <c r="F57" s="32" t="n">
        <f aca="false">1-(E25*Assumptions!$D$153+E26+B57*Assumptions!$D$100+Assumptions!$D$104)/B57</f>
        <v>0.749671901068628</v>
      </c>
      <c r="G57" s="32" t="n">
        <f aca="false">1-(E35*Assumptions!$D$153+E36+B57*Assumptions!$D$100+Assumptions!$D$104)/B57</f>
        <v>0.401412620027778</v>
      </c>
      <c r="H57" s="2"/>
      <c r="I57" s="2"/>
    </row>
    <row r="58" customFormat="false" ht="15" hidden="false" customHeight="false" outlineLevel="0" collapsed="false">
      <c r="A58" s="2" t="s">
        <v>536</v>
      </c>
      <c r="B58" s="37" t="n">
        <f aca="false">Assumptions!$D$78</f>
        <v>10000</v>
      </c>
      <c r="C58" s="2" t="s">
        <v>322</v>
      </c>
      <c r="D58" s="32" t="n">
        <f aca="false">1-(E25+E26+B58*Assumptions!$D$100+Assumptions!$D$104)/B58</f>
        <v>0.817861827745098</v>
      </c>
      <c r="E58" s="32" t="n">
        <f aca="false">1-(E35+E36+B58*Assumptions!$D$100+Assumptions!$D$104)/B58</f>
        <v>0.580690151944445</v>
      </c>
      <c r="F58" s="32" t="n">
        <f aca="false">1-(E25*Assumptions!$D$153+E26+B58*Assumptions!$D$100+Assumptions!$D$104)/B58</f>
        <v>0.869335950534314</v>
      </c>
      <c r="G58" s="32" t="n">
        <f aca="false">1-(E35*Assumptions!$D$153+E36+B58*Assumptions!$D$100+Assumptions!$D$104)/B58</f>
        <v>0.695206310013889</v>
      </c>
      <c r="H58" s="2"/>
      <c r="I58" s="2"/>
    </row>
    <row r="59" customFormat="false" ht="15" hidden="false" customHeight="false" outlineLevel="0" collapsed="false">
      <c r="A59" s="2"/>
      <c r="B59" s="2"/>
      <c r="C59" s="2"/>
      <c r="D59" s="2"/>
      <c r="E59" s="2"/>
      <c r="F59" s="2"/>
      <c r="G59" s="2"/>
      <c r="H59" s="2"/>
      <c r="I59" s="2"/>
    </row>
    <row r="60" customFormat="false" ht="15" hidden="false" customHeight="false" outlineLevel="0" collapsed="false">
      <c r="A60" s="5" t="s">
        <v>537</v>
      </c>
      <c r="B60" s="6"/>
      <c r="C60" s="6"/>
      <c r="D60" s="6"/>
      <c r="E60" s="6"/>
      <c r="F60" s="6"/>
      <c r="G60" s="6"/>
      <c r="H60" s="6"/>
      <c r="I60" s="6"/>
    </row>
    <row r="61" customFormat="false" ht="15" hidden="false" customHeight="false" outlineLevel="0" collapsed="false">
      <c r="A61" s="3" t="s">
        <v>538</v>
      </c>
      <c r="B61" s="16" t="n">
        <v>0.6</v>
      </c>
      <c r="C61" s="16" t="n">
        <v>0.7</v>
      </c>
      <c r="D61" s="16" t="n">
        <v>0.8</v>
      </c>
      <c r="E61" s="16" t="n">
        <v>0.85</v>
      </c>
      <c r="F61" s="32" t="n">
        <f aca="false">B61</f>
        <v>0.6</v>
      </c>
      <c r="G61" s="32" t="n">
        <f aca="false">C61</f>
        <v>0.7</v>
      </c>
      <c r="H61" s="32" t="n">
        <f aca="false">D61</f>
        <v>0.8</v>
      </c>
      <c r="I61" s="32" t="n">
        <f aca="false">E61</f>
        <v>0.85</v>
      </c>
    </row>
    <row r="62" customFormat="false" ht="15" hidden="false" customHeight="false" outlineLevel="0" collapsed="false">
      <c r="A62" s="3" t="s">
        <v>539</v>
      </c>
      <c r="B62" s="3" t="s">
        <v>540</v>
      </c>
      <c r="C62" s="3" t="s">
        <v>540</v>
      </c>
      <c r="D62" s="3" t="s">
        <v>540</v>
      </c>
      <c r="E62" s="3" t="s">
        <v>540</v>
      </c>
      <c r="F62" s="3" t="s">
        <v>541</v>
      </c>
      <c r="G62" s="3" t="s">
        <v>541</v>
      </c>
      <c r="H62" s="3" t="s">
        <v>541</v>
      </c>
      <c r="I62" s="3" t="s">
        <v>541</v>
      </c>
    </row>
    <row r="63" customFormat="false" ht="15" hidden="false" customHeight="false" outlineLevel="0" collapsed="false">
      <c r="A63" s="8" t="s">
        <v>542</v>
      </c>
      <c r="B63" s="2"/>
      <c r="C63" s="2"/>
      <c r="D63" s="2"/>
      <c r="E63" s="2"/>
      <c r="F63" s="2"/>
      <c r="G63" s="2"/>
      <c r="H63" s="2"/>
      <c r="I63" s="2"/>
    </row>
    <row r="64" customFormat="false" ht="15" hidden="false" customHeight="false" outlineLevel="0" collapsed="false">
      <c r="A64" s="2" t="s">
        <v>319</v>
      </c>
      <c r="B64" s="37" t="n">
        <f aca="false">(B$25+B$26+Assumptions!$D$101)/(1-B$61-Assumptions!$D$97)</f>
        <v>157.254184303351</v>
      </c>
      <c r="C64" s="37" t="n">
        <f aca="false">(B$25+B$26+Assumptions!$D$101)/(1-C$61-Assumptions!$D$97)</f>
        <v>213.82043764988</v>
      </c>
      <c r="D64" s="37" t="n">
        <f aca="false">(B$25+B$26+Assumptions!$D$101)/(1-D$61-Assumptions!$D$97)</f>
        <v>333.944279026217</v>
      </c>
      <c r="E64" s="37" t="n">
        <f aca="false">(B$25+B$26+Assumptions!$D$101)/(1-E$61-Assumptions!$D$97)</f>
        <v>464.391263020833</v>
      </c>
      <c r="F64" s="37" t="n">
        <f aca="false">(B$35+B$36+Assumptions!$D$101)/(1-F$61-Assumptions!$D$97)</f>
        <v>323.266300705467</v>
      </c>
      <c r="G64" s="37" t="n">
        <f aca="false">(B$35+B$36+Assumptions!$D$101)/(1-G$61-Assumptions!$D$97)</f>
        <v>439.549142685851</v>
      </c>
      <c r="H64" s="37" t="n">
        <f aca="false">(B$35+B$36+Assumptions!$D$101)/(1-H$61-Assumptions!$D$97)</f>
        <v>686.48686329588</v>
      </c>
      <c r="I64" s="37" t="n">
        <f aca="false">(B$35+B$36+Assumptions!$D$101)/(1-I$61-Assumptions!$D$97)</f>
        <v>954.645794270833</v>
      </c>
    </row>
    <row r="65" customFormat="false" ht="15" hidden="false" customHeight="false" outlineLevel="0" collapsed="false">
      <c r="A65" s="2" t="s">
        <v>320</v>
      </c>
      <c r="B65" s="37" t="n">
        <f aca="false">(C$25+C$26+Assumptions!$D$102)/(1-B$61-Assumptions!$D$98)</f>
        <v>581.789023757651</v>
      </c>
      <c r="C65" s="37" t="n">
        <f aca="false">(C$25+C$26+Assumptions!$D$102)/(1-C$61-Assumptions!$D$98)</f>
        <v>791.065651008605</v>
      </c>
      <c r="D65" s="37" t="n">
        <f aca="false">(C$25+C$26+Assumptions!$D$102)/(1-D$61-Assumptions!$D$98)</f>
        <v>1235.48455606962</v>
      </c>
      <c r="E65" s="37" t="n">
        <f aca="false">(C$25+C$26+Assumptions!$D$102)/(1-E$61-Assumptions!$D$98)</f>
        <v>1718.09571078431</v>
      </c>
      <c r="F65" s="37" t="n">
        <f aca="false">(C$35+C$36+Assumptions!$D$102)/(1-F$61-Assumptions!$D$98)</f>
        <v>1279.41032921811</v>
      </c>
      <c r="G65" s="37" t="n">
        <f aca="false">(C$35+C$36+Assumptions!$D$102)/(1-G$61-Assumptions!$D$98)</f>
        <v>1739.62987210232</v>
      </c>
      <c r="H65" s="37" t="n">
        <f aca="false">(C$35+C$36+Assumptions!$D$102)/(1-H$61-Assumptions!$D$98)</f>
        <v>2716.95002496879</v>
      </c>
      <c r="I65" s="37" t="n">
        <f aca="false">(C$35+C$36+Assumptions!$D$102)/(1-I$61-Assumptions!$D$98)</f>
        <v>3778.25862847222</v>
      </c>
    </row>
    <row r="66" customFormat="false" ht="15" hidden="false" customHeight="false" outlineLevel="0" collapsed="false">
      <c r="A66" s="2" t="s">
        <v>321</v>
      </c>
      <c r="B66" s="37" t="n">
        <f aca="false">(D$25+D$26+Assumptions!$D$103)/(1-B$61-Assumptions!$D$99)</f>
        <v>1016.26062301527</v>
      </c>
      <c r="C66" s="37" t="n">
        <f aca="false">(D$25+D$26+Assumptions!$D$103)/(1-C$61-Assumptions!$D$99)</f>
        <v>1367.90789741502</v>
      </c>
      <c r="D66" s="37" t="n">
        <f aca="false">(D$25+D$26+Assumptions!$D$103)/(1-D$61-Assumptions!$D$99)</f>
        <v>2091.6686896981</v>
      </c>
      <c r="E66" s="37" t="n">
        <f aca="false">(D$25+D$26+Assumptions!$D$103)/(1-E$61-Assumptions!$D$99)</f>
        <v>2844.06749894202</v>
      </c>
      <c r="F66" s="37" t="n">
        <f aca="false">(D$35+D$36+Assumptions!$D$103)/(1-F$61-Assumptions!$D$99)</f>
        <v>2543.44471579549</v>
      </c>
      <c r="G66" s="37" t="n">
        <f aca="false">(D$35+D$36+Assumptions!$D$103)/(1-G$61-Assumptions!$D$99)</f>
        <v>3423.52939254133</v>
      </c>
      <c r="H66" s="37" t="n">
        <f aca="false">(D$35+D$36+Assumptions!$D$103)/(1-H$61-Assumptions!$D$99)</f>
        <v>5234.92060552616</v>
      </c>
      <c r="I66" s="37" t="n">
        <f aca="false">(D$35+D$36+Assumptions!$D$103)/(1-I$61-Assumptions!$D$99)</f>
        <v>7117.98557154277</v>
      </c>
    </row>
    <row r="67" customFormat="false" ht="15" hidden="false" customHeight="false" outlineLevel="0" collapsed="false">
      <c r="A67" s="2" t="s">
        <v>322</v>
      </c>
      <c r="B67" s="37" t="n">
        <f aca="false">(E$25+E$26+Assumptions!$D$104)/(1-B$61-Assumptions!$D$100)</f>
        <v>4399.43887544735</v>
      </c>
      <c r="C67" s="37" t="n">
        <f aca="false">(E$25+E$26+Assumptions!$D$104)/(1-C$61-Assumptions!$D$100)</f>
        <v>5921.73606418346</v>
      </c>
      <c r="D67" s="37" t="n">
        <f aca="false">(E$25+E$26+Assumptions!$D$104)/(1-D$61-Assumptions!$D$100)</f>
        <v>9054.92974893661</v>
      </c>
      <c r="E67" s="37" t="n">
        <f aca="false">(E$25+E$26+Assumptions!$D$104)/(1-E$61-Assumptions!$D$100)</f>
        <v>12312.0987233742</v>
      </c>
      <c r="F67" s="37" t="n">
        <f aca="false">(E$35+E$36+Assumptions!$D$104)/(1-F$61-Assumptions!$D$100)</f>
        <v>10496.3971222508</v>
      </c>
      <c r="G67" s="37" t="n">
        <f aca="false">(E$35+E$36+Assumptions!$D$104)/(1-G$61-Assumptions!$D$100)</f>
        <v>14128.3684448289</v>
      </c>
      <c r="H67" s="37" t="n">
        <f aca="false">(E$35+E$36+Assumptions!$D$104)/(1-H$61-Assumptions!$D$100)</f>
        <v>21603.6956643151</v>
      </c>
      <c r="I67" s="37" t="n">
        <f aca="false">(E$35+E$36+Assumptions!$D$104)/(1-I$61-Assumptions!$D$100)</f>
        <v>29374.8092126299</v>
      </c>
    </row>
    <row r="68" customFormat="false" ht="15" hidden="false" customHeight="false" outlineLevel="0" collapsed="false">
      <c r="A68" s="8" t="s">
        <v>543</v>
      </c>
      <c r="B68" s="2"/>
      <c r="C68" s="2"/>
      <c r="D68" s="2"/>
      <c r="E68" s="2"/>
      <c r="F68" s="2"/>
      <c r="G68" s="2"/>
      <c r="H68" s="2"/>
      <c r="I68" s="2"/>
    </row>
    <row r="69" customFormat="false" ht="15" hidden="false" customHeight="false" outlineLevel="0" collapsed="false">
      <c r="A69" s="2" t="s">
        <v>228</v>
      </c>
      <c r="B69" s="31" t="n">
        <f aca="false">(Unit_Costs!$Q$20+Assumptions!$D$101)/(1-B$61-Assumptions!$D$97)</f>
        <v>14.7852378358751</v>
      </c>
      <c r="C69" s="31" t="n">
        <f aca="false">(Unit_Costs!$Q$20+Assumptions!$D$101)/(1-C$61-Assumptions!$D$97)</f>
        <v>20.1036687120892</v>
      </c>
      <c r="D69" s="31" t="n">
        <f aca="false">(Unit_Costs!$Q$20+Assumptions!$D$101)/(1-D$61-Assumptions!$D$97)</f>
        <v>31.3978646177572</v>
      </c>
      <c r="E69" s="31" t="n">
        <f aca="false">(Unit_Costs!$Q$20+Assumptions!$D$101)/(1-E$61-Assumptions!$D$97)</f>
        <v>43.6626554840686</v>
      </c>
      <c r="F69" s="31" t="n">
        <f aca="false">(Unit_Costs!$Q$34+Assumptions!$D$101)/(1-F$61-Assumptions!$D$97)</f>
        <v>29.1265564373898</v>
      </c>
      <c r="G69" s="31" t="n">
        <f aca="false">(Unit_Costs!$Q$34+Assumptions!$D$101)/(1-G$61-Assumptions!$D$97)</f>
        <v>39.6037350119904</v>
      </c>
      <c r="H69" s="31" t="n">
        <f aca="false">(Unit_Costs!$Q$34+Assumptions!$D$101)/(1-H$61-Assumptions!$D$97)</f>
        <v>61.8530243445693</v>
      </c>
      <c r="I69" s="31" t="n">
        <f aca="false">(Unit_Costs!$Q$34+Assumptions!$D$101)/(1-I$61-Assumptions!$D$97)</f>
        <v>86.0143619791666</v>
      </c>
    </row>
    <row r="70" customFormat="false" ht="15" hidden="false" customHeight="false" outlineLevel="0" collapsed="false">
      <c r="A70" s="2" t="s">
        <v>229</v>
      </c>
      <c r="B70" s="31" t="n">
        <f aca="false">(Unit_Costs!$Q$21+Assumptions!$D$101)/(1-B$61-Assumptions!$D$97)</f>
        <v>29.2659404502542</v>
      </c>
      <c r="C70" s="31" t="n">
        <f aca="false">(Unit_Costs!$Q$21+Assumptions!$D$101)/(1-C$61-Assumptions!$D$97)</f>
        <v>39.7932571589787</v>
      </c>
      <c r="D70" s="31" t="n">
        <f aca="false">(Unit_Costs!$Q$21+Assumptions!$D$101)/(1-D$61-Assumptions!$D$97)</f>
        <v>62.1490196078431</v>
      </c>
      <c r="E70" s="31" t="n">
        <f aca="false">(Unit_Costs!$Q$21+Assumptions!$D$101)/(1-E$61-Assumptions!$D$97)</f>
        <v>86.4259803921568</v>
      </c>
      <c r="F70" s="31" t="n">
        <f aca="false">(Unit_Costs!$Q$35+Assumptions!$D$101)/(1-F$61-Assumptions!$D$97)</f>
        <v>55.7211096413874</v>
      </c>
      <c r="G70" s="31" t="n">
        <f aca="false">(Unit_Costs!$Q$35+Assumptions!$D$101)/(1-G$61-Assumptions!$D$97)</f>
        <v>75.7646742605915</v>
      </c>
      <c r="H70" s="31" t="n">
        <f aca="false">(Unit_Costs!$Q$35+Assumptions!$D$101)/(1-H$61-Assumptions!$D$97)</f>
        <v>118.329098002497</v>
      </c>
      <c r="I70" s="31" t="n">
        <f aca="false">(Unit_Costs!$Q$35+Assumptions!$D$101)/(1-I$61-Assumptions!$D$97)</f>
        <v>164.551401909722</v>
      </c>
    </row>
    <row r="71" customFormat="false" ht="15" hidden="false" customHeight="false" outlineLevel="0" collapsed="false">
      <c r="A71" s="2" t="s">
        <v>230</v>
      </c>
      <c r="B71" s="31" t="n">
        <f aca="false">(Unit_Costs!$Q$22+Assumptions!$D$101)/(1-B$61-Assumptions!$D$97)</f>
        <v>43.4330584085486</v>
      </c>
      <c r="C71" s="31" t="n">
        <f aca="false">(Unit_Costs!$Q$22+Assumptions!$D$101)/(1-C$61-Assumptions!$D$97)</f>
        <v>59.0564607137819</v>
      </c>
      <c r="D71" s="31" t="n">
        <f aca="false">(Unit_Costs!$Q$22+Assumptions!$D$101)/(1-D$61-Assumptions!$D$97)</f>
        <v>92.234247631637</v>
      </c>
      <c r="E71" s="31" t="n">
        <f aca="false">(Unit_Costs!$Q$22+Assumptions!$D$101)/(1-E$61-Assumptions!$D$97)</f>
        <v>128.263250612745</v>
      </c>
      <c r="F71" s="31" t="n">
        <f aca="false">(Unit_Costs!$Q$36+Assumptions!$D$101)/(1-F$61-Assumptions!$D$97)</f>
        <v>82.1487727807172</v>
      </c>
      <c r="G71" s="31" t="n">
        <f aca="false">(Unit_Costs!$Q$36+Assumptions!$D$101)/(1-G$61-Assumptions!$D$97)</f>
        <v>111.698691047162</v>
      </c>
      <c r="H71" s="31" t="n">
        <f aca="false">(Unit_Costs!$Q$36+Assumptions!$D$101)/(1-H$61-Assumptions!$D$97)</f>
        <v>174.450764669164</v>
      </c>
      <c r="I71" s="31" t="n">
        <f aca="false">(Unit_Costs!$Q$36+Assumptions!$D$101)/(1-I$61-Assumptions!$D$97)</f>
        <v>242.595594618056</v>
      </c>
    </row>
    <row r="72" customFormat="false" ht="15" hidden="false" customHeight="false" outlineLevel="0" collapsed="false">
      <c r="A72" s="2" t="s">
        <v>231</v>
      </c>
      <c r="B72" s="31" t="n">
        <f aca="false">(Unit_Costs!$Q$23+Assumptions!$D$101)/(1-B$61-Assumptions!$D$97)</f>
        <v>92.5640626621019</v>
      </c>
      <c r="C72" s="31" t="n">
        <f aca="false">(Unit_Costs!$Q$23+Assumptions!$D$101)/(1-C$61-Assumptions!$D$97)</f>
        <v>125.860488080124</v>
      </c>
      <c r="D72" s="31" t="n">
        <f aca="false">(Unit_Costs!$Q$23+Assumptions!$D$101)/(1-D$61-Assumptions!$D$97)</f>
        <v>196.56862745098</v>
      </c>
      <c r="E72" s="31" t="n">
        <f aca="false">(Unit_Costs!$Q$23+Assumptions!$D$101)/(1-E$61-Assumptions!$D$97)</f>
        <v>273.35324754902</v>
      </c>
      <c r="F72" s="31" t="n">
        <f aca="false">(Unit_Costs!$Q$37+Assumptions!$D$101)/(1-F$61-Assumptions!$D$97)</f>
        <v>175.333127572016</v>
      </c>
      <c r="G72" s="31" t="n">
        <f aca="false">(Unit_Costs!$Q$37+Assumptions!$D$101)/(1-G$61-Assumptions!$D$97)</f>
        <v>238.402597921663</v>
      </c>
      <c r="H72" s="31" t="n">
        <f aca="false">(Unit_Costs!$Q$37+Assumptions!$D$101)/(1-H$61-Assumptions!$D$97)</f>
        <v>372.336641697878</v>
      </c>
      <c r="I72" s="31" t="n">
        <f aca="false">(Unit_Costs!$Q$37+Assumptions!$D$101)/(1-I$61-Assumptions!$D$97)</f>
        <v>517.780642361111</v>
      </c>
    </row>
    <row r="73" customFormat="false" ht="15" hidden="false" customHeight="false" outlineLevel="0" collapsed="false">
      <c r="A73" s="2" t="s">
        <v>232</v>
      </c>
      <c r="B73" s="31" t="n">
        <f aca="false">(Unit_Costs!$Q$24+Assumptions!$D$101)/(1-B$61-Assumptions!$D$97)</f>
        <v>45.2960810250026</v>
      </c>
      <c r="C73" s="31" t="n">
        <f aca="false">(Unit_Costs!$Q$24+Assumptions!$D$101)/(1-C$61-Assumptions!$D$97)</f>
        <v>61.5896353505431</v>
      </c>
      <c r="D73" s="31" t="n">
        <f aca="false">(Unit_Costs!$Q$24+Assumptions!$D$101)/(1-D$61-Assumptions!$D$97)</f>
        <v>96.1905540868033</v>
      </c>
      <c r="E73" s="31" t="n">
        <f aca="false">(Unit_Costs!$Q$24+Assumptions!$D$101)/(1-E$61-Assumptions!$D$97)</f>
        <v>133.764989276961</v>
      </c>
      <c r="F73" s="31" t="n">
        <f aca="false">(Unit_Costs!$Q$38+Assumptions!$D$101)/(1-F$61-Assumptions!$D$97)</f>
        <v>109.131256613757</v>
      </c>
      <c r="G73" s="31" t="n">
        <f aca="false">(Unit_Costs!$Q$38+Assumptions!$D$101)/(1-G$61-Assumptions!$D$97)</f>
        <v>148.387104316547</v>
      </c>
      <c r="H73" s="31" t="n">
        <f aca="false">(Unit_Costs!$Q$38+Assumptions!$D$101)/(1-H$61-Assumptions!$D$97)</f>
        <v>231.750646067416</v>
      </c>
      <c r="I73" s="31" t="n">
        <f aca="false">(Unit_Costs!$Q$38+Assumptions!$D$101)/(1-I$61-Assumptions!$D$97)</f>
        <v>322.2782421875</v>
      </c>
    </row>
    <row r="74" customFormat="false" ht="15" hidden="false" customHeight="false" outlineLevel="0" collapsed="false">
      <c r="A74" s="2" t="s">
        <v>233</v>
      </c>
      <c r="B74" s="31" t="n">
        <f aca="false">(Unit_Costs!$Q$25+Assumptions!$D$101)/(1-B$61-Assumptions!$D$97)</f>
        <v>43.3707879448075</v>
      </c>
      <c r="C74" s="31" t="n">
        <f aca="false">(Unit_Costs!$Q$25+Assumptions!$D$101)/(1-C$61-Assumptions!$D$97)</f>
        <v>58.971790802652</v>
      </c>
      <c r="D74" s="31" t="n">
        <f aca="false">(Unit_Costs!$Q$25+Assumptions!$D$101)/(1-D$61-Assumptions!$D$97)</f>
        <v>92.1020103547037</v>
      </c>
      <c r="E74" s="31" t="n">
        <f aca="false">(Unit_Costs!$Q$25+Assumptions!$D$101)/(1-E$61-Assumptions!$D$97)</f>
        <v>128.07935814951</v>
      </c>
      <c r="F74" s="31" t="n">
        <f aca="false">(Unit_Costs!$Q$39+Assumptions!$D$101)/(1-F$61-Assumptions!$D$97)</f>
        <v>98.1431437389771</v>
      </c>
      <c r="G74" s="31" t="n">
        <f aca="false">(Unit_Costs!$Q$39+Assumptions!$D$101)/(1-G$61-Assumptions!$D$97)</f>
        <v>133.446432853717</v>
      </c>
      <c r="H74" s="31" t="n">
        <f aca="false">(Unit_Costs!$Q$39+Assumptions!$D$101)/(1-H$61-Assumptions!$D$97)</f>
        <v>208.416338951311</v>
      </c>
      <c r="I74" s="31" t="n">
        <f aca="false">(Unit_Costs!$Q$39+Assumptions!$D$101)/(1-I$61-Assumptions!$D$97)</f>
        <v>289.828971354167</v>
      </c>
    </row>
    <row r="75" customFormat="false" ht="15" hidden="false" customHeight="false" outlineLevel="0" collapsed="false">
      <c r="A75" s="2" t="s">
        <v>234</v>
      </c>
      <c r="B75" s="31" t="n">
        <f aca="false">(Unit_Costs!$Q$26+Assumptions!$D$101)/(1-B$61-Assumptions!$D$97)</f>
        <v>143.800121900612</v>
      </c>
      <c r="C75" s="31" t="n">
        <f aca="false">(Unit_Costs!$Q$26+Assumptions!$D$101)/(1-C$61-Assumptions!$D$97)</f>
        <v>195.526784454789</v>
      </c>
      <c r="D75" s="31" t="n">
        <f aca="false">(Unit_Costs!$Q$26+Assumptions!$D$101)/(1-D$61-Assumptions!$D$97)</f>
        <v>305.373292575457</v>
      </c>
      <c r="E75" s="31" t="n">
        <f aca="false">(Unit_Costs!$Q$26+Assumptions!$D$101)/(1-E$61-Assumptions!$D$97)</f>
        <v>424.659734987745</v>
      </c>
      <c r="F75" s="31" t="n">
        <f aca="false">(Unit_Costs!$Q$40+Assumptions!$D$101)/(1-F$61-Assumptions!$D$97)</f>
        <v>355.971649029982</v>
      </c>
      <c r="G75" s="31" t="n">
        <f aca="false">(Unit_Costs!$Q$40+Assumptions!$D$101)/(1-G$61-Assumptions!$D$97)</f>
        <v>484.019004796163</v>
      </c>
      <c r="H75" s="31" t="n">
        <f aca="false">(Unit_Costs!$Q$40+Assumptions!$D$101)/(1-H$61-Assumptions!$D$97)</f>
        <v>755.939794007491</v>
      </c>
      <c r="I75" s="31" t="n">
        <f aca="false">(Unit_Costs!$Q$40+Assumptions!$D$101)/(1-I$61-Assumptions!$D$97)</f>
        <v>1051.22877604167</v>
      </c>
    </row>
    <row r="76" customFormat="false" ht="15" hidden="false" customHeight="false" outlineLevel="0" collapsed="false">
      <c r="A76" s="2" t="s">
        <v>235</v>
      </c>
      <c r="B76" s="31" t="n">
        <f aca="false">(Unit_Costs!$Q$27+Assumptions!$D$101)/(1-B$61-Assumptions!$D$97)</f>
        <v>302.494636373068</v>
      </c>
      <c r="C76" s="31" t="n">
        <f aca="false">(Unit_Costs!$Q$27+Assumptions!$D$101)/(1-C$61-Assumptions!$D$97)</f>
        <v>411.30565665115</v>
      </c>
      <c r="D76" s="31" t="n">
        <f aca="false">(Unit_Costs!$Q$27+Assumptions!$D$101)/(1-D$61-Assumptions!$D$97)</f>
        <v>642.376250275391</v>
      </c>
      <c r="E76" s="31" t="n">
        <f aca="false">(Unit_Costs!$Q$27+Assumptions!$D$101)/(1-E$61-Assumptions!$D$97)</f>
        <v>893.304473039216</v>
      </c>
      <c r="F76" s="31" t="n">
        <f aca="false">(Unit_Costs!$Q$41+Assumptions!$D$101)/(1-F$61-Assumptions!$D$97)</f>
        <v>683.390648148148</v>
      </c>
      <c r="G76" s="31" t="n">
        <f aca="false">(Unit_Costs!$Q$41+Assumptions!$D$101)/(1-G$61-Assumptions!$D$97)</f>
        <v>929.214622302158</v>
      </c>
      <c r="H76" s="31" t="n">
        <f aca="false">(Unit_Costs!$Q$41+Assumptions!$D$101)/(1-H$61-Assumptions!$D$97)</f>
        <v>1451.24530898876</v>
      </c>
      <c r="I76" s="31" t="n">
        <f aca="false">(Unit_Costs!$Q$41+Assumptions!$D$101)/(1-I$61-Assumptions!$D$97)</f>
        <v>2018.1380078125</v>
      </c>
    </row>
    <row r="77" customFormat="false" ht="15" hidden="false" customHeight="false" outlineLevel="0" collapsed="false">
      <c r="A77" s="2" t="s">
        <v>236</v>
      </c>
      <c r="B77" s="31" t="n">
        <f aca="false">(Unit_Costs!$Q$28+Assumptions!$D$101)/(1-B$61-Assumptions!$D$97)</f>
        <v>2303.71851851852</v>
      </c>
      <c r="C77" s="31" t="n">
        <f aca="false">(Unit_Costs!$Q$28+Assumptions!$D$101)/(1-C$61-Assumptions!$D$97)</f>
        <v>3132.39424460432</v>
      </c>
      <c r="D77" s="31" t="n">
        <f aca="false">(Unit_Costs!$Q$28+Assumptions!$D$101)/(1-D$61-Assumptions!$D$97)</f>
        <v>4892.16629213483</v>
      </c>
      <c r="E77" s="31" t="n">
        <f aca="false">(Unit_Costs!$Q$28+Assumptions!$D$101)/(1-E$61-Assumptions!$D$97)</f>
        <v>6803.16875</v>
      </c>
      <c r="F77" s="31" t="n">
        <f aca="false">(Unit_Costs!$Q$42+Assumptions!$D$101)/(1-F$61-Assumptions!$D$97)</f>
        <v>5055.84709288654</v>
      </c>
      <c r="G77" s="31" t="n">
        <f aca="false">(Unit_Costs!$Q$42+Assumptions!$D$101)/(1-G$61-Assumptions!$D$97)</f>
        <v>6874.49712629896</v>
      </c>
      <c r="H77" s="31" t="n">
        <f aca="false">(Unit_Costs!$Q$42+Assumptions!$D$101)/(1-H$61-Assumptions!$D$97)</f>
        <v>10736.5741635456</v>
      </c>
      <c r="I77" s="31" t="n">
        <f aca="false">(Unit_Costs!$Q$42+Assumptions!$D$101)/(1-I$61-Assumptions!$D$97)</f>
        <v>14930.5484461806</v>
      </c>
    </row>
    <row r="78" customFormat="false" ht="15" hidden="false" customHeight="false" outlineLevel="0" collapsed="false">
      <c r="A78" s="2" t="s">
        <v>237</v>
      </c>
      <c r="B78" s="31" t="n">
        <f aca="false">(Unit_Costs!$Q$29+Assumptions!$D$101)/(1-B$61-Assumptions!$D$97)</f>
        <v>6333.95222533458</v>
      </c>
      <c r="C78" s="31" t="n">
        <f aca="false">(Unit_Costs!$Q$29+Assumptions!$D$101)/(1-C$61-Assumptions!$D$97)</f>
        <v>8612.35230639018</v>
      </c>
      <c r="D78" s="31" t="n">
        <f aca="false">(Unit_Costs!$Q$29+Assumptions!$D$101)/(1-D$61-Assumptions!$D$97)</f>
        <v>13450.7524785195</v>
      </c>
      <c r="E78" s="31" t="n">
        <f aca="false">(Unit_Costs!$Q$29+Assumptions!$D$101)/(1-E$61-Assumptions!$D$97)</f>
        <v>18704.9526654412</v>
      </c>
      <c r="F78" s="31" t="n">
        <f aca="false">(Unit_Costs!$Q$43+Assumptions!$D$101)/(1-F$61-Assumptions!$D$97)</f>
        <v>13789.4067974721</v>
      </c>
      <c r="G78" s="31" t="n">
        <f aca="false">(Unit_Costs!$Q$43+Assumptions!$D$101)/(1-G$61-Assumptions!$D$97)</f>
        <v>18749.625069944</v>
      </c>
      <c r="H78" s="31" t="n">
        <f aca="false">(Unit_Costs!$Q$43+Assumptions!$D$101)/(1-H$61-Assumptions!$D$97)</f>
        <v>29283.1223002497</v>
      </c>
      <c r="I78" s="31" t="n">
        <f aca="false">(Unit_Costs!$Q$43+Assumptions!$D$101)/(1-I$61-Assumptions!$D$97)</f>
        <v>40721.8419487847</v>
      </c>
    </row>
    <row r="79" customFormat="false" ht="15" hidden="false" customHeight="false" outlineLevel="0" collapsed="false">
      <c r="A79" s="2"/>
      <c r="B79" s="2"/>
      <c r="C79" s="2"/>
      <c r="D79" s="2"/>
      <c r="E79" s="2"/>
      <c r="F79" s="2"/>
      <c r="G79" s="2"/>
      <c r="H79" s="2"/>
      <c r="I79" s="2"/>
    </row>
    <row r="80" customFormat="false" ht="31.5" hidden="false" customHeight="true" outlineLevel="0" collapsed="false">
      <c r="A80" s="7" t="s">
        <v>544</v>
      </c>
      <c r="B80" s="7"/>
      <c r="C80" s="7"/>
      <c r="D80" s="7"/>
      <c r="E80" s="7"/>
      <c r="F80" s="7"/>
      <c r="G80" s="7"/>
      <c r="H80" s="7"/>
      <c r="I80" s="7"/>
    </row>
    <row r="81" customFormat="false" ht="31.5" hidden="false" customHeight="true" outlineLevel="0" collapsed="false">
      <c r="A81" s="7" t="s">
        <v>545</v>
      </c>
      <c r="B81" s="7"/>
      <c r="C81" s="7"/>
      <c r="D81" s="7"/>
      <c r="E81" s="7"/>
      <c r="F81" s="7"/>
      <c r="G81" s="7"/>
      <c r="H81" s="7"/>
      <c r="I81" s="7"/>
    </row>
    <row r="82" customFormat="false" ht="31.5" hidden="false" customHeight="true" outlineLevel="0" collapsed="false">
      <c r="A82" s="7" t="s">
        <v>546</v>
      </c>
      <c r="B82" s="7"/>
      <c r="C82" s="7"/>
      <c r="D82" s="7"/>
      <c r="E82" s="7"/>
      <c r="F82" s="7"/>
      <c r="G82" s="7"/>
      <c r="H82" s="7"/>
      <c r="I82" s="7"/>
    </row>
  </sheetData>
  <mergeCells count="3">
    <mergeCell ref="A80:I80"/>
    <mergeCell ref="A81:I81"/>
    <mergeCell ref="A82:I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8" min="3" style="0" width="10.51"/>
  </cols>
  <sheetData>
    <row r="1" customFormat="false" ht="17.35" hidden="false" customHeight="false" outlineLevel="0" collapsed="false">
      <c r="A1" s="1" t="s">
        <v>547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15" hidden="false" customHeight="false" outlineLevel="0" collapsed="false">
      <c r="A3" s="3" t="s">
        <v>548</v>
      </c>
      <c r="B3" s="3" t="s">
        <v>94</v>
      </c>
      <c r="C3" s="38" t="n">
        <v>1</v>
      </c>
      <c r="D3" s="38" t="n">
        <v>2</v>
      </c>
      <c r="E3" s="38" t="n">
        <v>3</v>
      </c>
      <c r="F3" s="38" t="n">
        <v>4</v>
      </c>
      <c r="G3" s="38" t="n">
        <v>5</v>
      </c>
      <c r="H3" s="38" t="n">
        <v>6</v>
      </c>
      <c r="I3" s="38" t="n">
        <v>7</v>
      </c>
      <c r="J3" s="38" t="n">
        <v>8</v>
      </c>
      <c r="K3" s="38" t="n">
        <v>9</v>
      </c>
      <c r="L3" s="38" t="n">
        <v>10</v>
      </c>
      <c r="M3" s="38" t="n">
        <v>11</v>
      </c>
      <c r="N3" s="38" t="n">
        <v>12</v>
      </c>
      <c r="O3" s="38" t="n">
        <v>13</v>
      </c>
      <c r="P3" s="38" t="n">
        <v>14</v>
      </c>
      <c r="Q3" s="38" t="n">
        <v>15</v>
      </c>
      <c r="R3" s="38" t="n">
        <v>16</v>
      </c>
      <c r="S3" s="38" t="n">
        <v>17</v>
      </c>
      <c r="T3" s="38" t="n">
        <v>18</v>
      </c>
      <c r="U3" s="38" t="n">
        <v>19</v>
      </c>
      <c r="V3" s="38" t="n">
        <v>20</v>
      </c>
      <c r="W3" s="38" t="n">
        <v>21</v>
      </c>
      <c r="X3" s="38" t="n">
        <v>22</v>
      </c>
      <c r="Y3" s="38" t="n">
        <v>23</v>
      </c>
      <c r="Z3" s="38" t="n">
        <v>24</v>
      </c>
      <c r="AA3" s="38" t="n">
        <v>25</v>
      </c>
      <c r="AB3" s="38" t="n">
        <v>26</v>
      </c>
      <c r="AC3" s="38" t="n">
        <v>27</v>
      </c>
      <c r="AD3" s="38" t="n">
        <v>28</v>
      </c>
      <c r="AE3" s="38" t="n">
        <v>29</v>
      </c>
      <c r="AF3" s="38" t="n">
        <v>30</v>
      </c>
      <c r="AG3" s="38" t="n">
        <v>31</v>
      </c>
      <c r="AH3" s="38" t="n">
        <v>32</v>
      </c>
      <c r="AI3" s="38" t="n">
        <v>33</v>
      </c>
      <c r="AJ3" s="38" t="n">
        <v>34</v>
      </c>
      <c r="AK3" s="38" t="n">
        <v>35</v>
      </c>
      <c r="AL3" s="38" t="n">
        <v>36</v>
      </c>
    </row>
    <row r="4" customFormat="false" ht="15" hidden="false" customHeight="false" outlineLevel="0" collapsed="false">
      <c r="A4" s="3" t="s">
        <v>549</v>
      </c>
      <c r="B4" s="2"/>
      <c r="C4" s="39" t="str">
        <f aca="false">"Y"&amp;ROUNDUP(C$3/12,0)</f>
        <v>Y1</v>
      </c>
      <c r="D4" s="39" t="str">
        <f aca="false">"Y"&amp;ROUNDUP(D$3/12,0)</f>
        <v>Y1</v>
      </c>
      <c r="E4" s="39" t="str">
        <f aca="false">"Y"&amp;ROUNDUP(E$3/12,0)</f>
        <v>Y1</v>
      </c>
      <c r="F4" s="39" t="str">
        <f aca="false">"Y"&amp;ROUNDUP(F$3/12,0)</f>
        <v>Y1</v>
      </c>
      <c r="G4" s="39" t="str">
        <f aca="false">"Y"&amp;ROUNDUP(G$3/12,0)</f>
        <v>Y1</v>
      </c>
      <c r="H4" s="39" t="str">
        <f aca="false">"Y"&amp;ROUNDUP(H$3/12,0)</f>
        <v>Y1</v>
      </c>
      <c r="I4" s="39" t="str">
        <f aca="false">"Y"&amp;ROUNDUP(I$3/12,0)</f>
        <v>Y1</v>
      </c>
      <c r="J4" s="39" t="str">
        <f aca="false">"Y"&amp;ROUNDUP(J$3/12,0)</f>
        <v>Y1</v>
      </c>
      <c r="K4" s="39" t="str">
        <f aca="false">"Y"&amp;ROUNDUP(K$3/12,0)</f>
        <v>Y1</v>
      </c>
      <c r="L4" s="39" t="str">
        <f aca="false">"Y"&amp;ROUNDUP(L$3/12,0)</f>
        <v>Y1</v>
      </c>
      <c r="M4" s="39" t="str">
        <f aca="false">"Y"&amp;ROUNDUP(M$3/12,0)</f>
        <v>Y1</v>
      </c>
      <c r="N4" s="39" t="str">
        <f aca="false">"Y"&amp;ROUNDUP(N$3/12,0)</f>
        <v>Y1</v>
      </c>
      <c r="O4" s="39" t="str">
        <f aca="false">"Y"&amp;ROUNDUP(O$3/12,0)</f>
        <v>Y2</v>
      </c>
      <c r="P4" s="39" t="str">
        <f aca="false">"Y"&amp;ROUNDUP(P$3/12,0)</f>
        <v>Y2</v>
      </c>
      <c r="Q4" s="39" t="str">
        <f aca="false">"Y"&amp;ROUNDUP(Q$3/12,0)</f>
        <v>Y2</v>
      </c>
      <c r="R4" s="39" t="str">
        <f aca="false">"Y"&amp;ROUNDUP(R$3/12,0)</f>
        <v>Y2</v>
      </c>
      <c r="S4" s="39" t="str">
        <f aca="false">"Y"&amp;ROUNDUP(S$3/12,0)</f>
        <v>Y2</v>
      </c>
      <c r="T4" s="39" t="str">
        <f aca="false">"Y"&amp;ROUNDUP(T$3/12,0)</f>
        <v>Y2</v>
      </c>
      <c r="U4" s="39" t="str">
        <f aca="false">"Y"&amp;ROUNDUP(U$3/12,0)</f>
        <v>Y2</v>
      </c>
      <c r="V4" s="39" t="str">
        <f aca="false">"Y"&amp;ROUNDUP(V$3/12,0)</f>
        <v>Y2</v>
      </c>
      <c r="W4" s="39" t="str">
        <f aca="false">"Y"&amp;ROUNDUP(W$3/12,0)</f>
        <v>Y2</v>
      </c>
      <c r="X4" s="39" t="str">
        <f aca="false">"Y"&amp;ROUNDUP(X$3/12,0)</f>
        <v>Y2</v>
      </c>
      <c r="Y4" s="39" t="str">
        <f aca="false">"Y"&amp;ROUNDUP(Y$3/12,0)</f>
        <v>Y2</v>
      </c>
      <c r="Z4" s="39" t="str">
        <f aca="false">"Y"&amp;ROUNDUP(Z$3/12,0)</f>
        <v>Y2</v>
      </c>
      <c r="AA4" s="39" t="str">
        <f aca="false">"Y"&amp;ROUNDUP(AA$3/12,0)</f>
        <v>Y3</v>
      </c>
      <c r="AB4" s="39" t="str">
        <f aca="false">"Y"&amp;ROUNDUP(AB$3/12,0)</f>
        <v>Y3</v>
      </c>
      <c r="AC4" s="39" t="str">
        <f aca="false">"Y"&amp;ROUNDUP(AC$3/12,0)</f>
        <v>Y3</v>
      </c>
      <c r="AD4" s="39" t="str">
        <f aca="false">"Y"&amp;ROUNDUP(AD$3/12,0)</f>
        <v>Y3</v>
      </c>
      <c r="AE4" s="39" t="str">
        <f aca="false">"Y"&amp;ROUNDUP(AE$3/12,0)</f>
        <v>Y3</v>
      </c>
      <c r="AF4" s="39" t="str">
        <f aca="false">"Y"&amp;ROUNDUP(AF$3/12,0)</f>
        <v>Y3</v>
      </c>
      <c r="AG4" s="39" t="str">
        <f aca="false">"Y"&amp;ROUNDUP(AG$3/12,0)</f>
        <v>Y3</v>
      </c>
      <c r="AH4" s="39" t="str">
        <f aca="false">"Y"&amp;ROUNDUP(AH$3/12,0)</f>
        <v>Y3</v>
      </c>
      <c r="AI4" s="39" t="str">
        <f aca="false">"Y"&amp;ROUNDUP(AI$3/12,0)</f>
        <v>Y3</v>
      </c>
      <c r="AJ4" s="39" t="str">
        <f aca="false">"Y"&amp;ROUNDUP(AJ$3/12,0)</f>
        <v>Y3</v>
      </c>
      <c r="AK4" s="39" t="str">
        <f aca="false">"Y"&amp;ROUNDUP(AK$3/12,0)</f>
        <v>Y3</v>
      </c>
      <c r="AL4" s="39" t="str">
        <f aca="false">"Y"&amp;ROUNDUP(AL$3/12,0)</f>
        <v>Y3</v>
      </c>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row>
    <row r="6" customFormat="false" ht="15" hidden="false" customHeight="false" outlineLevel="0" collapsed="false">
      <c r="A6" s="5" t="s">
        <v>550</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r="7" customFormat="false" ht="15" hidden="false" customHeight="false" outlineLevel="0" collapsed="false">
      <c r="A7" s="2" t="s">
        <v>551</v>
      </c>
      <c r="B7" s="2" t="s">
        <v>552</v>
      </c>
      <c r="C7" s="40" t="n">
        <f aca="false">0</f>
        <v>0</v>
      </c>
      <c r="D7" s="40" t="n">
        <f aca="false">MAX(C7,IF(IF(Assumptions!$B$187="Customers",C36,C43)&gt;=Assumptions!$C$187,1,0))</f>
        <v>0</v>
      </c>
      <c r="E7" s="40" t="n">
        <f aca="false">MAX(D7,IF(IF(Assumptions!$B$187="Customers",D36,D43)&gt;=Assumptions!$C$187,1,0))</f>
        <v>0</v>
      </c>
      <c r="F7" s="40" t="n">
        <f aca="false">MAX(E7,IF(IF(Assumptions!$B$187="Customers",E36,E43)&gt;=Assumptions!$C$187,1,0))</f>
        <v>0</v>
      </c>
      <c r="G7" s="40" t="n">
        <f aca="false">MAX(F7,IF(IF(Assumptions!$B$187="Customers",F36,F43)&gt;=Assumptions!$C$187,1,0))</f>
        <v>0</v>
      </c>
      <c r="H7" s="40" t="n">
        <f aca="false">MAX(G7,IF(IF(Assumptions!$B$187="Customers",G36,G43)&gt;=Assumptions!$C$187,1,0))</f>
        <v>0</v>
      </c>
      <c r="I7" s="40" t="n">
        <f aca="false">MAX(H7,IF(IF(Assumptions!$B$187="Customers",H36,H43)&gt;=Assumptions!$C$187,1,0))</f>
        <v>0</v>
      </c>
      <c r="J7" s="40" t="n">
        <f aca="false">MAX(I7,IF(IF(Assumptions!$B$187="Customers",I36,I43)&gt;=Assumptions!$C$187,1,0))</f>
        <v>0</v>
      </c>
      <c r="K7" s="40" t="n">
        <f aca="false">MAX(J7,IF(IF(Assumptions!$B$187="Customers",J36,J43)&gt;=Assumptions!$C$187,1,0))</f>
        <v>0</v>
      </c>
      <c r="L7" s="40" t="n">
        <f aca="false">MAX(K7,IF(IF(Assumptions!$B$187="Customers",K36,K43)&gt;=Assumptions!$C$187,1,0))</f>
        <v>0</v>
      </c>
      <c r="M7" s="40" t="n">
        <f aca="false">MAX(L7,IF(IF(Assumptions!$B$187="Customers",L36,L43)&gt;=Assumptions!$C$187,1,0))</f>
        <v>0</v>
      </c>
      <c r="N7" s="40" t="n">
        <f aca="false">MAX(M7,IF(IF(Assumptions!$B$187="Customers",M36,M43)&gt;=Assumptions!$C$187,1,0))</f>
        <v>0</v>
      </c>
      <c r="O7" s="40" t="n">
        <f aca="false">MAX(N7,IF(IF(Assumptions!$B$187="Customers",N36,N43)&gt;=Assumptions!$C$187,1,0))</f>
        <v>0</v>
      </c>
      <c r="P7" s="40" t="n">
        <f aca="false">MAX(O7,IF(IF(Assumptions!$B$187="Customers",O36,O43)&gt;=Assumptions!$C$187,1,0))</f>
        <v>0</v>
      </c>
      <c r="Q7" s="40" t="n">
        <f aca="false">MAX(P7,IF(IF(Assumptions!$B$187="Customers",P36,P43)&gt;=Assumptions!$C$187,1,0))</f>
        <v>0</v>
      </c>
      <c r="R7" s="40" t="n">
        <f aca="false">MAX(Q7,IF(IF(Assumptions!$B$187="Customers",Q36,Q43)&gt;=Assumptions!$C$187,1,0))</f>
        <v>0</v>
      </c>
      <c r="S7" s="40" t="n">
        <f aca="false">MAX(R7,IF(IF(Assumptions!$B$187="Customers",R36,R43)&gt;=Assumptions!$C$187,1,0))</f>
        <v>0</v>
      </c>
      <c r="T7" s="40" t="n">
        <f aca="false">MAX(S7,IF(IF(Assumptions!$B$187="Customers",S36,S43)&gt;=Assumptions!$C$187,1,0))</f>
        <v>0</v>
      </c>
      <c r="U7" s="40" t="n">
        <f aca="false">MAX(T7,IF(IF(Assumptions!$B$187="Customers",T36,T43)&gt;=Assumptions!$C$187,1,0))</f>
        <v>0</v>
      </c>
      <c r="V7" s="40" t="n">
        <f aca="false">MAX(U7,IF(IF(Assumptions!$B$187="Customers",U36,U43)&gt;=Assumptions!$C$187,1,0))</f>
        <v>0</v>
      </c>
      <c r="W7" s="40" t="n">
        <f aca="false">MAX(V7,IF(IF(Assumptions!$B$187="Customers",V36,V43)&gt;=Assumptions!$C$187,1,0))</f>
        <v>0</v>
      </c>
      <c r="X7" s="40" t="n">
        <f aca="false">MAX(W7,IF(IF(Assumptions!$B$187="Customers",W36,W43)&gt;=Assumptions!$C$187,1,0))</f>
        <v>1</v>
      </c>
      <c r="Y7" s="40" t="n">
        <f aca="false">MAX(X7,IF(IF(Assumptions!$B$187="Customers",X36,X43)&gt;=Assumptions!$C$187,1,0))</f>
        <v>1</v>
      </c>
      <c r="Z7" s="40" t="n">
        <f aca="false">MAX(Y7,IF(IF(Assumptions!$B$187="Customers",Y36,Y43)&gt;=Assumptions!$C$187,1,0))</f>
        <v>1</v>
      </c>
      <c r="AA7" s="40" t="n">
        <f aca="false">MAX(Z7,IF(IF(Assumptions!$B$187="Customers",Z36,Z43)&gt;=Assumptions!$C$187,1,0))</f>
        <v>1</v>
      </c>
      <c r="AB7" s="40" t="n">
        <f aca="false">MAX(AA7,IF(IF(Assumptions!$B$187="Customers",AA36,AA43)&gt;=Assumptions!$C$187,1,0))</f>
        <v>1</v>
      </c>
      <c r="AC7" s="40" t="n">
        <f aca="false">MAX(AB7,IF(IF(Assumptions!$B$187="Customers",AB36,AB43)&gt;=Assumptions!$C$187,1,0))</f>
        <v>1</v>
      </c>
      <c r="AD7" s="40" t="n">
        <f aca="false">MAX(AC7,IF(IF(Assumptions!$B$187="Customers",AC36,AC43)&gt;=Assumptions!$C$187,1,0))</f>
        <v>1</v>
      </c>
      <c r="AE7" s="40" t="n">
        <f aca="false">MAX(AD7,IF(IF(Assumptions!$B$187="Customers",AD36,AD43)&gt;=Assumptions!$C$187,1,0))</f>
        <v>1</v>
      </c>
      <c r="AF7" s="40" t="n">
        <f aca="false">MAX(AE7,IF(IF(Assumptions!$B$187="Customers",AE36,AE43)&gt;=Assumptions!$C$187,1,0))</f>
        <v>1</v>
      </c>
      <c r="AG7" s="40" t="n">
        <f aca="false">MAX(AF7,IF(IF(Assumptions!$B$187="Customers",AF36,AF43)&gt;=Assumptions!$C$187,1,0))</f>
        <v>1</v>
      </c>
      <c r="AH7" s="40" t="n">
        <f aca="false">MAX(AG7,IF(IF(Assumptions!$B$187="Customers",AG36,AG43)&gt;=Assumptions!$C$187,1,0))</f>
        <v>1</v>
      </c>
      <c r="AI7" s="40" t="n">
        <f aca="false">MAX(AH7,IF(IF(Assumptions!$B$187="Customers",AH36,AH43)&gt;=Assumptions!$C$187,1,0))</f>
        <v>1</v>
      </c>
      <c r="AJ7" s="40" t="n">
        <f aca="false">MAX(AI7,IF(IF(Assumptions!$B$187="Customers",AI36,AI43)&gt;=Assumptions!$C$187,1,0))</f>
        <v>1</v>
      </c>
      <c r="AK7" s="40" t="n">
        <f aca="false">MAX(AJ7,IF(IF(Assumptions!$B$187="Customers",AJ36,AJ43)&gt;=Assumptions!$C$187,1,0))</f>
        <v>1</v>
      </c>
      <c r="AL7" s="40" t="n">
        <f aca="false">MAX(AK7,IF(IF(Assumptions!$B$187="Customers",AK36,AK43)&gt;=Assumptions!$C$187,1,0))</f>
        <v>1</v>
      </c>
    </row>
    <row r="8" customFormat="false" ht="15" hidden="false" customHeight="false" outlineLevel="0" collapsed="false">
      <c r="A8" s="2" t="s">
        <v>553</v>
      </c>
      <c r="B8" s="2" t="s">
        <v>552</v>
      </c>
      <c r="C8" s="40" t="n">
        <f aca="false">0</f>
        <v>0</v>
      </c>
      <c r="D8" s="40" t="n">
        <f aca="false">MAX(C8,IF(IF(Assumptions!$B$188="Customers",C36,C43)&gt;=Assumptions!$C$188,1,0))</f>
        <v>0</v>
      </c>
      <c r="E8" s="40" t="n">
        <f aca="false">MAX(D8,IF(IF(Assumptions!$B$188="Customers",D36,D43)&gt;=Assumptions!$C$188,1,0))</f>
        <v>0</v>
      </c>
      <c r="F8" s="40" t="n">
        <f aca="false">MAX(E8,IF(IF(Assumptions!$B$188="Customers",E36,E43)&gt;=Assumptions!$C$188,1,0))</f>
        <v>0</v>
      </c>
      <c r="G8" s="40" t="n">
        <f aca="false">MAX(F8,IF(IF(Assumptions!$B$188="Customers",F36,F43)&gt;=Assumptions!$C$188,1,0))</f>
        <v>0</v>
      </c>
      <c r="H8" s="40" t="n">
        <f aca="false">MAX(G8,IF(IF(Assumptions!$B$188="Customers",G36,G43)&gt;=Assumptions!$C$188,1,0))</f>
        <v>0</v>
      </c>
      <c r="I8" s="40" t="n">
        <f aca="false">MAX(H8,IF(IF(Assumptions!$B$188="Customers",H36,H43)&gt;=Assumptions!$C$188,1,0))</f>
        <v>0</v>
      </c>
      <c r="J8" s="40" t="n">
        <f aca="false">MAX(I8,IF(IF(Assumptions!$B$188="Customers",I36,I43)&gt;=Assumptions!$C$188,1,0))</f>
        <v>0</v>
      </c>
      <c r="K8" s="40" t="n">
        <f aca="false">MAX(J8,IF(IF(Assumptions!$B$188="Customers",J36,J43)&gt;=Assumptions!$C$188,1,0))</f>
        <v>0</v>
      </c>
      <c r="L8" s="40" t="n">
        <f aca="false">MAX(K8,IF(IF(Assumptions!$B$188="Customers",K36,K43)&gt;=Assumptions!$C$188,1,0))</f>
        <v>0</v>
      </c>
      <c r="M8" s="40" t="n">
        <f aca="false">MAX(L8,IF(IF(Assumptions!$B$188="Customers",L36,L43)&gt;=Assumptions!$C$188,1,0))</f>
        <v>0</v>
      </c>
      <c r="N8" s="40" t="n">
        <f aca="false">MAX(M8,IF(IF(Assumptions!$B$188="Customers",M36,M43)&gt;=Assumptions!$C$188,1,0))</f>
        <v>0</v>
      </c>
      <c r="O8" s="40" t="n">
        <f aca="false">MAX(N8,IF(IF(Assumptions!$B$188="Customers",N36,N43)&gt;=Assumptions!$C$188,1,0))</f>
        <v>0</v>
      </c>
      <c r="P8" s="40" t="n">
        <f aca="false">MAX(O8,IF(IF(Assumptions!$B$188="Customers",O36,O43)&gt;=Assumptions!$C$188,1,0))</f>
        <v>0</v>
      </c>
      <c r="Q8" s="40" t="n">
        <f aca="false">MAX(P8,IF(IF(Assumptions!$B$188="Customers",P36,P43)&gt;=Assumptions!$C$188,1,0))</f>
        <v>0</v>
      </c>
      <c r="R8" s="40" t="n">
        <f aca="false">MAX(Q8,IF(IF(Assumptions!$B$188="Customers",Q36,Q43)&gt;=Assumptions!$C$188,1,0))</f>
        <v>0</v>
      </c>
      <c r="S8" s="40" t="n">
        <f aca="false">MAX(R8,IF(IF(Assumptions!$B$188="Customers",R36,R43)&gt;=Assumptions!$C$188,1,0))</f>
        <v>0</v>
      </c>
      <c r="T8" s="40" t="n">
        <f aca="false">MAX(S8,IF(IF(Assumptions!$B$188="Customers",S36,S43)&gt;=Assumptions!$C$188,1,0))</f>
        <v>0</v>
      </c>
      <c r="U8" s="40" t="n">
        <f aca="false">MAX(T8,IF(IF(Assumptions!$B$188="Customers",T36,T43)&gt;=Assumptions!$C$188,1,0))</f>
        <v>0</v>
      </c>
      <c r="V8" s="40" t="n">
        <f aca="false">MAX(U8,IF(IF(Assumptions!$B$188="Customers",U36,U43)&gt;=Assumptions!$C$188,1,0))</f>
        <v>0</v>
      </c>
      <c r="W8" s="40" t="n">
        <f aca="false">MAX(V8,IF(IF(Assumptions!$B$188="Customers",V36,V43)&gt;=Assumptions!$C$188,1,0))</f>
        <v>0</v>
      </c>
      <c r="X8" s="40" t="n">
        <f aca="false">MAX(W8,IF(IF(Assumptions!$B$188="Customers",W36,W43)&gt;=Assumptions!$C$188,1,0))</f>
        <v>0</v>
      </c>
      <c r="Y8" s="40" t="n">
        <f aca="false">MAX(X8,IF(IF(Assumptions!$B$188="Customers",X36,X43)&gt;=Assumptions!$C$188,1,0))</f>
        <v>0</v>
      </c>
      <c r="Z8" s="40" t="n">
        <f aca="false">MAX(Y8,IF(IF(Assumptions!$B$188="Customers",Y36,Y43)&gt;=Assumptions!$C$188,1,0))</f>
        <v>0</v>
      </c>
      <c r="AA8" s="40" t="n">
        <f aca="false">MAX(Z8,IF(IF(Assumptions!$B$188="Customers",Z36,Z43)&gt;=Assumptions!$C$188,1,0))</f>
        <v>0</v>
      </c>
      <c r="AB8" s="40" t="n">
        <f aca="false">MAX(AA8,IF(IF(Assumptions!$B$188="Customers",AA36,AA43)&gt;=Assumptions!$C$188,1,0))</f>
        <v>0</v>
      </c>
      <c r="AC8" s="40" t="n">
        <f aca="false">MAX(AB8,IF(IF(Assumptions!$B$188="Customers",AB36,AB43)&gt;=Assumptions!$C$188,1,0))</f>
        <v>0</v>
      </c>
      <c r="AD8" s="40" t="n">
        <f aca="false">MAX(AC8,IF(IF(Assumptions!$B$188="Customers",AC36,AC43)&gt;=Assumptions!$C$188,1,0))</f>
        <v>0</v>
      </c>
      <c r="AE8" s="40" t="n">
        <f aca="false">MAX(AD8,IF(IF(Assumptions!$B$188="Customers",AD36,AD43)&gt;=Assumptions!$C$188,1,0))</f>
        <v>0</v>
      </c>
      <c r="AF8" s="40" t="n">
        <f aca="false">MAX(AE8,IF(IF(Assumptions!$B$188="Customers",AE36,AE43)&gt;=Assumptions!$C$188,1,0))</f>
        <v>1</v>
      </c>
      <c r="AG8" s="40" t="n">
        <f aca="false">MAX(AF8,IF(IF(Assumptions!$B$188="Customers",AF36,AF43)&gt;=Assumptions!$C$188,1,0))</f>
        <v>1</v>
      </c>
      <c r="AH8" s="40" t="n">
        <f aca="false">MAX(AG8,IF(IF(Assumptions!$B$188="Customers",AG36,AG43)&gt;=Assumptions!$C$188,1,0))</f>
        <v>1</v>
      </c>
      <c r="AI8" s="40" t="n">
        <f aca="false">MAX(AH8,IF(IF(Assumptions!$B$188="Customers",AH36,AH43)&gt;=Assumptions!$C$188,1,0))</f>
        <v>1</v>
      </c>
      <c r="AJ8" s="40" t="n">
        <f aca="false">MAX(AI8,IF(IF(Assumptions!$B$188="Customers",AI36,AI43)&gt;=Assumptions!$C$188,1,0))</f>
        <v>1</v>
      </c>
      <c r="AK8" s="40" t="n">
        <f aca="false">MAX(AJ8,IF(IF(Assumptions!$B$188="Customers",AJ36,AJ43)&gt;=Assumptions!$C$188,1,0))</f>
        <v>1</v>
      </c>
      <c r="AL8" s="40" t="n">
        <f aca="false">MAX(AK8,IF(IF(Assumptions!$B$188="Customers",AK36,AK43)&gt;=Assumptions!$C$188,1,0))</f>
        <v>1</v>
      </c>
    </row>
    <row r="9" customFormat="false" ht="15" hidden="false" customHeight="false" outlineLevel="0" collapsed="false">
      <c r="A9" s="2" t="s">
        <v>554</v>
      </c>
      <c r="B9" s="2" t="s">
        <v>552</v>
      </c>
      <c r="C9" s="40" t="n">
        <f aca="false">0</f>
        <v>0</v>
      </c>
      <c r="D9" s="40" t="n">
        <f aca="false">MAX(C9,IF(IF(Assumptions!$B$189="Customers",C36,C43)&gt;=Assumptions!$C$189,1,0))</f>
        <v>0</v>
      </c>
      <c r="E9" s="40" t="n">
        <f aca="false">MAX(D9,IF(IF(Assumptions!$B$189="Customers",D36,D43)&gt;=Assumptions!$C$189,1,0))</f>
        <v>0</v>
      </c>
      <c r="F9" s="40" t="n">
        <f aca="false">MAX(E9,IF(IF(Assumptions!$B$189="Customers",E36,E43)&gt;=Assumptions!$C$189,1,0))</f>
        <v>0</v>
      </c>
      <c r="G9" s="40" t="n">
        <f aca="false">MAX(F9,IF(IF(Assumptions!$B$189="Customers",F36,F43)&gt;=Assumptions!$C$189,1,0))</f>
        <v>0</v>
      </c>
      <c r="H9" s="40" t="n">
        <f aca="false">MAX(G9,IF(IF(Assumptions!$B$189="Customers",G36,G43)&gt;=Assumptions!$C$189,1,0))</f>
        <v>0</v>
      </c>
      <c r="I9" s="40" t="n">
        <f aca="false">MAX(H9,IF(IF(Assumptions!$B$189="Customers",H36,H43)&gt;=Assumptions!$C$189,1,0))</f>
        <v>0</v>
      </c>
      <c r="J9" s="40" t="n">
        <f aca="false">MAX(I9,IF(IF(Assumptions!$B$189="Customers",I36,I43)&gt;=Assumptions!$C$189,1,0))</f>
        <v>0</v>
      </c>
      <c r="K9" s="40" t="n">
        <f aca="false">MAX(J9,IF(IF(Assumptions!$B$189="Customers",J36,J43)&gt;=Assumptions!$C$189,1,0))</f>
        <v>0</v>
      </c>
      <c r="L9" s="40" t="n">
        <f aca="false">MAX(K9,IF(IF(Assumptions!$B$189="Customers",K36,K43)&gt;=Assumptions!$C$189,1,0))</f>
        <v>0</v>
      </c>
      <c r="M9" s="40" t="n">
        <f aca="false">MAX(L9,IF(IF(Assumptions!$B$189="Customers",L36,L43)&gt;=Assumptions!$C$189,1,0))</f>
        <v>0</v>
      </c>
      <c r="N9" s="40" t="n">
        <f aca="false">MAX(M9,IF(IF(Assumptions!$B$189="Customers",M36,M43)&gt;=Assumptions!$C$189,1,0))</f>
        <v>0</v>
      </c>
      <c r="O9" s="40" t="n">
        <f aca="false">MAX(N9,IF(IF(Assumptions!$B$189="Customers",N36,N43)&gt;=Assumptions!$C$189,1,0))</f>
        <v>0</v>
      </c>
      <c r="P9" s="40" t="n">
        <f aca="false">MAX(O9,IF(IF(Assumptions!$B$189="Customers",O36,O43)&gt;=Assumptions!$C$189,1,0))</f>
        <v>0</v>
      </c>
      <c r="Q9" s="40" t="n">
        <f aca="false">MAX(P9,IF(IF(Assumptions!$B$189="Customers",P36,P43)&gt;=Assumptions!$C$189,1,0))</f>
        <v>0</v>
      </c>
      <c r="R9" s="40" t="n">
        <f aca="false">MAX(Q9,IF(IF(Assumptions!$B$189="Customers",Q36,Q43)&gt;=Assumptions!$C$189,1,0))</f>
        <v>0</v>
      </c>
      <c r="S9" s="40" t="n">
        <f aca="false">MAX(R9,IF(IF(Assumptions!$B$189="Customers",R36,R43)&gt;=Assumptions!$C$189,1,0))</f>
        <v>0</v>
      </c>
      <c r="T9" s="40" t="n">
        <f aca="false">MAX(S9,IF(IF(Assumptions!$B$189="Customers",S36,S43)&gt;=Assumptions!$C$189,1,0))</f>
        <v>0</v>
      </c>
      <c r="U9" s="40" t="n">
        <f aca="false">MAX(T9,IF(IF(Assumptions!$B$189="Customers",T36,T43)&gt;=Assumptions!$C$189,1,0))</f>
        <v>0</v>
      </c>
      <c r="V9" s="40" t="n">
        <f aca="false">MAX(U9,IF(IF(Assumptions!$B$189="Customers",U36,U43)&gt;=Assumptions!$C$189,1,0))</f>
        <v>0</v>
      </c>
      <c r="W9" s="40" t="n">
        <f aca="false">MAX(V9,IF(IF(Assumptions!$B$189="Customers",V36,V43)&gt;=Assumptions!$C$189,1,0))</f>
        <v>0</v>
      </c>
      <c r="X9" s="40" t="n">
        <f aca="false">MAX(W9,IF(IF(Assumptions!$B$189="Customers",W36,W43)&gt;=Assumptions!$C$189,1,0))</f>
        <v>0</v>
      </c>
      <c r="Y9" s="40" t="n">
        <f aca="false">MAX(X9,IF(IF(Assumptions!$B$189="Customers",X36,X43)&gt;=Assumptions!$C$189,1,0))</f>
        <v>0</v>
      </c>
      <c r="Z9" s="40" t="n">
        <f aca="false">MAX(Y9,IF(IF(Assumptions!$B$189="Customers",Y36,Y43)&gt;=Assumptions!$C$189,1,0))</f>
        <v>0</v>
      </c>
      <c r="AA9" s="40" t="n">
        <f aca="false">MAX(Z9,IF(IF(Assumptions!$B$189="Customers",Z36,Z43)&gt;=Assumptions!$C$189,1,0))</f>
        <v>0</v>
      </c>
      <c r="AB9" s="40" t="n">
        <f aca="false">MAX(AA9,IF(IF(Assumptions!$B$189="Customers",AA36,AA43)&gt;=Assumptions!$C$189,1,0))</f>
        <v>0</v>
      </c>
      <c r="AC9" s="40" t="n">
        <f aca="false">MAX(AB9,IF(IF(Assumptions!$B$189="Customers",AB36,AB43)&gt;=Assumptions!$C$189,1,0))</f>
        <v>0</v>
      </c>
      <c r="AD9" s="40" t="n">
        <f aca="false">MAX(AC9,IF(IF(Assumptions!$B$189="Customers",AC36,AC43)&gt;=Assumptions!$C$189,1,0))</f>
        <v>0</v>
      </c>
      <c r="AE9" s="40" t="n">
        <f aca="false">MAX(AD9,IF(IF(Assumptions!$B$189="Customers",AD36,AD43)&gt;=Assumptions!$C$189,1,0))</f>
        <v>0</v>
      </c>
      <c r="AF9" s="40" t="n">
        <f aca="false">MAX(AE9,IF(IF(Assumptions!$B$189="Customers",AE36,AE43)&gt;=Assumptions!$C$189,1,0))</f>
        <v>0</v>
      </c>
      <c r="AG9" s="40" t="n">
        <f aca="false">MAX(AF9,IF(IF(Assumptions!$B$189="Customers",AF36,AF43)&gt;=Assumptions!$C$189,1,0))</f>
        <v>0</v>
      </c>
      <c r="AH9" s="40" t="n">
        <f aca="false">MAX(AG9,IF(IF(Assumptions!$B$189="Customers",AG36,AG43)&gt;=Assumptions!$C$189,1,0))</f>
        <v>0</v>
      </c>
      <c r="AI9" s="40" t="n">
        <f aca="false">MAX(AH9,IF(IF(Assumptions!$B$189="Customers",AH36,AH43)&gt;=Assumptions!$C$189,1,0))</f>
        <v>0</v>
      </c>
      <c r="AJ9" s="40" t="n">
        <f aca="false">MAX(AI9,IF(IF(Assumptions!$B$189="Customers",AI36,AI43)&gt;=Assumptions!$C$189,1,0))</f>
        <v>0</v>
      </c>
      <c r="AK9" s="40" t="n">
        <f aca="false">MAX(AJ9,IF(IF(Assumptions!$B$189="Customers",AJ36,AJ43)&gt;=Assumptions!$C$189,1,0))</f>
        <v>0</v>
      </c>
      <c r="AL9" s="40" t="n">
        <f aca="false">MAX(AK9,IF(IF(Assumptions!$B$189="Customers",AK36,AK43)&gt;=Assumptions!$C$189,1,0))</f>
        <v>0</v>
      </c>
    </row>
    <row r="10" customFormat="false" ht="15" hidden="false" customHeight="false" outlineLevel="0" collapsed="false">
      <c r="A10" s="2" t="s">
        <v>555</v>
      </c>
      <c r="B10" s="2" t="s">
        <v>552</v>
      </c>
      <c r="C10" s="40" t="n">
        <f aca="false">0</f>
        <v>0</v>
      </c>
      <c r="D10" s="40" t="n">
        <f aca="false">MAX(C10,IF(IF(Assumptions!$B$190="Customers",C36,C43)&gt;=Assumptions!$C$190,1,0))</f>
        <v>0</v>
      </c>
      <c r="E10" s="40" t="n">
        <f aca="false">MAX(D10,IF(IF(Assumptions!$B$190="Customers",D36,D43)&gt;=Assumptions!$C$190,1,0))</f>
        <v>0</v>
      </c>
      <c r="F10" s="40" t="n">
        <f aca="false">MAX(E10,IF(IF(Assumptions!$B$190="Customers",E36,E43)&gt;=Assumptions!$C$190,1,0))</f>
        <v>0</v>
      </c>
      <c r="G10" s="40" t="n">
        <f aca="false">MAX(F10,IF(IF(Assumptions!$B$190="Customers",F36,F43)&gt;=Assumptions!$C$190,1,0))</f>
        <v>0</v>
      </c>
      <c r="H10" s="40" t="n">
        <f aca="false">MAX(G10,IF(IF(Assumptions!$B$190="Customers",G36,G43)&gt;=Assumptions!$C$190,1,0))</f>
        <v>0</v>
      </c>
      <c r="I10" s="40" t="n">
        <f aca="false">MAX(H10,IF(IF(Assumptions!$B$190="Customers",H36,H43)&gt;=Assumptions!$C$190,1,0))</f>
        <v>0</v>
      </c>
      <c r="J10" s="40" t="n">
        <f aca="false">MAX(I10,IF(IF(Assumptions!$B$190="Customers",I36,I43)&gt;=Assumptions!$C$190,1,0))</f>
        <v>0</v>
      </c>
      <c r="K10" s="40" t="n">
        <f aca="false">MAX(J10,IF(IF(Assumptions!$B$190="Customers",J36,J43)&gt;=Assumptions!$C$190,1,0))</f>
        <v>0</v>
      </c>
      <c r="L10" s="40" t="n">
        <f aca="false">MAX(K10,IF(IF(Assumptions!$B$190="Customers",K36,K43)&gt;=Assumptions!$C$190,1,0))</f>
        <v>0</v>
      </c>
      <c r="M10" s="40" t="n">
        <f aca="false">MAX(L10,IF(IF(Assumptions!$B$190="Customers",L36,L43)&gt;=Assumptions!$C$190,1,0))</f>
        <v>0</v>
      </c>
      <c r="N10" s="40" t="n">
        <f aca="false">MAX(M10,IF(IF(Assumptions!$B$190="Customers",M36,M43)&gt;=Assumptions!$C$190,1,0))</f>
        <v>0</v>
      </c>
      <c r="O10" s="40" t="n">
        <f aca="false">MAX(N10,IF(IF(Assumptions!$B$190="Customers",N36,N43)&gt;=Assumptions!$C$190,1,0))</f>
        <v>0</v>
      </c>
      <c r="P10" s="40" t="n">
        <f aca="false">MAX(O10,IF(IF(Assumptions!$B$190="Customers",O36,O43)&gt;=Assumptions!$C$190,1,0))</f>
        <v>0</v>
      </c>
      <c r="Q10" s="40" t="n">
        <f aca="false">MAX(P10,IF(IF(Assumptions!$B$190="Customers",P36,P43)&gt;=Assumptions!$C$190,1,0))</f>
        <v>0</v>
      </c>
      <c r="R10" s="40" t="n">
        <f aca="false">MAX(Q10,IF(IF(Assumptions!$B$190="Customers",Q36,Q43)&gt;=Assumptions!$C$190,1,0))</f>
        <v>0</v>
      </c>
      <c r="S10" s="40" t="n">
        <f aca="false">MAX(R10,IF(IF(Assumptions!$B$190="Customers",R36,R43)&gt;=Assumptions!$C$190,1,0))</f>
        <v>0</v>
      </c>
      <c r="T10" s="40" t="n">
        <f aca="false">MAX(S10,IF(IF(Assumptions!$B$190="Customers",S36,S43)&gt;=Assumptions!$C$190,1,0))</f>
        <v>0</v>
      </c>
      <c r="U10" s="40" t="n">
        <f aca="false">MAX(T10,IF(IF(Assumptions!$B$190="Customers",T36,T43)&gt;=Assumptions!$C$190,1,0))</f>
        <v>0</v>
      </c>
      <c r="V10" s="40" t="n">
        <f aca="false">MAX(U10,IF(IF(Assumptions!$B$190="Customers",U36,U43)&gt;=Assumptions!$C$190,1,0))</f>
        <v>0</v>
      </c>
      <c r="W10" s="40" t="n">
        <f aca="false">MAX(V10,IF(IF(Assumptions!$B$190="Customers",V36,V43)&gt;=Assumptions!$C$190,1,0))</f>
        <v>0</v>
      </c>
      <c r="X10" s="40" t="n">
        <f aca="false">MAX(W10,IF(IF(Assumptions!$B$190="Customers",W36,W43)&gt;=Assumptions!$C$190,1,0))</f>
        <v>0</v>
      </c>
      <c r="Y10" s="40" t="n">
        <f aca="false">MAX(X10,IF(IF(Assumptions!$B$190="Customers",X36,X43)&gt;=Assumptions!$C$190,1,0))</f>
        <v>0</v>
      </c>
      <c r="Z10" s="40" t="n">
        <f aca="false">MAX(Y10,IF(IF(Assumptions!$B$190="Customers",Y36,Y43)&gt;=Assumptions!$C$190,1,0))</f>
        <v>0</v>
      </c>
      <c r="AA10" s="40" t="n">
        <f aca="false">MAX(Z10,IF(IF(Assumptions!$B$190="Customers",Z36,Z43)&gt;=Assumptions!$C$190,1,0))</f>
        <v>0</v>
      </c>
      <c r="AB10" s="40" t="n">
        <f aca="false">MAX(AA10,IF(IF(Assumptions!$B$190="Customers",AA36,AA43)&gt;=Assumptions!$C$190,1,0))</f>
        <v>0</v>
      </c>
      <c r="AC10" s="40" t="n">
        <f aca="false">MAX(AB10,IF(IF(Assumptions!$B$190="Customers",AB36,AB43)&gt;=Assumptions!$C$190,1,0))</f>
        <v>0</v>
      </c>
      <c r="AD10" s="40" t="n">
        <f aca="false">MAX(AC10,IF(IF(Assumptions!$B$190="Customers",AC36,AC43)&gt;=Assumptions!$C$190,1,0))</f>
        <v>0</v>
      </c>
      <c r="AE10" s="40" t="n">
        <f aca="false">MAX(AD10,IF(IF(Assumptions!$B$190="Customers",AD36,AD43)&gt;=Assumptions!$C$190,1,0))</f>
        <v>0</v>
      </c>
      <c r="AF10" s="40" t="n">
        <f aca="false">MAX(AE10,IF(IF(Assumptions!$B$190="Customers",AE36,AE43)&gt;=Assumptions!$C$190,1,0))</f>
        <v>0</v>
      </c>
      <c r="AG10" s="40" t="n">
        <f aca="false">MAX(AF10,IF(IF(Assumptions!$B$190="Customers",AF36,AF43)&gt;=Assumptions!$C$190,1,0))</f>
        <v>0</v>
      </c>
      <c r="AH10" s="40" t="n">
        <f aca="false">MAX(AG10,IF(IF(Assumptions!$B$190="Customers",AG36,AG43)&gt;=Assumptions!$C$190,1,0))</f>
        <v>0</v>
      </c>
      <c r="AI10" s="40" t="n">
        <f aca="false">MAX(AH10,IF(IF(Assumptions!$B$190="Customers",AH36,AH43)&gt;=Assumptions!$C$190,1,0))</f>
        <v>0</v>
      </c>
      <c r="AJ10" s="40" t="n">
        <f aca="false">MAX(AI10,IF(IF(Assumptions!$B$190="Customers",AI36,AI43)&gt;=Assumptions!$C$190,1,0))</f>
        <v>0</v>
      </c>
      <c r="AK10" s="40" t="n">
        <f aca="false">MAX(AJ10,IF(IF(Assumptions!$B$190="Customers",AJ36,AJ43)&gt;=Assumptions!$C$190,1,0))</f>
        <v>0</v>
      </c>
      <c r="AL10" s="40" t="n">
        <f aca="false">MAX(AK10,IF(IF(Assumptions!$B$190="Customers",AK36,AK43)&gt;=Assumptions!$C$190,1,0))</f>
        <v>0</v>
      </c>
    </row>
    <row r="11" customFormat="false" ht="15" hidden="false" customHeight="false" outlineLevel="0" collapsed="false">
      <c r="A11" s="2" t="s">
        <v>556</v>
      </c>
      <c r="B11" s="2" t="s">
        <v>552</v>
      </c>
      <c r="C11" s="40" t="n">
        <f aca="false">0</f>
        <v>0</v>
      </c>
      <c r="D11" s="40" t="n">
        <f aca="false">MAX(C11,IF(IF(Assumptions!$B$191="Customers",C36,C43)&gt;=Assumptions!$C$191,1,0))</f>
        <v>0</v>
      </c>
      <c r="E11" s="40" t="n">
        <f aca="false">MAX(D11,IF(IF(Assumptions!$B$191="Customers",D36,D43)&gt;=Assumptions!$C$191,1,0))</f>
        <v>0</v>
      </c>
      <c r="F11" s="40" t="n">
        <f aca="false">MAX(E11,IF(IF(Assumptions!$B$191="Customers",E36,E43)&gt;=Assumptions!$C$191,1,0))</f>
        <v>0</v>
      </c>
      <c r="G11" s="40" t="n">
        <f aca="false">MAX(F11,IF(IF(Assumptions!$B$191="Customers",F36,F43)&gt;=Assumptions!$C$191,1,0))</f>
        <v>0</v>
      </c>
      <c r="H11" s="40" t="n">
        <f aca="false">MAX(G11,IF(IF(Assumptions!$B$191="Customers",G36,G43)&gt;=Assumptions!$C$191,1,0))</f>
        <v>0</v>
      </c>
      <c r="I11" s="40" t="n">
        <f aca="false">MAX(H11,IF(IF(Assumptions!$B$191="Customers",H36,H43)&gt;=Assumptions!$C$191,1,0))</f>
        <v>0</v>
      </c>
      <c r="J11" s="40" t="n">
        <f aca="false">MAX(I11,IF(IF(Assumptions!$B$191="Customers",I36,I43)&gt;=Assumptions!$C$191,1,0))</f>
        <v>0</v>
      </c>
      <c r="K11" s="40" t="n">
        <f aca="false">MAX(J11,IF(IF(Assumptions!$B$191="Customers",J36,J43)&gt;=Assumptions!$C$191,1,0))</f>
        <v>0</v>
      </c>
      <c r="L11" s="40" t="n">
        <f aca="false">MAX(K11,IF(IF(Assumptions!$B$191="Customers",K36,K43)&gt;=Assumptions!$C$191,1,0))</f>
        <v>0</v>
      </c>
      <c r="M11" s="40" t="n">
        <f aca="false">MAX(L11,IF(IF(Assumptions!$B$191="Customers",L36,L43)&gt;=Assumptions!$C$191,1,0))</f>
        <v>0</v>
      </c>
      <c r="N11" s="40" t="n">
        <f aca="false">MAX(M11,IF(IF(Assumptions!$B$191="Customers",M36,M43)&gt;=Assumptions!$C$191,1,0))</f>
        <v>0</v>
      </c>
      <c r="O11" s="40" t="n">
        <f aca="false">MAX(N11,IF(IF(Assumptions!$B$191="Customers",N36,N43)&gt;=Assumptions!$C$191,1,0))</f>
        <v>0</v>
      </c>
      <c r="P11" s="40" t="n">
        <f aca="false">MAX(O11,IF(IF(Assumptions!$B$191="Customers",O36,O43)&gt;=Assumptions!$C$191,1,0))</f>
        <v>0</v>
      </c>
      <c r="Q11" s="40" t="n">
        <f aca="false">MAX(P11,IF(IF(Assumptions!$B$191="Customers",P36,P43)&gt;=Assumptions!$C$191,1,0))</f>
        <v>0</v>
      </c>
      <c r="R11" s="40" t="n">
        <f aca="false">MAX(Q11,IF(IF(Assumptions!$B$191="Customers",Q36,Q43)&gt;=Assumptions!$C$191,1,0))</f>
        <v>0</v>
      </c>
      <c r="S11" s="40" t="n">
        <f aca="false">MAX(R11,IF(IF(Assumptions!$B$191="Customers",R36,R43)&gt;=Assumptions!$C$191,1,0))</f>
        <v>0</v>
      </c>
      <c r="T11" s="40" t="n">
        <f aca="false">MAX(S11,IF(IF(Assumptions!$B$191="Customers",S36,S43)&gt;=Assumptions!$C$191,1,0))</f>
        <v>0</v>
      </c>
      <c r="U11" s="40" t="n">
        <f aca="false">MAX(T11,IF(IF(Assumptions!$B$191="Customers",T36,T43)&gt;=Assumptions!$C$191,1,0))</f>
        <v>0</v>
      </c>
      <c r="V11" s="40" t="n">
        <f aca="false">MAX(U11,IF(IF(Assumptions!$B$191="Customers",U36,U43)&gt;=Assumptions!$C$191,1,0))</f>
        <v>0</v>
      </c>
      <c r="W11" s="40" t="n">
        <f aca="false">MAX(V11,IF(IF(Assumptions!$B$191="Customers",V36,V43)&gt;=Assumptions!$C$191,1,0))</f>
        <v>0</v>
      </c>
      <c r="X11" s="40" t="n">
        <f aca="false">MAX(W11,IF(IF(Assumptions!$B$191="Customers",W36,W43)&gt;=Assumptions!$C$191,1,0))</f>
        <v>0</v>
      </c>
      <c r="Y11" s="40" t="n">
        <f aca="false">MAX(X11,IF(IF(Assumptions!$B$191="Customers",X36,X43)&gt;=Assumptions!$C$191,1,0))</f>
        <v>0</v>
      </c>
      <c r="Z11" s="40" t="n">
        <f aca="false">MAX(Y11,IF(IF(Assumptions!$B$191="Customers",Y36,Y43)&gt;=Assumptions!$C$191,1,0))</f>
        <v>0</v>
      </c>
      <c r="AA11" s="40" t="n">
        <f aca="false">MAX(Z11,IF(IF(Assumptions!$B$191="Customers",Z36,Z43)&gt;=Assumptions!$C$191,1,0))</f>
        <v>0</v>
      </c>
      <c r="AB11" s="40" t="n">
        <f aca="false">MAX(AA11,IF(IF(Assumptions!$B$191="Customers",AA36,AA43)&gt;=Assumptions!$C$191,1,0))</f>
        <v>0</v>
      </c>
      <c r="AC11" s="40" t="n">
        <f aca="false">MAX(AB11,IF(IF(Assumptions!$B$191="Customers",AB36,AB43)&gt;=Assumptions!$C$191,1,0))</f>
        <v>0</v>
      </c>
      <c r="AD11" s="40" t="n">
        <f aca="false">MAX(AC11,IF(IF(Assumptions!$B$191="Customers",AC36,AC43)&gt;=Assumptions!$C$191,1,0))</f>
        <v>0</v>
      </c>
      <c r="AE11" s="40" t="n">
        <f aca="false">MAX(AD11,IF(IF(Assumptions!$B$191="Customers",AD36,AD43)&gt;=Assumptions!$C$191,1,0))</f>
        <v>0</v>
      </c>
      <c r="AF11" s="40" t="n">
        <f aca="false">MAX(AE11,IF(IF(Assumptions!$B$191="Customers",AE36,AE43)&gt;=Assumptions!$C$191,1,0))</f>
        <v>0</v>
      </c>
      <c r="AG11" s="40" t="n">
        <f aca="false">MAX(AF11,IF(IF(Assumptions!$B$191="Customers",AF36,AF43)&gt;=Assumptions!$C$191,1,0))</f>
        <v>0</v>
      </c>
      <c r="AH11" s="40" t="n">
        <f aca="false">MAX(AG11,IF(IF(Assumptions!$B$191="Customers",AG36,AG43)&gt;=Assumptions!$C$191,1,0))</f>
        <v>0</v>
      </c>
      <c r="AI11" s="40" t="n">
        <f aca="false">MAX(AH11,IF(IF(Assumptions!$B$191="Customers",AH36,AH43)&gt;=Assumptions!$C$191,1,0))</f>
        <v>0</v>
      </c>
      <c r="AJ11" s="40" t="n">
        <f aca="false">MAX(AI11,IF(IF(Assumptions!$B$191="Customers",AI36,AI43)&gt;=Assumptions!$C$191,1,0))</f>
        <v>0</v>
      </c>
      <c r="AK11" s="40" t="n">
        <f aca="false">MAX(AJ11,IF(IF(Assumptions!$B$191="Customers",AJ36,AJ43)&gt;=Assumptions!$C$191,1,0))</f>
        <v>0</v>
      </c>
      <c r="AL11" s="40" t="n">
        <f aca="false">MAX(AK11,IF(IF(Assumptions!$B$191="Customers",AK36,AK43)&gt;=Assumptions!$C$191,1,0))</f>
        <v>0</v>
      </c>
    </row>
    <row r="12" customFormat="false" ht="15" hidden="false" customHeight="false" outlineLevel="0" collapsed="false">
      <c r="A12" s="2" t="s">
        <v>557</v>
      </c>
      <c r="B12" s="2" t="s">
        <v>552</v>
      </c>
      <c r="C12" s="40" t="n">
        <f aca="false">0</f>
        <v>0</v>
      </c>
      <c r="D12" s="40" t="n">
        <f aca="false">MAX(C12,IF(IF(Assumptions!$B$192="Customers",C36,C43)&gt;=Assumptions!$C$192,1,0))</f>
        <v>0</v>
      </c>
      <c r="E12" s="40" t="n">
        <f aca="false">MAX(D12,IF(IF(Assumptions!$B$192="Customers",D36,D43)&gt;=Assumptions!$C$192,1,0))</f>
        <v>0</v>
      </c>
      <c r="F12" s="40" t="n">
        <f aca="false">MAX(E12,IF(IF(Assumptions!$B$192="Customers",E36,E43)&gt;=Assumptions!$C$192,1,0))</f>
        <v>0</v>
      </c>
      <c r="G12" s="40" t="n">
        <f aca="false">MAX(F12,IF(IF(Assumptions!$B$192="Customers",F36,F43)&gt;=Assumptions!$C$192,1,0))</f>
        <v>0</v>
      </c>
      <c r="H12" s="40" t="n">
        <f aca="false">MAX(G12,IF(IF(Assumptions!$B$192="Customers",G36,G43)&gt;=Assumptions!$C$192,1,0))</f>
        <v>0</v>
      </c>
      <c r="I12" s="40" t="n">
        <f aca="false">MAX(H12,IF(IF(Assumptions!$B$192="Customers",H36,H43)&gt;=Assumptions!$C$192,1,0))</f>
        <v>0</v>
      </c>
      <c r="J12" s="40" t="n">
        <f aca="false">MAX(I12,IF(IF(Assumptions!$B$192="Customers",I36,I43)&gt;=Assumptions!$C$192,1,0))</f>
        <v>0</v>
      </c>
      <c r="K12" s="40" t="n">
        <f aca="false">MAX(J12,IF(IF(Assumptions!$B$192="Customers",J36,J43)&gt;=Assumptions!$C$192,1,0))</f>
        <v>0</v>
      </c>
      <c r="L12" s="40" t="n">
        <f aca="false">MAX(K12,IF(IF(Assumptions!$B$192="Customers",K36,K43)&gt;=Assumptions!$C$192,1,0))</f>
        <v>0</v>
      </c>
      <c r="M12" s="40" t="n">
        <f aca="false">MAX(L12,IF(IF(Assumptions!$B$192="Customers",L36,L43)&gt;=Assumptions!$C$192,1,0))</f>
        <v>0</v>
      </c>
      <c r="N12" s="40" t="n">
        <f aca="false">MAX(M12,IF(IF(Assumptions!$B$192="Customers",M36,M43)&gt;=Assumptions!$C$192,1,0))</f>
        <v>0</v>
      </c>
      <c r="O12" s="40" t="n">
        <f aca="false">MAX(N12,IF(IF(Assumptions!$B$192="Customers",N36,N43)&gt;=Assumptions!$C$192,1,0))</f>
        <v>0</v>
      </c>
      <c r="P12" s="40" t="n">
        <f aca="false">MAX(O12,IF(IF(Assumptions!$B$192="Customers",O36,O43)&gt;=Assumptions!$C$192,1,0))</f>
        <v>0</v>
      </c>
      <c r="Q12" s="40" t="n">
        <f aca="false">MAX(P12,IF(IF(Assumptions!$B$192="Customers",P36,P43)&gt;=Assumptions!$C$192,1,0))</f>
        <v>0</v>
      </c>
      <c r="R12" s="40" t="n">
        <f aca="false">MAX(Q12,IF(IF(Assumptions!$B$192="Customers",Q36,Q43)&gt;=Assumptions!$C$192,1,0))</f>
        <v>0</v>
      </c>
      <c r="S12" s="40" t="n">
        <f aca="false">MAX(R12,IF(IF(Assumptions!$B$192="Customers",R36,R43)&gt;=Assumptions!$C$192,1,0))</f>
        <v>0</v>
      </c>
      <c r="T12" s="40" t="n">
        <f aca="false">MAX(S12,IF(IF(Assumptions!$B$192="Customers",S36,S43)&gt;=Assumptions!$C$192,1,0))</f>
        <v>0</v>
      </c>
      <c r="U12" s="40" t="n">
        <f aca="false">MAX(T12,IF(IF(Assumptions!$B$192="Customers",T36,T43)&gt;=Assumptions!$C$192,1,0))</f>
        <v>0</v>
      </c>
      <c r="V12" s="40" t="n">
        <f aca="false">MAX(U12,IF(IF(Assumptions!$B$192="Customers",U36,U43)&gt;=Assumptions!$C$192,1,0))</f>
        <v>0</v>
      </c>
      <c r="W12" s="40" t="n">
        <f aca="false">MAX(V12,IF(IF(Assumptions!$B$192="Customers",V36,V43)&gt;=Assumptions!$C$192,1,0))</f>
        <v>0</v>
      </c>
      <c r="X12" s="40" t="n">
        <f aca="false">MAX(W12,IF(IF(Assumptions!$B$192="Customers",W36,W43)&gt;=Assumptions!$C$192,1,0))</f>
        <v>0</v>
      </c>
      <c r="Y12" s="40" t="n">
        <f aca="false">MAX(X12,IF(IF(Assumptions!$B$192="Customers",X36,X43)&gt;=Assumptions!$C$192,1,0))</f>
        <v>0</v>
      </c>
      <c r="Z12" s="40" t="n">
        <f aca="false">MAX(Y12,IF(IF(Assumptions!$B$192="Customers",Y36,Y43)&gt;=Assumptions!$C$192,1,0))</f>
        <v>0</v>
      </c>
      <c r="AA12" s="40" t="n">
        <f aca="false">MAX(Z12,IF(IF(Assumptions!$B$192="Customers",Z36,Z43)&gt;=Assumptions!$C$192,1,0))</f>
        <v>0</v>
      </c>
      <c r="AB12" s="40" t="n">
        <f aca="false">MAX(AA12,IF(IF(Assumptions!$B$192="Customers",AA36,AA43)&gt;=Assumptions!$C$192,1,0))</f>
        <v>0</v>
      </c>
      <c r="AC12" s="40" t="n">
        <f aca="false">MAX(AB12,IF(IF(Assumptions!$B$192="Customers",AB36,AB43)&gt;=Assumptions!$C$192,1,0))</f>
        <v>0</v>
      </c>
      <c r="AD12" s="40" t="n">
        <f aca="false">MAX(AC12,IF(IF(Assumptions!$B$192="Customers",AC36,AC43)&gt;=Assumptions!$C$192,1,0))</f>
        <v>0</v>
      </c>
      <c r="AE12" s="40" t="n">
        <f aca="false">MAX(AD12,IF(IF(Assumptions!$B$192="Customers",AD36,AD43)&gt;=Assumptions!$C$192,1,0))</f>
        <v>0</v>
      </c>
      <c r="AF12" s="40" t="n">
        <f aca="false">MAX(AE12,IF(IF(Assumptions!$B$192="Customers",AE36,AE43)&gt;=Assumptions!$C$192,1,0))</f>
        <v>0</v>
      </c>
      <c r="AG12" s="40" t="n">
        <f aca="false">MAX(AF12,IF(IF(Assumptions!$B$192="Customers",AF36,AF43)&gt;=Assumptions!$C$192,1,0))</f>
        <v>0</v>
      </c>
      <c r="AH12" s="40" t="n">
        <f aca="false">MAX(AG12,IF(IF(Assumptions!$B$192="Customers",AG36,AG43)&gt;=Assumptions!$C$192,1,0))</f>
        <v>0</v>
      </c>
      <c r="AI12" s="40" t="n">
        <f aca="false">MAX(AH12,IF(IF(Assumptions!$B$192="Customers",AH36,AH43)&gt;=Assumptions!$C$192,1,0))</f>
        <v>0</v>
      </c>
      <c r="AJ12" s="40" t="n">
        <f aca="false">MAX(AI12,IF(IF(Assumptions!$B$192="Customers",AI36,AI43)&gt;=Assumptions!$C$192,1,0))</f>
        <v>0</v>
      </c>
      <c r="AK12" s="40" t="n">
        <f aca="false">MAX(AJ12,IF(IF(Assumptions!$B$192="Customers",AJ36,AJ43)&gt;=Assumptions!$C$192,1,0))</f>
        <v>0</v>
      </c>
      <c r="AL12" s="40" t="n">
        <f aca="false">MAX(AK12,IF(IF(Assumptions!$B$192="Customers",AK36,AK43)&gt;=Assumptions!$C$192,1,0))</f>
        <v>0</v>
      </c>
    </row>
    <row r="13" customFormat="false" ht="15" hidden="false" customHeight="false" outlineLevel="0" collapsed="false">
      <c r="A13" s="2" t="s">
        <v>558</v>
      </c>
      <c r="B13" s="2" t="s">
        <v>552</v>
      </c>
      <c r="C13" s="40" t="n">
        <f aca="false">0</f>
        <v>0</v>
      </c>
      <c r="D13" s="40" t="n">
        <f aca="false">MAX(C13,IF(IF(Assumptions!$B$193="Customers",C36,C43)&gt;=Assumptions!$C$193,1,0))</f>
        <v>0</v>
      </c>
      <c r="E13" s="40" t="n">
        <f aca="false">MAX(D13,IF(IF(Assumptions!$B$193="Customers",D36,D43)&gt;=Assumptions!$C$193,1,0))</f>
        <v>0</v>
      </c>
      <c r="F13" s="40" t="n">
        <f aca="false">MAX(E13,IF(IF(Assumptions!$B$193="Customers",E36,E43)&gt;=Assumptions!$C$193,1,0))</f>
        <v>0</v>
      </c>
      <c r="G13" s="40" t="n">
        <f aca="false">MAX(F13,IF(IF(Assumptions!$B$193="Customers",F36,F43)&gt;=Assumptions!$C$193,1,0))</f>
        <v>0</v>
      </c>
      <c r="H13" s="40" t="n">
        <f aca="false">MAX(G13,IF(IF(Assumptions!$B$193="Customers",G36,G43)&gt;=Assumptions!$C$193,1,0))</f>
        <v>0</v>
      </c>
      <c r="I13" s="40" t="n">
        <f aca="false">MAX(H13,IF(IF(Assumptions!$B$193="Customers",H36,H43)&gt;=Assumptions!$C$193,1,0))</f>
        <v>0</v>
      </c>
      <c r="J13" s="40" t="n">
        <f aca="false">MAX(I13,IF(IF(Assumptions!$B$193="Customers",I36,I43)&gt;=Assumptions!$C$193,1,0))</f>
        <v>0</v>
      </c>
      <c r="K13" s="40" t="n">
        <f aca="false">MAX(J13,IF(IF(Assumptions!$B$193="Customers",J36,J43)&gt;=Assumptions!$C$193,1,0))</f>
        <v>0</v>
      </c>
      <c r="L13" s="40" t="n">
        <f aca="false">MAX(K13,IF(IF(Assumptions!$B$193="Customers",K36,K43)&gt;=Assumptions!$C$193,1,0))</f>
        <v>0</v>
      </c>
      <c r="M13" s="40" t="n">
        <f aca="false">MAX(L13,IF(IF(Assumptions!$B$193="Customers",L36,L43)&gt;=Assumptions!$C$193,1,0))</f>
        <v>0</v>
      </c>
      <c r="N13" s="40" t="n">
        <f aca="false">MAX(M13,IF(IF(Assumptions!$B$193="Customers",M36,M43)&gt;=Assumptions!$C$193,1,0))</f>
        <v>0</v>
      </c>
      <c r="O13" s="40" t="n">
        <f aca="false">MAX(N13,IF(IF(Assumptions!$B$193="Customers",N36,N43)&gt;=Assumptions!$C$193,1,0))</f>
        <v>0</v>
      </c>
      <c r="P13" s="40" t="n">
        <f aca="false">MAX(O13,IF(IF(Assumptions!$B$193="Customers",O36,O43)&gt;=Assumptions!$C$193,1,0))</f>
        <v>0</v>
      </c>
      <c r="Q13" s="40" t="n">
        <f aca="false">MAX(P13,IF(IF(Assumptions!$B$193="Customers",P36,P43)&gt;=Assumptions!$C$193,1,0))</f>
        <v>0</v>
      </c>
      <c r="R13" s="40" t="n">
        <f aca="false">MAX(Q13,IF(IF(Assumptions!$B$193="Customers",Q36,Q43)&gt;=Assumptions!$C$193,1,0))</f>
        <v>0</v>
      </c>
      <c r="S13" s="40" t="n">
        <f aca="false">MAX(R13,IF(IF(Assumptions!$B$193="Customers",R36,R43)&gt;=Assumptions!$C$193,1,0))</f>
        <v>0</v>
      </c>
      <c r="T13" s="40" t="n">
        <f aca="false">MAX(S13,IF(IF(Assumptions!$B$193="Customers",S36,S43)&gt;=Assumptions!$C$193,1,0))</f>
        <v>0</v>
      </c>
      <c r="U13" s="40" t="n">
        <f aca="false">MAX(T13,IF(IF(Assumptions!$B$193="Customers",T36,T43)&gt;=Assumptions!$C$193,1,0))</f>
        <v>0</v>
      </c>
      <c r="V13" s="40" t="n">
        <f aca="false">MAX(U13,IF(IF(Assumptions!$B$193="Customers",U36,U43)&gt;=Assumptions!$C$193,1,0))</f>
        <v>0</v>
      </c>
      <c r="W13" s="40" t="n">
        <f aca="false">MAX(V13,IF(IF(Assumptions!$B$193="Customers",V36,V43)&gt;=Assumptions!$C$193,1,0))</f>
        <v>0</v>
      </c>
      <c r="X13" s="40" t="n">
        <f aca="false">MAX(W13,IF(IF(Assumptions!$B$193="Customers",W36,W43)&gt;=Assumptions!$C$193,1,0))</f>
        <v>0</v>
      </c>
      <c r="Y13" s="40" t="n">
        <f aca="false">MAX(X13,IF(IF(Assumptions!$B$193="Customers",X36,X43)&gt;=Assumptions!$C$193,1,0))</f>
        <v>0</v>
      </c>
      <c r="Z13" s="40" t="n">
        <f aca="false">MAX(Y13,IF(IF(Assumptions!$B$193="Customers",Y36,Y43)&gt;=Assumptions!$C$193,1,0))</f>
        <v>0</v>
      </c>
      <c r="AA13" s="40" t="n">
        <f aca="false">MAX(Z13,IF(IF(Assumptions!$B$193="Customers",Z36,Z43)&gt;=Assumptions!$C$193,1,0))</f>
        <v>0</v>
      </c>
      <c r="AB13" s="40" t="n">
        <f aca="false">MAX(AA13,IF(IF(Assumptions!$B$193="Customers",AA36,AA43)&gt;=Assumptions!$C$193,1,0))</f>
        <v>0</v>
      </c>
      <c r="AC13" s="40" t="n">
        <f aca="false">MAX(AB13,IF(IF(Assumptions!$B$193="Customers",AB36,AB43)&gt;=Assumptions!$C$193,1,0))</f>
        <v>0</v>
      </c>
      <c r="AD13" s="40" t="n">
        <f aca="false">MAX(AC13,IF(IF(Assumptions!$B$193="Customers",AC36,AC43)&gt;=Assumptions!$C$193,1,0))</f>
        <v>0</v>
      </c>
      <c r="AE13" s="40" t="n">
        <f aca="false">MAX(AD13,IF(IF(Assumptions!$B$193="Customers",AD36,AD43)&gt;=Assumptions!$C$193,1,0))</f>
        <v>0</v>
      </c>
      <c r="AF13" s="40" t="n">
        <f aca="false">MAX(AE13,IF(IF(Assumptions!$B$193="Customers",AE36,AE43)&gt;=Assumptions!$C$193,1,0))</f>
        <v>0</v>
      </c>
      <c r="AG13" s="40" t="n">
        <f aca="false">MAX(AF13,IF(IF(Assumptions!$B$193="Customers",AF36,AF43)&gt;=Assumptions!$C$193,1,0))</f>
        <v>0</v>
      </c>
      <c r="AH13" s="40" t="n">
        <f aca="false">MAX(AG13,IF(IF(Assumptions!$B$193="Customers",AG36,AG43)&gt;=Assumptions!$C$193,1,0))</f>
        <v>0</v>
      </c>
      <c r="AI13" s="40" t="n">
        <f aca="false">MAX(AH13,IF(IF(Assumptions!$B$193="Customers",AH36,AH43)&gt;=Assumptions!$C$193,1,0))</f>
        <v>0</v>
      </c>
      <c r="AJ13" s="40" t="n">
        <f aca="false">MAX(AI13,IF(IF(Assumptions!$B$193="Customers",AI36,AI43)&gt;=Assumptions!$C$193,1,0))</f>
        <v>0</v>
      </c>
      <c r="AK13" s="40" t="n">
        <f aca="false">MAX(AJ13,IF(IF(Assumptions!$B$193="Customers",AJ36,AJ43)&gt;=Assumptions!$C$193,1,0))</f>
        <v>0</v>
      </c>
      <c r="AL13" s="40" t="n">
        <f aca="false">MAX(AK13,IF(IF(Assumptions!$B$193="Customers",AK36,AK43)&gt;=Assumptions!$C$193,1,0))</f>
        <v>0</v>
      </c>
    </row>
    <row r="14" customFormat="false" ht="15" hidden="false" customHeight="false" outlineLevel="0" collapsed="false">
      <c r="A14" s="2" t="s">
        <v>559</v>
      </c>
      <c r="B14" s="2" t="s">
        <v>552</v>
      </c>
      <c r="C14" s="40" t="n">
        <f aca="false">0</f>
        <v>0</v>
      </c>
      <c r="D14" s="40" t="n">
        <f aca="false">MAX(C14,IF(IF(Assumptions!$B$194="Customers",C36,C43)&gt;=Assumptions!$C$194,1,0))</f>
        <v>0</v>
      </c>
      <c r="E14" s="40" t="n">
        <f aca="false">MAX(D14,IF(IF(Assumptions!$B$194="Customers",D36,D43)&gt;=Assumptions!$C$194,1,0))</f>
        <v>0</v>
      </c>
      <c r="F14" s="40" t="n">
        <f aca="false">MAX(E14,IF(IF(Assumptions!$B$194="Customers",E36,E43)&gt;=Assumptions!$C$194,1,0))</f>
        <v>0</v>
      </c>
      <c r="G14" s="40" t="n">
        <f aca="false">MAX(F14,IF(IF(Assumptions!$B$194="Customers",F36,F43)&gt;=Assumptions!$C$194,1,0))</f>
        <v>0</v>
      </c>
      <c r="H14" s="40" t="n">
        <f aca="false">MAX(G14,IF(IF(Assumptions!$B$194="Customers",G36,G43)&gt;=Assumptions!$C$194,1,0))</f>
        <v>0</v>
      </c>
      <c r="I14" s="40" t="n">
        <f aca="false">MAX(H14,IF(IF(Assumptions!$B$194="Customers",H36,H43)&gt;=Assumptions!$C$194,1,0))</f>
        <v>0</v>
      </c>
      <c r="J14" s="40" t="n">
        <f aca="false">MAX(I14,IF(IF(Assumptions!$B$194="Customers",I36,I43)&gt;=Assumptions!$C$194,1,0))</f>
        <v>0</v>
      </c>
      <c r="K14" s="40" t="n">
        <f aca="false">MAX(J14,IF(IF(Assumptions!$B$194="Customers",J36,J43)&gt;=Assumptions!$C$194,1,0))</f>
        <v>0</v>
      </c>
      <c r="L14" s="40" t="n">
        <f aca="false">MAX(K14,IF(IF(Assumptions!$B$194="Customers",K36,K43)&gt;=Assumptions!$C$194,1,0))</f>
        <v>0</v>
      </c>
      <c r="M14" s="40" t="n">
        <f aca="false">MAX(L14,IF(IF(Assumptions!$B$194="Customers",L36,L43)&gt;=Assumptions!$C$194,1,0))</f>
        <v>0</v>
      </c>
      <c r="N14" s="40" t="n">
        <f aca="false">MAX(M14,IF(IF(Assumptions!$B$194="Customers",M36,M43)&gt;=Assumptions!$C$194,1,0))</f>
        <v>0</v>
      </c>
      <c r="O14" s="40" t="n">
        <f aca="false">MAX(N14,IF(IF(Assumptions!$B$194="Customers",N36,N43)&gt;=Assumptions!$C$194,1,0))</f>
        <v>0</v>
      </c>
      <c r="P14" s="40" t="n">
        <f aca="false">MAX(O14,IF(IF(Assumptions!$B$194="Customers",O36,O43)&gt;=Assumptions!$C$194,1,0))</f>
        <v>0</v>
      </c>
      <c r="Q14" s="40" t="n">
        <f aca="false">MAX(P14,IF(IF(Assumptions!$B$194="Customers",P36,P43)&gt;=Assumptions!$C$194,1,0))</f>
        <v>0</v>
      </c>
      <c r="R14" s="40" t="n">
        <f aca="false">MAX(Q14,IF(IF(Assumptions!$B$194="Customers",Q36,Q43)&gt;=Assumptions!$C$194,1,0))</f>
        <v>0</v>
      </c>
      <c r="S14" s="40" t="n">
        <f aca="false">MAX(R14,IF(IF(Assumptions!$B$194="Customers",R36,R43)&gt;=Assumptions!$C$194,1,0))</f>
        <v>0</v>
      </c>
      <c r="T14" s="40" t="n">
        <f aca="false">MAX(S14,IF(IF(Assumptions!$B$194="Customers",S36,S43)&gt;=Assumptions!$C$194,1,0))</f>
        <v>0</v>
      </c>
      <c r="U14" s="40" t="n">
        <f aca="false">MAX(T14,IF(IF(Assumptions!$B$194="Customers",T36,T43)&gt;=Assumptions!$C$194,1,0))</f>
        <v>0</v>
      </c>
      <c r="V14" s="40" t="n">
        <f aca="false">MAX(U14,IF(IF(Assumptions!$B$194="Customers",U36,U43)&gt;=Assumptions!$C$194,1,0))</f>
        <v>0</v>
      </c>
      <c r="W14" s="40" t="n">
        <f aca="false">MAX(V14,IF(IF(Assumptions!$B$194="Customers",V36,V43)&gt;=Assumptions!$C$194,1,0))</f>
        <v>0</v>
      </c>
      <c r="X14" s="40" t="n">
        <f aca="false">MAX(W14,IF(IF(Assumptions!$B$194="Customers",W36,W43)&gt;=Assumptions!$C$194,1,0))</f>
        <v>0</v>
      </c>
      <c r="Y14" s="40" t="n">
        <f aca="false">MAX(X14,IF(IF(Assumptions!$B$194="Customers",X36,X43)&gt;=Assumptions!$C$194,1,0))</f>
        <v>0</v>
      </c>
      <c r="Z14" s="40" t="n">
        <f aca="false">MAX(Y14,IF(IF(Assumptions!$B$194="Customers",Y36,Y43)&gt;=Assumptions!$C$194,1,0))</f>
        <v>0</v>
      </c>
      <c r="AA14" s="40" t="n">
        <f aca="false">MAX(Z14,IF(IF(Assumptions!$B$194="Customers",Z36,Z43)&gt;=Assumptions!$C$194,1,0))</f>
        <v>0</v>
      </c>
      <c r="AB14" s="40" t="n">
        <f aca="false">MAX(AA14,IF(IF(Assumptions!$B$194="Customers",AA36,AA43)&gt;=Assumptions!$C$194,1,0))</f>
        <v>0</v>
      </c>
      <c r="AC14" s="40" t="n">
        <f aca="false">MAX(AB14,IF(IF(Assumptions!$B$194="Customers",AB36,AB43)&gt;=Assumptions!$C$194,1,0))</f>
        <v>0</v>
      </c>
      <c r="AD14" s="40" t="n">
        <f aca="false">MAX(AC14,IF(IF(Assumptions!$B$194="Customers",AC36,AC43)&gt;=Assumptions!$C$194,1,0))</f>
        <v>0</v>
      </c>
      <c r="AE14" s="40" t="n">
        <f aca="false">MAX(AD14,IF(IF(Assumptions!$B$194="Customers",AD36,AD43)&gt;=Assumptions!$C$194,1,0))</f>
        <v>0</v>
      </c>
      <c r="AF14" s="40" t="n">
        <f aca="false">MAX(AE14,IF(IF(Assumptions!$B$194="Customers",AE36,AE43)&gt;=Assumptions!$C$194,1,0))</f>
        <v>0</v>
      </c>
      <c r="AG14" s="40" t="n">
        <f aca="false">MAX(AF14,IF(IF(Assumptions!$B$194="Customers",AF36,AF43)&gt;=Assumptions!$C$194,1,0))</f>
        <v>0</v>
      </c>
      <c r="AH14" s="40" t="n">
        <f aca="false">MAX(AG14,IF(IF(Assumptions!$B$194="Customers",AG36,AG43)&gt;=Assumptions!$C$194,1,0))</f>
        <v>0</v>
      </c>
      <c r="AI14" s="40" t="n">
        <f aca="false">MAX(AH14,IF(IF(Assumptions!$B$194="Customers",AH36,AH43)&gt;=Assumptions!$C$194,1,0))</f>
        <v>0</v>
      </c>
      <c r="AJ14" s="40" t="n">
        <f aca="false">MAX(AI14,IF(IF(Assumptions!$B$194="Customers",AI36,AI43)&gt;=Assumptions!$C$194,1,0))</f>
        <v>0</v>
      </c>
      <c r="AK14" s="40" t="n">
        <f aca="false">MAX(AJ14,IF(IF(Assumptions!$B$194="Customers",AJ36,AJ43)&gt;=Assumptions!$C$194,1,0))</f>
        <v>0</v>
      </c>
      <c r="AL14" s="40" t="n">
        <f aca="false">MAX(AK14,IF(IF(Assumptions!$B$194="Customers",AK36,AK43)&gt;=Assumptions!$C$194,1,0))</f>
        <v>0</v>
      </c>
    </row>
    <row r="15" customFormat="false" ht="15" hidden="false" customHeight="false" outlineLevel="0" collapsed="false">
      <c r="A15" s="2" t="s">
        <v>560</v>
      </c>
      <c r="B15" s="2" t="s">
        <v>552</v>
      </c>
      <c r="C15" s="40" t="n">
        <f aca="false">0</f>
        <v>0</v>
      </c>
      <c r="D15" s="40" t="n">
        <f aca="false">MAX(C15,IF(IF(Assumptions!$B$195="Customers",C36,C43)&gt;=Assumptions!$C$195,1,0))</f>
        <v>0</v>
      </c>
      <c r="E15" s="40" t="n">
        <f aca="false">MAX(D15,IF(IF(Assumptions!$B$195="Customers",D36,D43)&gt;=Assumptions!$C$195,1,0))</f>
        <v>0</v>
      </c>
      <c r="F15" s="40" t="n">
        <f aca="false">MAX(E15,IF(IF(Assumptions!$B$195="Customers",E36,E43)&gt;=Assumptions!$C$195,1,0))</f>
        <v>0</v>
      </c>
      <c r="G15" s="40" t="n">
        <f aca="false">MAX(F15,IF(IF(Assumptions!$B$195="Customers",F36,F43)&gt;=Assumptions!$C$195,1,0))</f>
        <v>0</v>
      </c>
      <c r="H15" s="40" t="n">
        <f aca="false">MAX(G15,IF(IF(Assumptions!$B$195="Customers",G36,G43)&gt;=Assumptions!$C$195,1,0))</f>
        <v>0</v>
      </c>
      <c r="I15" s="40" t="n">
        <f aca="false">MAX(H15,IF(IF(Assumptions!$B$195="Customers",H36,H43)&gt;=Assumptions!$C$195,1,0))</f>
        <v>0</v>
      </c>
      <c r="J15" s="40" t="n">
        <f aca="false">MAX(I15,IF(IF(Assumptions!$B$195="Customers",I36,I43)&gt;=Assumptions!$C$195,1,0))</f>
        <v>0</v>
      </c>
      <c r="K15" s="40" t="n">
        <f aca="false">MAX(J15,IF(IF(Assumptions!$B$195="Customers",J36,J43)&gt;=Assumptions!$C$195,1,0))</f>
        <v>0</v>
      </c>
      <c r="L15" s="40" t="n">
        <f aca="false">MAX(K15,IF(IF(Assumptions!$B$195="Customers",K36,K43)&gt;=Assumptions!$C$195,1,0))</f>
        <v>0</v>
      </c>
      <c r="M15" s="40" t="n">
        <f aca="false">MAX(L15,IF(IF(Assumptions!$B$195="Customers",L36,L43)&gt;=Assumptions!$C$195,1,0))</f>
        <v>0</v>
      </c>
      <c r="N15" s="40" t="n">
        <f aca="false">MAX(M15,IF(IF(Assumptions!$B$195="Customers",M36,M43)&gt;=Assumptions!$C$195,1,0))</f>
        <v>0</v>
      </c>
      <c r="O15" s="40" t="n">
        <f aca="false">MAX(N15,IF(IF(Assumptions!$B$195="Customers",N36,N43)&gt;=Assumptions!$C$195,1,0))</f>
        <v>0</v>
      </c>
      <c r="P15" s="40" t="n">
        <f aca="false">MAX(O15,IF(IF(Assumptions!$B$195="Customers",O36,O43)&gt;=Assumptions!$C$195,1,0))</f>
        <v>0</v>
      </c>
      <c r="Q15" s="40" t="n">
        <f aca="false">MAX(P15,IF(IF(Assumptions!$B$195="Customers",P36,P43)&gt;=Assumptions!$C$195,1,0))</f>
        <v>0</v>
      </c>
      <c r="R15" s="40" t="n">
        <f aca="false">MAX(Q15,IF(IF(Assumptions!$B$195="Customers",Q36,Q43)&gt;=Assumptions!$C$195,1,0))</f>
        <v>0</v>
      </c>
      <c r="S15" s="40" t="n">
        <f aca="false">MAX(R15,IF(IF(Assumptions!$B$195="Customers",R36,R43)&gt;=Assumptions!$C$195,1,0))</f>
        <v>0</v>
      </c>
      <c r="T15" s="40" t="n">
        <f aca="false">MAX(S15,IF(IF(Assumptions!$B$195="Customers",S36,S43)&gt;=Assumptions!$C$195,1,0))</f>
        <v>0</v>
      </c>
      <c r="U15" s="40" t="n">
        <f aca="false">MAX(T15,IF(IF(Assumptions!$B$195="Customers",T36,T43)&gt;=Assumptions!$C$195,1,0))</f>
        <v>0</v>
      </c>
      <c r="V15" s="40" t="n">
        <f aca="false">MAX(U15,IF(IF(Assumptions!$B$195="Customers",U36,U43)&gt;=Assumptions!$C$195,1,0))</f>
        <v>0</v>
      </c>
      <c r="W15" s="40" t="n">
        <f aca="false">MAX(V15,IF(IF(Assumptions!$B$195="Customers",V36,V43)&gt;=Assumptions!$C$195,1,0))</f>
        <v>0</v>
      </c>
      <c r="X15" s="40" t="n">
        <f aca="false">MAX(W15,IF(IF(Assumptions!$B$195="Customers",W36,W43)&gt;=Assumptions!$C$195,1,0))</f>
        <v>0</v>
      </c>
      <c r="Y15" s="40" t="n">
        <f aca="false">MAX(X15,IF(IF(Assumptions!$B$195="Customers",X36,X43)&gt;=Assumptions!$C$195,1,0))</f>
        <v>0</v>
      </c>
      <c r="Z15" s="40" t="n">
        <f aca="false">MAX(Y15,IF(IF(Assumptions!$B$195="Customers",Y36,Y43)&gt;=Assumptions!$C$195,1,0))</f>
        <v>0</v>
      </c>
      <c r="AA15" s="40" t="n">
        <f aca="false">MAX(Z15,IF(IF(Assumptions!$B$195="Customers",Z36,Z43)&gt;=Assumptions!$C$195,1,0))</f>
        <v>0</v>
      </c>
      <c r="AB15" s="40" t="n">
        <f aca="false">MAX(AA15,IF(IF(Assumptions!$B$195="Customers",AA36,AA43)&gt;=Assumptions!$C$195,1,0))</f>
        <v>0</v>
      </c>
      <c r="AC15" s="40" t="n">
        <f aca="false">MAX(AB15,IF(IF(Assumptions!$B$195="Customers",AB36,AB43)&gt;=Assumptions!$C$195,1,0))</f>
        <v>0</v>
      </c>
      <c r="AD15" s="40" t="n">
        <f aca="false">MAX(AC15,IF(IF(Assumptions!$B$195="Customers",AC36,AC43)&gt;=Assumptions!$C$195,1,0))</f>
        <v>0</v>
      </c>
      <c r="AE15" s="40" t="n">
        <f aca="false">MAX(AD15,IF(IF(Assumptions!$B$195="Customers",AD36,AD43)&gt;=Assumptions!$C$195,1,0))</f>
        <v>0</v>
      </c>
      <c r="AF15" s="40" t="n">
        <f aca="false">MAX(AE15,IF(IF(Assumptions!$B$195="Customers",AE36,AE43)&gt;=Assumptions!$C$195,1,0))</f>
        <v>0</v>
      </c>
      <c r="AG15" s="40" t="n">
        <f aca="false">MAX(AF15,IF(IF(Assumptions!$B$195="Customers",AF36,AF43)&gt;=Assumptions!$C$195,1,0))</f>
        <v>0</v>
      </c>
      <c r="AH15" s="40" t="n">
        <f aca="false">MAX(AG15,IF(IF(Assumptions!$B$195="Customers",AG36,AG43)&gt;=Assumptions!$C$195,1,0))</f>
        <v>0</v>
      </c>
      <c r="AI15" s="40" t="n">
        <f aca="false">MAX(AH15,IF(IF(Assumptions!$B$195="Customers",AH36,AH43)&gt;=Assumptions!$C$195,1,0))</f>
        <v>0</v>
      </c>
      <c r="AJ15" s="40" t="n">
        <f aca="false">MAX(AI15,IF(IF(Assumptions!$B$195="Customers",AI36,AI43)&gt;=Assumptions!$C$195,1,0))</f>
        <v>0</v>
      </c>
      <c r="AK15" s="40" t="n">
        <f aca="false">MAX(AJ15,IF(IF(Assumptions!$B$195="Customers",AJ36,AJ43)&gt;=Assumptions!$C$195,1,0))</f>
        <v>0</v>
      </c>
      <c r="AL15" s="40" t="n">
        <f aca="false">MAX(AK15,IF(IF(Assumptions!$B$195="Customers",AK36,AK43)&gt;=Assumptions!$C$195,1,0))</f>
        <v>0</v>
      </c>
    </row>
    <row r="16" customFormat="false" ht="15" hidden="false" customHeight="false" outlineLevel="0" collapsed="false">
      <c r="A16" s="2" t="s">
        <v>561</v>
      </c>
      <c r="B16" s="2" t="s">
        <v>552</v>
      </c>
      <c r="C16" s="40" t="n">
        <f aca="false">0</f>
        <v>0</v>
      </c>
      <c r="D16" s="40" t="n">
        <f aca="false">MAX(C16,IF(IF(Assumptions!$B$196="Customers",C36,C43)&gt;=Assumptions!$C$196,1,0))</f>
        <v>0</v>
      </c>
      <c r="E16" s="40" t="n">
        <f aca="false">MAX(D16,IF(IF(Assumptions!$B$196="Customers",D36,D43)&gt;=Assumptions!$C$196,1,0))</f>
        <v>0</v>
      </c>
      <c r="F16" s="40" t="n">
        <f aca="false">MAX(E16,IF(IF(Assumptions!$B$196="Customers",E36,E43)&gt;=Assumptions!$C$196,1,0))</f>
        <v>0</v>
      </c>
      <c r="G16" s="40" t="n">
        <f aca="false">MAX(F16,IF(IF(Assumptions!$B$196="Customers",F36,F43)&gt;=Assumptions!$C$196,1,0))</f>
        <v>0</v>
      </c>
      <c r="H16" s="40" t="n">
        <f aca="false">MAX(G16,IF(IF(Assumptions!$B$196="Customers",G36,G43)&gt;=Assumptions!$C$196,1,0))</f>
        <v>0</v>
      </c>
      <c r="I16" s="40" t="n">
        <f aca="false">MAX(H16,IF(IF(Assumptions!$B$196="Customers",H36,H43)&gt;=Assumptions!$C$196,1,0))</f>
        <v>0</v>
      </c>
      <c r="J16" s="40" t="n">
        <f aca="false">MAX(I16,IF(IF(Assumptions!$B$196="Customers",I36,I43)&gt;=Assumptions!$C$196,1,0))</f>
        <v>0</v>
      </c>
      <c r="K16" s="40" t="n">
        <f aca="false">MAX(J16,IF(IF(Assumptions!$B$196="Customers",J36,J43)&gt;=Assumptions!$C$196,1,0))</f>
        <v>0</v>
      </c>
      <c r="L16" s="40" t="n">
        <f aca="false">MAX(K16,IF(IF(Assumptions!$B$196="Customers",K36,K43)&gt;=Assumptions!$C$196,1,0))</f>
        <v>0</v>
      </c>
      <c r="M16" s="40" t="n">
        <f aca="false">MAX(L16,IF(IF(Assumptions!$B$196="Customers",L36,L43)&gt;=Assumptions!$C$196,1,0))</f>
        <v>0</v>
      </c>
      <c r="N16" s="40" t="n">
        <f aca="false">MAX(M16,IF(IF(Assumptions!$B$196="Customers",M36,M43)&gt;=Assumptions!$C$196,1,0))</f>
        <v>0</v>
      </c>
      <c r="O16" s="40" t="n">
        <f aca="false">MAX(N16,IF(IF(Assumptions!$B$196="Customers",N36,N43)&gt;=Assumptions!$C$196,1,0))</f>
        <v>0</v>
      </c>
      <c r="P16" s="40" t="n">
        <f aca="false">MAX(O16,IF(IF(Assumptions!$B$196="Customers",O36,O43)&gt;=Assumptions!$C$196,1,0))</f>
        <v>0</v>
      </c>
      <c r="Q16" s="40" t="n">
        <f aca="false">MAX(P16,IF(IF(Assumptions!$B$196="Customers",P36,P43)&gt;=Assumptions!$C$196,1,0))</f>
        <v>0</v>
      </c>
      <c r="R16" s="40" t="n">
        <f aca="false">MAX(Q16,IF(IF(Assumptions!$B$196="Customers",Q36,Q43)&gt;=Assumptions!$C$196,1,0))</f>
        <v>0</v>
      </c>
      <c r="S16" s="40" t="n">
        <f aca="false">MAX(R16,IF(IF(Assumptions!$B$196="Customers",R36,R43)&gt;=Assumptions!$C$196,1,0))</f>
        <v>0</v>
      </c>
      <c r="T16" s="40" t="n">
        <f aca="false">MAX(S16,IF(IF(Assumptions!$B$196="Customers",S36,S43)&gt;=Assumptions!$C$196,1,0))</f>
        <v>0</v>
      </c>
      <c r="U16" s="40" t="n">
        <f aca="false">MAX(T16,IF(IF(Assumptions!$B$196="Customers",T36,T43)&gt;=Assumptions!$C$196,1,0))</f>
        <v>0</v>
      </c>
      <c r="V16" s="40" t="n">
        <f aca="false">MAX(U16,IF(IF(Assumptions!$B$196="Customers",U36,U43)&gt;=Assumptions!$C$196,1,0))</f>
        <v>0</v>
      </c>
      <c r="W16" s="40" t="n">
        <f aca="false">MAX(V16,IF(IF(Assumptions!$B$196="Customers",V36,V43)&gt;=Assumptions!$C$196,1,0))</f>
        <v>0</v>
      </c>
      <c r="X16" s="40" t="n">
        <f aca="false">MAX(W16,IF(IF(Assumptions!$B$196="Customers",W36,W43)&gt;=Assumptions!$C$196,1,0))</f>
        <v>0</v>
      </c>
      <c r="Y16" s="40" t="n">
        <f aca="false">MAX(X16,IF(IF(Assumptions!$B$196="Customers",X36,X43)&gt;=Assumptions!$C$196,1,0))</f>
        <v>0</v>
      </c>
      <c r="Z16" s="40" t="n">
        <f aca="false">MAX(Y16,IF(IF(Assumptions!$B$196="Customers",Y36,Y43)&gt;=Assumptions!$C$196,1,0))</f>
        <v>0</v>
      </c>
      <c r="AA16" s="40" t="n">
        <f aca="false">MAX(Z16,IF(IF(Assumptions!$B$196="Customers",Z36,Z43)&gt;=Assumptions!$C$196,1,0))</f>
        <v>0</v>
      </c>
      <c r="AB16" s="40" t="n">
        <f aca="false">MAX(AA16,IF(IF(Assumptions!$B$196="Customers",AA36,AA43)&gt;=Assumptions!$C$196,1,0))</f>
        <v>0</v>
      </c>
      <c r="AC16" s="40" t="n">
        <f aca="false">MAX(AB16,IF(IF(Assumptions!$B$196="Customers",AB36,AB43)&gt;=Assumptions!$C$196,1,0))</f>
        <v>0</v>
      </c>
      <c r="AD16" s="40" t="n">
        <f aca="false">MAX(AC16,IF(IF(Assumptions!$B$196="Customers",AC36,AC43)&gt;=Assumptions!$C$196,1,0))</f>
        <v>0</v>
      </c>
      <c r="AE16" s="40" t="n">
        <f aca="false">MAX(AD16,IF(IF(Assumptions!$B$196="Customers",AD36,AD43)&gt;=Assumptions!$C$196,1,0))</f>
        <v>0</v>
      </c>
      <c r="AF16" s="40" t="n">
        <f aca="false">MAX(AE16,IF(IF(Assumptions!$B$196="Customers",AE36,AE43)&gt;=Assumptions!$C$196,1,0))</f>
        <v>0</v>
      </c>
      <c r="AG16" s="40" t="n">
        <f aca="false">MAX(AF16,IF(IF(Assumptions!$B$196="Customers",AF36,AF43)&gt;=Assumptions!$C$196,1,0))</f>
        <v>0</v>
      </c>
      <c r="AH16" s="40" t="n">
        <f aca="false">MAX(AG16,IF(IF(Assumptions!$B$196="Customers",AG36,AG43)&gt;=Assumptions!$C$196,1,0))</f>
        <v>0</v>
      </c>
      <c r="AI16" s="40" t="n">
        <f aca="false">MAX(AH16,IF(IF(Assumptions!$B$196="Customers",AH36,AH43)&gt;=Assumptions!$C$196,1,0))</f>
        <v>0</v>
      </c>
      <c r="AJ16" s="40" t="n">
        <f aca="false">MAX(AI16,IF(IF(Assumptions!$B$196="Customers",AI36,AI43)&gt;=Assumptions!$C$196,1,0))</f>
        <v>0</v>
      </c>
      <c r="AK16" s="40" t="n">
        <f aca="false">MAX(AJ16,IF(IF(Assumptions!$B$196="Customers",AJ36,AJ43)&gt;=Assumptions!$C$196,1,0))</f>
        <v>0</v>
      </c>
      <c r="AL16" s="40" t="n">
        <f aca="false">MAX(AK16,IF(IF(Assumptions!$B$196="Customers",AK36,AK43)&gt;=Assumptions!$C$196,1,0))</f>
        <v>0</v>
      </c>
    </row>
    <row r="17" customFormat="false" ht="15" hidden="false" customHeight="false" outlineLevel="0" collapsed="false">
      <c r="A17" s="3" t="s">
        <v>562</v>
      </c>
      <c r="B17" s="2" t="s">
        <v>563</v>
      </c>
      <c r="C17" s="40" t="n">
        <f aca="false">1+C7+C8+C9+C11+C12+C13+C14+C15+C16</f>
        <v>1</v>
      </c>
      <c r="D17" s="40" t="n">
        <f aca="false">1+D7+D8+D9+D11+D12+D13+D14+D15+D16</f>
        <v>1</v>
      </c>
      <c r="E17" s="40" t="n">
        <f aca="false">1+E7+E8+E9+E11+E12+E13+E14+E15+E16</f>
        <v>1</v>
      </c>
      <c r="F17" s="40" t="n">
        <f aca="false">1+F7+F8+F9+F11+F12+F13+F14+F15+F16</f>
        <v>1</v>
      </c>
      <c r="G17" s="40" t="n">
        <f aca="false">1+G7+G8+G9+G11+G12+G13+G14+G15+G16</f>
        <v>1</v>
      </c>
      <c r="H17" s="40" t="n">
        <f aca="false">1+H7+H8+H9+H11+H12+H13+H14+H15+H16</f>
        <v>1</v>
      </c>
      <c r="I17" s="40" t="n">
        <f aca="false">1+I7+I8+I9+I11+I12+I13+I14+I15+I16</f>
        <v>1</v>
      </c>
      <c r="J17" s="40" t="n">
        <f aca="false">1+J7+J8+J9+J11+J12+J13+J14+J15+J16</f>
        <v>1</v>
      </c>
      <c r="K17" s="40" t="n">
        <f aca="false">1+K7+K8+K9+K11+K12+K13+K14+K15+K16</f>
        <v>1</v>
      </c>
      <c r="L17" s="40" t="n">
        <f aca="false">1+L7+L8+L9+L11+L12+L13+L14+L15+L16</f>
        <v>1</v>
      </c>
      <c r="M17" s="40" t="n">
        <f aca="false">1+M7+M8+M9+M11+M12+M13+M14+M15+M16</f>
        <v>1</v>
      </c>
      <c r="N17" s="40" t="n">
        <f aca="false">1+N7+N8+N9+N11+N12+N13+N14+N15+N16</f>
        <v>1</v>
      </c>
      <c r="O17" s="40" t="n">
        <f aca="false">1+O7+O8+O9+O11+O12+O13+O14+O15+O16</f>
        <v>1</v>
      </c>
      <c r="P17" s="40" t="n">
        <f aca="false">1+P7+P8+P9+P11+P12+P13+P14+P15+P16</f>
        <v>1</v>
      </c>
      <c r="Q17" s="40" t="n">
        <f aca="false">1+Q7+Q8+Q9+Q11+Q12+Q13+Q14+Q15+Q16</f>
        <v>1</v>
      </c>
      <c r="R17" s="40" t="n">
        <f aca="false">1+R7+R8+R9+R11+R12+R13+R14+R15+R16</f>
        <v>1</v>
      </c>
      <c r="S17" s="40" t="n">
        <f aca="false">1+S7+S8+S9+S11+S12+S13+S14+S15+S16</f>
        <v>1</v>
      </c>
      <c r="T17" s="40" t="n">
        <f aca="false">1+T7+T8+T9+T11+T12+T13+T14+T15+T16</f>
        <v>1</v>
      </c>
      <c r="U17" s="40" t="n">
        <f aca="false">1+U7+U8+U9+U11+U12+U13+U14+U15+U16</f>
        <v>1</v>
      </c>
      <c r="V17" s="40" t="n">
        <f aca="false">1+V7+V8+V9+V11+V12+V13+V14+V15+V16</f>
        <v>1</v>
      </c>
      <c r="W17" s="40" t="n">
        <f aca="false">1+W7+W8+W9+W11+W12+W13+W14+W15+W16</f>
        <v>1</v>
      </c>
      <c r="X17" s="40" t="n">
        <f aca="false">1+X7+X8+X9+X11+X12+X13+X14+X15+X16</f>
        <v>2</v>
      </c>
      <c r="Y17" s="40" t="n">
        <f aca="false">1+Y7+Y8+Y9+Y11+Y12+Y13+Y14+Y15+Y16</f>
        <v>2</v>
      </c>
      <c r="Z17" s="40" t="n">
        <f aca="false">1+Z7+Z8+Z9+Z11+Z12+Z13+Z14+Z15+Z16</f>
        <v>2</v>
      </c>
      <c r="AA17" s="40" t="n">
        <f aca="false">1+AA7+AA8+AA9+AA11+AA12+AA13+AA14+AA15+AA16</f>
        <v>2</v>
      </c>
      <c r="AB17" s="40" t="n">
        <f aca="false">1+AB7+AB8+AB9+AB11+AB12+AB13+AB14+AB15+AB16</f>
        <v>2</v>
      </c>
      <c r="AC17" s="40" t="n">
        <f aca="false">1+AC7+AC8+AC9+AC11+AC12+AC13+AC14+AC15+AC16</f>
        <v>2</v>
      </c>
      <c r="AD17" s="40" t="n">
        <f aca="false">1+AD7+AD8+AD9+AD11+AD12+AD13+AD14+AD15+AD16</f>
        <v>2</v>
      </c>
      <c r="AE17" s="40" t="n">
        <f aca="false">1+AE7+AE8+AE9+AE11+AE12+AE13+AE14+AE15+AE16</f>
        <v>2</v>
      </c>
      <c r="AF17" s="40" t="n">
        <f aca="false">1+AF7+AF8+AF9+AF11+AF12+AF13+AF14+AF15+AF16</f>
        <v>3</v>
      </c>
      <c r="AG17" s="40" t="n">
        <f aca="false">1+AG7+AG8+AG9+AG11+AG12+AG13+AG14+AG15+AG16</f>
        <v>3</v>
      </c>
      <c r="AH17" s="40" t="n">
        <f aca="false">1+AH7+AH8+AH9+AH11+AH12+AH13+AH14+AH15+AH16</f>
        <v>3</v>
      </c>
      <c r="AI17" s="40" t="n">
        <f aca="false">1+AI7+AI8+AI9+AI11+AI12+AI13+AI14+AI15+AI16</f>
        <v>3</v>
      </c>
      <c r="AJ17" s="40" t="n">
        <f aca="false">1+AJ7+AJ8+AJ9+AJ11+AJ12+AJ13+AJ14+AJ15+AJ16</f>
        <v>3</v>
      </c>
      <c r="AK17" s="40" t="n">
        <f aca="false">1+AK7+AK8+AK9+AK11+AK12+AK13+AK14+AK15+AK16</f>
        <v>3</v>
      </c>
      <c r="AL17" s="40" t="n">
        <f aca="false">1+AL7+AL8+AL9+AL11+AL12+AL13+AL14+AL15+AL16</f>
        <v>3</v>
      </c>
    </row>
    <row r="18" customFormat="false" ht="15" hidden="false" customHeight="false" outlineLevel="0" collapsed="false">
      <c r="A18" s="2" t="s">
        <v>564</v>
      </c>
      <c r="B18" s="2" t="s">
        <v>563</v>
      </c>
      <c r="C18" s="40" t="n">
        <f aca="false">C9+C14</f>
        <v>0</v>
      </c>
      <c r="D18" s="40" t="n">
        <f aca="false">D9+D14</f>
        <v>0</v>
      </c>
      <c r="E18" s="40" t="n">
        <f aca="false">E9+E14</f>
        <v>0</v>
      </c>
      <c r="F18" s="40" t="n">
        <f aca="false">F9+F14</f>
        <v>0</v>
      </c>
      <c r="G18" s="40" t="n">
        <f aca="false">G9+G14</f>
        <v>0</v>
      </c>
      <c r="H18" s="40" t="n">
        <f aca="false">H9+H14</f>
        <v>0</v>
      </c>
      <c r="I18" s="40" t="n">
        <f aca="false">I9+I14</f>
        <v>0</v>
      </c>
      <c r="J18" s="40" t="n">
        <f aca="false">J9+J14</f>
        <v>0</v>
      </c>
      <c r="K18" s="40" t="n">
        <f aca="false">K9+K14</f>
        <v>0</v>
      </c>
      <c r="L18" s="40" t="n">
        <f aca="false">L9+L14</f>
        <v>0</v>
      </c>
      <c r="M18" s="40" t="n">
        <f aca="false">M9+M14</f>
        <v>0</v>
      </c>
      <c r="N18" s="40" t="n">
        <f aca="false">N9+N14</f>
        <v>0</v>
      </c>
      <c r="O18" s="40" t="n">
        <f aca="false">O9+O14</f>
        <v>0</v>
      </c>
      <c r="P18" s="40" t="n">
        <f aca="false">P9+P14</f>
        <v>0</v>
      </c>
      <c r="Q18" s="40" t="n">
        <f aca="false">Q9+Q14</f>
        <v>0</v>
      </c>
      <c r="R18" s="40" t="n">
        <f aca="false">R9+R14</f>
        <v>0</v>
      </c>
      <c r="S18" s="40" t="n">
        <f aca="false">S9+S14</f>
        <v>0</v>
      </c>
      <c r="T18" s="40" t="n">
        <f aca="false">T9+T14</f>
        <v>0</v>
      </c>
      <c r="U18" s="40" t="n">
        <f aca="false">U9+U14</f>
        <v>0</v>
      </c>
      <c r="V18" s="40" t="n">
        <f aca="false">V9+V14</f>
        <v>0</v>
      </c>
      <c r="W18" s="40" t="n">
        <f aca="false">W9+W14</f>
        <v>0</v>
      </c>
      <c r="X18" s="40" t="n">
        <f aca="false">X9+X14</f>
        <v>0</v>
      </c>
      <c r="Y18" s="40" t="n">
        <f aca="false">Y9+Y14</f>
        <v>0</v>
      </c>
      <c r="Z18" s="40" t="n">
        <f aca="false">Z9+Z14</f>
        <v>0</v>
      </c>
      <c r="AA18" s="40" t="n">
        <f aca="false">AA9+AA14</f>
        <v>0</v>
      </c>
      <c r="AB18" s="40" t="n">
        <f aca="false">AB9+AB14</f>
        <v>0</v>
      </c>
      <c r="AC18" s="40" t="n">
        <f aca="false">AC9+AC14</f>
        <v>0</v>
      </c>
      <c r="AD18" s="40" t="n">
        <f aca="false">AD9+AD14</f>
        <v>0</v>
      </c>
      <c r="AE18" s="40" t="n">
        <f aca="false">AE9+AE14</f>
        <v>0</v>
      </c>
      <c r="AF18" s="40" t="n">
        <f aca="false">AF9+AF14</f>
        <v>0</v>
      </c>
      <c r="AG18" s="40" t="n">
        <f aca="false">AG9+AG14</f>
        <v>0</v>
      </c>
      <c r="AH18" s="40" t="n">
        <f aca="false">AH9+AH14</f>
        <v>0</v>
      </c>
      <c r="AI18" s="40" t="n">
        <f aca="false">AI9+AI14</f>
        <v>0</v>
      </c>
      <c r="AJ18" s="40" t="n">
        <f aca="false">AJ9+AJ14</f>
        <v>0</v>
      </c>
      <c r="AK18" s="40" t="n">
        <f aca="false">AK9+AK14</f>
        <v>0</v>
      </c>
      <c r="AL18" s="40" t="n">
        <f aca="false">AL9+AL14</f>
        <v>0</v>
      </c>
    </row>
    <row r="19" customFormat="false" ht="15" hidden="false" customHeight="false" outlineLevel="0" collapsed="false">
      <c r="A19" s="2" t="s">
        <v>565</v>
      </c>
      <c r="B19" s="2" t="s">
        <v>563</v>
      </c>
      <c r="C19" s="40" t="n">
        <f aca="true">IF(C$3&gt;Assumptions!$C$140,OFFSET(C18,0,-Assumptions!$C$140),0)</f>
        <v>0</v>
      </c>
      <c r="D19" s="40" t="n">
        <f aca="true">IF(D$3&gt;Assumptions!$C$140,OFFSET(D18,0,-Assumptions!$C$140),0)</f>
        <v>0</v>
      </c>
      <c r="E19" s="40" t="n">
        <f aca="true">IF(E$3&gt;Assumptions!$C$140,OFFSET(E18,0,-Assumptions!$C$140),0)</f>
        <v>0</v>
      </c>
      <c r="F19" s="40" t="n">
        <f aca="true">IF(F$3&gt;Assumptions!$C$140,OFFSET(F18,0,-Assumptions!$C$140),0)</f>
        <v>0</v>
      </c>
      <c r="G19" s="40" t="n">
        <f aca="true">IF(G$3&gt;Assumptions!$C$140,OFFSET(G18,0,-Assumptions!$C$140),0)</f>
        <v>0</v>
      </c>
      <c r="H19" s="40" t="n">
        <f aca="true">IF(H$3&gt;Assumptions!$C$140,OFFSET(H18,0,-Assumptions!$C$140),0)</f>
        <v>0</v>
      </c>
      <c r="I19" s="40" t="n">
        <f aca="true">IF(I$3&gt;Assumptions!$C$140,OFFSET(I18,0,-Assumptions!$C$140),0)</f>
        <v>0</v>
      </c>
      <c r="J19" s="40" t="n">
        <f aca="true">IF(J$3&gt;Assumptions!$C$140,OFFSET(J18,0,-Assumptions!$C$140),0)</f>
        <v>0</v>
      </c>
      <c r="K19" s="40" t="n">
        <f aca="true">IF(K$3&gt;Assumptions!$C$140,OFFSET(K18,0,-Assumptions!$C$140),0)</f>
        <v>0</v>
      </c>
      <c r="L19" s="40" t="n">
        <f aca="true">IF(L$3&gt;Assumptions!$C$140,OFFSET(L18,0,-Assumptions!$C$140),0)</f>
        <v>0</v>
      </c>
      <c r="M19" s="40" t="n">
        <f aca="true">IF(M$3&gt;Assumptions!$C$140,OFFSET(M18,0,-Assumptions!$C$140),0)</f>
        <v>0</v>
      </c>
      <c r="N19" s="40" t="n">
        <f aca="true">IF(N$3&gt;Assumptions!$C$140,OFFSET(N18,0,-Assumptions!$C$140),0)</f>
        <v>0</v>
      </c>
      <c r="O19" s="40" t="n">
        <f aca="true">IF(O$3&gt;Assumptions!$C$140,OFFSET(O18,0,-Assumptions!$C$140),0)</f>
        <v>0</v>
      </c>
      <c r="P19" s="40" t="n">
        <f aca="true">IF(P$3&gt;Assumptions!$C$140,OFFSET(P18,0,-Assumptions!$C$140),0)</f>
        <v>0</v>
      </c>
      <c r="Q19" s="40" t="n">
        <f aca="true">IF(Q$3&gt;Assumptions!$C$140,OFFSET(Q18,0,-Assumptions!$C$140),0)</f>
        <v>0</v>
      </c>
      <c r="R19" s="40" t="n">
        <f aca="true">IF(R$3&gt;Assumptions!$C$140,OFFSET(R18,0,-Assumptions!$C$140),0)</f>
        <v>0</v>
      </c>
      <c r="S19" s="40" t="n">
        <f aca="true">IF(S$3&gt;Assumptions!$C$140,OFFSET(S18,0,-Assumptions!$C$140),0)</f>
        <v>0</v>
      </c>
      <c r="T19" s="40" t="n">
        <f aca="true">IF(T$3&gt;Assumptions!$C$140,OFFSET(T18,0,-Assumptions!$C$140),0)</f>
        <v>0</v>
      </c>
      <c r="U19" s="40" t="n">
        <f aca="true">IF(U$3&gt;Assumptions!$C$140,OFFSET(U18,0,-Assumptions!$C$140),0)</f>
        <v>0</v>
      </c>
      <c r="V19" s="40" t="n">
        <f aca="true">IF(V$3&gt;Assumptions!$C$140,OFFSET(V18,0,-Assumptions!$C$140),0)</f>
        <v>0</v>
      </c>
      <c r="W19" s="40" t="n">
        <f aca="true">IF(W$3&gt;Assumptions!$C$140,OFFSET(W18,0,-Assumptions!$C$140),0)</f>
        <v>0</v>
      </c>
      <c r="X19" s="40" t="n">
        <f aca="true">IF(X$3&gt;Assumptions!$C$140,OFFSET(X18,0,-Assumptions!$C$140),0)</f>
        <v>0</v>
      </c>
      <c r="Y19" s="40" t="n">
        <f aca="true">IF(Y$3&gt;Assumptions!$C$140,OFFSET(Y18,0,-Assumptions!$C$140),0)</f>
        <v>0</v>
      </c>
      <c r="Z19" s="40" t="n">
        <f aca="true">IF(Z$3&gt;Assumptions!$C$140,OFFSET(Z18,0,-Assumptions!$C$140),0)</f>
        <v>0</v>
      </c>
      <c r="AA19" s="40" t="n">
        <f aca="true">IF(AA$3&gt;Assumptions!$C$140,OFFSET(AA18,0,-Assumptions!$C$140),0)</f>
        <v>0</v>
      </c>
      <c r="AB19" s="40" t="n">
        <f aca="true">IF(AB$3&gt;Assumptions!$C$140,OFFSET(AB18,0,-Assumptions!$C$140),0)</f>
        <v>0</v>
      </c>
      <c r="AC19" s="40" t="n">
        <f aca="true">IF(AC$3&gt;Assumptions!$C$140,OFFSET(AC18,0,-Assumptions!$C$140),0)</f>
        <v>0</v>
      </c>
      <c r="AD19" s="40" t="n">
        <f aca="true">IF(AD$3&gt;Assumptions!$C$140,OFFSET(AD18,0,-Assumptions!$C$140),0)</f>
        <v>0</v>
      </c>
      <c r="AE19" s="40" t="n">
        <f aca="true">IF(AE$3&gt;Assumptions!$C$140,OFFSET(AE18,0,-Assumptions!$C$140),0)</f>
        <v>0</v>
      </c>
      <c r="AF19" s="40" t="n">
        <f aca="true">IF(AF$3&gt;Assumptions!$C$140,OFFSET(AF18,0,-Assumptions!$C$140),0)</f>
        <v>0</v>
      </c>
      <c r="AG19" s="40" t="n">
        <f aca="true">IF(AG$3&gt;Assumptions!$C$140,OFFSET(AG18,0,-Assumptions!$C$140),0)</f>
        <v>0</v>
      </c>
      <c r="AH19" s="40" t="n">
        <f aca="true">IF(AH$3&gt;Assumptions!$C$140,OFFSET(AH18,0,-Assumptions!$C$140),0)</f>
        <v>0</v>
      </c>
      <c r="AI19" s="40" t="n">
        <f aca="true">IF(AI$3&gt;Assumptions!$C$140,OFFSET(AI18,0,-Assumptions!$C$140),0)</f>
        <v>0</v>
      </c>
      <c r="AJ19" s="40" t="n">
        <f aca="true">IF(AJ$3&gt;Assumptions!$C$140,OFFSET(AJ18,0,-Assumptions!$C$140),0)</f>
        <v>0</v>
      </c>
      <c r="AK19" s="40" t="n">
        <f aca="true">IF(AK$3&gt;Assumptions!$C$140,OFFSET(AK18,0,-Assumptions!$C$140),0)</f>
        <v>0</v>
      </c>
      <c r="AL19" s="40" t="n">
        <f aca="true">IF(AL$3&gt;Assumptions!$C$140,OFFSET(AL18,0,-Assumptions!$C$140),0)</f>
        <v>0</v>
      </c>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row>
    <row r="21" customFormat="false" ht="15" hidden="false" customHeight="false" outlineLevel="0" collapsed="false">
      <c r="A21" s="5" t="s">
        <v>444</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customFormat="false" ht="15" hidden="false" customHeight="false" outlineLevel="0" collapsed="false">
      <c r="A22" s="9" t="s">
        <v>566</v>
      </c>
      <c r="B22" s="2" t="s">
        <v>567</v>
      </c>
      <c r="C22" s="41" t="n">
        <f aca="false">IF(C$3&lt;Assumptions!$C$122,0,MIN(Assumptions!$C$134,Assumptions!$C$126+Assumptions!$C$130*(C$3-Assumptions!$C$122)))</f>
        <v>0</v>
      </c>
      <c r="D22" s="41" t="n">
        <f aca="false">IF(D$3&lt;Assumptions!$C$122,0,MIN(Assumptions!$C$134,Assumptions!$C$126+Assumptions!$C$130*(D$3-Assumptions!$C$122)))</f>
        <v>0</v>
      </c>
      <c r="E22" s="41" t="n">
        <f aca="false">IF(E$3&lt;Assumptions!$C$122,0,MIN(Assumptions!$C$134,Assumptions!$C$126+Assumptions!$C$130*(E$3-Assumptions!$C$122)))</f>
        <v>0</v>
      </c>
      <c r="F22" s="41" t="n">
        <f aca="false">IF(F$3&lt;Assumptions!$C$122,0,MIN(Assumptions!$C$134,Assumptions!$C$126+Assumptions!$C$130*(F$3-Assumptions!$C$122)))</f>
        <v>0</v>
      </c>
      <c r="G22" s="41" t="n">
        <f aca="false">IF(G$3&lt;Assumptions!$C$122,0,MIN(Assumptions!$C$134,Assumptions!$C$126+Assumptions!$C$130*(G$3-Assumptions!$C$122)))</f>
        <v>0</v>
      </c>
      <c r="H22" s="41" t="n">
        <f aca="false">IF(H$3&lt;Assumptions!$C$122,0,MIN(Assumptions!$C$134,Assumptions!$C$126+Assumptions!$C$130*(H$3-Assumptions!$C$122)))</f>
        <v>0</v>
      </c>
      <c r="I22" s="41" t="n">
        <f aca="false">IF(I$3&lt;Assumptions!$C$122,0,MIN(Assumptions!$C$134,Assumptions!$C$126+Assumptions!$C$130*(I$3-Assumptions!$C$122)))</f>
        <v>0</v>
      </c>
      <c r="J22" s="41" t="n">
        <f aca="false">IF(J$3&lt;Assumptions!$C$122,0,MIN(Assumptions!$C$134,Assumptions!$C$126+Assumptions!$C$130*(J$3-Assumptions!$C$122)))</f>
        <v>0</v>
      </c>
      <c r="K22" s="41" t="n">
        <f aca="false">IF(K$3&lt;Assumptions!$C$122,0,MIN(Assumptions!$C$134,Assumptions!$C$126+Assumptions!$C$130*(K$3-Assumptions!$C$122)))</f>
        <v>0.8</v>
      </c>
      <c r="L22" s="41" t="n">
        <f aca="false">IF(L$3&lt;Assumptions!$C$122,0,MIN(Assumptions!$C$134,Assumptions!$C$126+Assumptions!$C$130*(L$3-Assumptions!$C$122)))</f>
        <v>0.92</v>
      </c>
      <c r="M22" s="41" t="n">
        <f aca="false">IF(M$3&lt;Assumptions!$C$122,0,MIN(Assumptions!$C$134,Assumptions!$C$126+Assumptions!$C$130*(M$3-Assumptions!$C$122)))</f>
        <v>1.04</v>
      </c>
      <c r="N22" s="41" t="n">
        <f aca="false">IF(N$3&lt;Assumptions!$C$122,0,MIN(Assumptions!$C$134,Assumptions!$C$126+Assumptions!$C$130*(N$3-Assumptions!$C$122)))</f>
        <v>1.16</v>
      </c>
      <c r="O22" s="41" t="n">
        <f aca="false">IF(O$3&lt;Assumptions!$C$122,0,MIN(Assumptions!$C$134,Assumptions!$C$126+Assumptions!$C$130*(O$3-Assumptions!$C$122)))</f>
        <v>1.28</v>
      </c>
      <c r="P22" s="41" t="n">
        <f aca="false">IF(P$3&lt;Assumptions!$C$122,0,MIN(Assumptions!$C$134,Assumptions!$C$126+Assumptions!$C$130*(P$3-Assumptions!$C$122)))</f>
        <v>1.4</v>
      </c>
      <c r="Q22" s="41" t="n">
        <f aca="false">IF(Q$3&lt;Assumptions!$C$122,0,MIN(Assumptions!$C$134,Assumptions!$C$126+Assumptions!$C$130*(Q$3-Assumptions!$C$122)))</f>
        <v>1.52</v>
      </c>
      <c r="R22" s="41" t="n">
        <f aca="false">IF(R$3&lt;Assumptions!$C$122,0,MIN(Assumptions!$C$134,Assumptions!$C$126+Assumptions!$C$130*(R$3-Assumptions!$C$122)))</f>
        <v>1.64</v>
      </c>
      <c r="S22" s="41" t="n">
        <f aca="false">IF(S$3&lt;Assumptions!$C$122,0,MIN(Assumptions!$C$134,Assumptions!$C$126+Assumptions!$C$130*(S$3-Assumptions!$C$122)))</f>
        <v>1.76</v>
      </c>
      <c r="T22" s="41" t="n">
        <f aca="false">IF(T$3&lt;Assumptions!$C$122,0,MIN(Assumptions!$C$134,Assumptions!$C$126+Assumptions!$C$130*(T$3-Assumptions!$C$122)))</f>
        <v>1.88</v>
      </c>
      <c r="U22" s="41" t="n">
        <f aca="false">IF(U$3&lt;Assumptions!$C$122,0,MIN(Assumptions!$C$134,Assumptions!$C$126+Assumptions!$C$130*(U$3-Assumptions!$C$122)))</f>
        <v>2</v>
      </c>
      <c r="V22" s="41" t="n">
        <f aca="false">IF(V$3&lt;Assumptions!$C$122,0,MIN(Assumptions!$C$134,Assumptions!$C$126+Assumptions!$C$130*(V$3-Assumptions!$C$122)))</f>
        <v>2.12</v>
      </c>
      <c r="W22" s="41" t="n">
        <f aca="false">IF(W$3&lt;Assumptions!$C$122,0,MIN(Assumptions!$C$134,Assumptions!$C$126+Assumptions!$C$130*(W$3-Assumptions!$C$122)))</f>
        <v>2.24</v>
      </c>
      <c r="X22" s="41" t="n">
        <f aca="false">IF(X$3&lt;Assumptions!$C$122,0,MIN(Assumptions!$C$134,Assumptions!$C$126+Assumptions!$C$130*(X$3-Assumptions!$C$122)))</f>
        <v>2.36</v>
      </c>
      <c r="Y22" s="41" t="n">
        <f aca="false">IF(Y$3&lt;Assumptions!$C$122,0,MIN(Assumptions!$C$134,Assumptions!$C$126+Assumptions!$C$130*(Y$3-Assumptions!$C$122)))</f>
        <v>2.48</v>
      </c>
      <c r="Z22" s="41" t="n">
        <f aca="false">IF(Z$3&lt;Assumptions!$C$122,0,MIN(Assumptions!$C$134,Assumptions!$C$126+Assumptions!$C$130*(Z$3-Assumptions!$C$122)))</f>
        <v>2.6</v>
      </c>
      <c r="AA22" s="41" t="n">
        <f aca="false">IF(AA$3&lt;Assumptions!$C$122,0,MIN(Assumptions!$C$134,Assumptions!$C$126+Assumptions!$C$130*(AA$3-Assumptions!$C$122)))</f>
        <v>2.72</v>
      </c>
      <c r="AB22" s="41" t="n">
        <f aca="false">IF(AB$3&lt;Assumptions!$C$122,0,MIN(Assumptions!$C$134,Assumptions!$C$126+Assumptions!$C$130*(AB$3-Assumptions!$C$122)))</f>
        <v>2.84</v>
      </c>
      <c r="AC22" s="41" t="n">
        <f aca="false">IF(AC$3&lt;Assumptions!$C$122,0,MIN(Assumptions!$C$134,Assumptions!$C$126+Assumptions!$C$130*(AC$3-Assumptions!$C$122)))</f>
        <v>2.96</v>
      </c>
      <c r="AD22" s="41" t="n">
        <f aca="false">IF(AD$3&lt;Assumptions!$C$122,0,MIN(Assumptions!$C$134,Assumptions!$C$126+Assumptions!$C$130*(AD$3-Assumptions!$C$122)))</f>
        <v>3.08</v>
      </c>
      <c r="AE22" s="41" t="n">
        <f aca="false">IF(AE$3&lt;Assumptions!$C$122,0,MIN(Assumptions!$C$134,Assumptions!$C$126+Assumptions!$C$130*(AE$3-Assumptions!$C$122)))</f>
        <v>3.2</v>
      </c>
      <c r="AF22" s="41" t="n">
        <f aca="false">IF(AF$3&lt;Assumptions!$C$122,0,MIN(Assumptions!$C$134,Assumptions!$C$126+Assumptions!$C$130*(AF$3-Assumptions!$C$122)))</f>
        <v>3.32</v>
      </c>
      <c r="AG22" s="41" t="n">
        <f aca="false">IF(AG$3&lt;Assumptions!$C$122,0,MIN(Assumptions!$C$134,Assumptions!$C$126+Assumptions!$C$130*(AG$3-Assumptions!$C$122)))</f>
        <v>3.44</v>
      </c>
      <c r="AH22" s="41" t="n">
        <f aca="false">IF(AH$3&lt;Assumptions!$C$122,0,MIN(Assumptions!$C$134,Assumptions!$C$126+Assumptions!$C$130*(AH$3-Assumptions!$C$122)))</f>
        <v>3.56</v>
      </c>
      <c r="AI22" s="41" t="n">
        <f aca="false">IF(AI$3&lt;Assumptions!$C$122,0,MIN(Assumptions!$C$134,Assumptions!$C$126+Assumptions!$C$130*(AI$3-Assumptions!$C$122)))</f>
        <v>3.68</v>
      </c>
      <c r="AJ22" s="41" t="n">
        <f aca="false">IF(AJ$3&lt;Assumptions!$C$122,0,MIN(Assumptions!$C$134,Assumptions!$C$126+Assumptions!$C$130*(AJ$3-Assumptions!$C$122)))</f>
        <v>3.8</v>
      </c>
      <c r="AK22" s="41" t="n">
        <f aca="false">IF(AK$3&lt;Assumptions!$C$122,0,MIN(Assumptions!$C$134,Assumptions!$C$126+Assumptions!$C$130*(AK$3-Assumptions!$C$122)))</f>
        <v>3.92</v>
      </c>
      <c r="AL22" s="41" t="n">
        <f aca="false">IF(AL$3&lt;Assumptions!$C$122,0,MIN(Assumptions!$C$134,Assumptions!$C$126+Assumptions!$C$130*(AL$3-Assumptions!$C$122)))</f>
        <v>4.04</v>
      </c>
    </row>
    <row r="23" customFormat="false" ht="15" hidden="false" customHeight="false" outlineLevel="0" collapsed="false">
      <c r="A23" s="9" t="s">
        <v>568</v>
      </c>
      <c r="B23" s="2" t="s">
        <v>567</v>
      </c>
      <c r="C23" s="41" t="n">
        <f aca="false">IF(C$3&lt;Assumptions!$C$123,0,MIN(Assumptions!$C$135,Assumptions!$C$127+Assumptions!$C$131*(C$3-Assumptions!$C$123)))</f>
        <v>0</v>
      </c>
      <c r="D23" s="41" t="n">
        <f aca="false">IF(D$3&lt;Assumptions!$C$123,0,MIN(Assumptions!$C$135,Assumptions!$C$127+Assumptions!$C$131*(D$3-Assumptions!$C$123)))</f>
        <v>0</v>
      </c>
      <c r="E23" s="41" t="n">
        <f aca="false">IF(E$3&lt;Assumptions!$C$123,0,MIN(Assumptions!$C$135,Assumptions!$C$127+Assumptions!$C$131*(E$3-Assumptions!$C$123)))</f>
        <v>0</v>
      </c>
      <c r="F23" s="41" t="n">
        <f aca="false">IF(F$3&lt;Assumptions!$C$123,0,MIN(Assumptions!$C$135,Assumptions!$C$127+Assumptions!$C$131*(F$3-Assumptions!$C$123)))</f>
        <v>0</v>
      </c>
      <c r="G23" s="41" t="n">
        <f aca="false">IF(G$3&lt;Assumptions!$C$123,0,MIN(Assumptions!$C$135,Assumptions!$C$127+Assumptions!$C$131*(G$3-Assumptions!$C$123)))</f>
        <v>0</v>
      </c>
      <c r="H23" s="41" t="n">
        <f aca="false">IF(H$3&lt;Assumptions!$C$123,0,MIN(Assumptions!$C$135,Assumptions!$C$127+Assumptions!$C$131*(H$3-Assumptions!$C$123)))</f>
        <v>0</v>
      </c>
      <c r="I23" s="41" t="n">
        <f aca="false">IF(I$3&lt;Assumptions!$C$123,0,MIN(Assumptions!$C$135,Assumptions!$C$127+Assumptions!$C$131*(I$3-Assumptions!$C$123)))</f>
        <v>0</v>
      </c>
      <c r="J23" s="41" t="n">
        <f aca="false">IF(J$3&lt;Assumptions!$C$123,0,MIN(Assumptions!$C$135,Assumptions!$C$127+Assumptions!$C$131*(J$3-Assumptions!$C$123)))</f>
        <v>0</v>
      </c>
      <c r="K23" s="41" t="n">
        <f aca="false">IF(K$3&lt;Assumptions!$C$123,0,MIN(Assumptions!$C$135,Assumptions!$C$127+Assumptions!$C$131*(K$3-Assumptions!$C$123)))</f>
        <v>0</v>
      </c>
      <c r="L23" s="41" t="n">
        <f aca="false">IF(L$3&lt;Assumptions!$C$123,0,MIN(Assumptions!$C$135,Assumptions!$C$127+Assumptions!$C$131*(L$3-Assumptions!$C$123)))</f>
        <v>0.2</v>
      </c>
      <c r="M23" s="41" t="n">
        <f aca="false">IF(M$3&lt;Assumptions!$C$123,0,MIN(Assumptions!$C$135,Assumptions!$C$127+Assumptions!$C$131*(M$3-Assumptions!$C$123)))</f>
        <v>0.24</v>
      </c>
      <c r="N23" s="41" t="n">
        <f aca="false">IF(N$3&lt;Assumptions!$C$123,0,MIN(Assumptions!$C$135,Assumptions!$C$127+Assumptions!$C$131*(N$3-Assumptions!$C$123)))</f>
        <v>0.28</v>
      </c>
      <c r="O23" s="41" t="n">
        <f aca="false">IF(O$3&lt;Assumptions!$C$123,0,MIN(Assumptions!$C$135,Assumptions!$C$127+Assumptions!$C$131*(O$3-Assumptions!$C$123)))</f>
        <v>0.32</v>
      </c>
      <c r="P23" s="41" t="n">
        <f aca="false">IF(P$3&lt;Assumptions!$C$123,0,MIN(Assumptions!$C$135,Assumptions!$C$127+Assumptions!$C$131*(P$3-Assumptions!$C$123)))</f>
        <v>0.36</v>
      </c>
      <c r="Q23" s="41" t="n">
        <f aca="false">IF(Q$3&lt;Assumptions!$C$123,0,MIN(Assumptions!$C$135,Assumptions!$C$127+Assumptions!$C$131*(Q$3-Assumptions!$C$123)))</f>
        <v>0.4</v>
      </c>
      <c r="R23" s="41" t="n">
        <f aca="false">IF(R$3&lt;Assumptions!$C$123,0,MIN(Assumptions!$C$135,Assumptions!$C$127+Assumptions!$C$131*(R$3-Assumptions!$C$123)))</f>
        <v>0.44</v>
      </c>
      <c r="S23" s="41" t="n">
        <f aca="false">IF(S$3&lt;Assumptions!$C$123,0,MIN(Assumptions!$C$135,Assumptions!$C$127+Assumptions!$C$131*(S$3-Assumptions!$C$123)))</f>
        <v>0.48</v>
      </c>
      <c r="T23" s="41" t="n">
        <f aca="false">IF(T$3&lt;Assumptions!$C$123,0,MIN(Assumptions!$C$135,Assumptions!$C$127+Assumptions!$C$131*(T$3-Assumptions!$C$123)))</f>
        <v>0.52</v>
      </c>
      <c r="U23" s="41" t="n">
        <f aca="false">IF(U$3&lt;Assumptions!$C$123,0,MIN(Assumptions!$C$135,Assumptions!$C$127+Assumptions!$C$131*(U$3-Assumptions!$C$123)))</f>
        <v>0.56</v>
      </c>
      <c r="V23" s="41" t="n">
        <f aca="false">IF(V$3&lt;Assumptions!$C$123,0,MIN(Assumptions!$C$135,Assumptions!$C$127+Assumptions!$C$131*(V$3-Assumptions!$C$123)))</f>
        <v>0.6</v>
      </c>
      <c r="W23" s="41" t="n">
        <f aca="false">IF(W$3&lt;Assumptions!$C$123,0,MIN(Assumptions!$C$135,Assumptions!$C$127+Assumptions!$C$131*(W$3-Assumptions!$C$123)))</f>
        <v>0.64</v>
      </c>
      <c r="X23" s="41" t="n">
        <f aca="false">IF(X$3&lt;Assumptions!$C$123,0,MIN(Assumptions!$C$135,Assumptions!$C$127+Assumptions!$C$131*(X$3-Assumptions!$C$123)))</f>
        <v>0.68</v>
      </c>
      <c r="Y23" s="41" t="n">
        <f aca="false">IF(Y$3&lt;Assumptions!$C$123,0,MIN(Assumptions!$C$135,Assumptions!$C$127+Assumptions!$C$131*(Y$3-Assumptions!$C$123)))</f>
        <v>0.72</v>
      </c>
      <c r="Z23" s="41" t="n">
        <f aca="false">IF(Z$3&lt;Assumptions!$C$123,0,MIN(Assumptions!$C$135,Assumptions!$C$127+Assumptions!$C$131*(Z$3-Assumptions!$C$123)))</f>
        <v>0.76</v>
      </c>
      <c r="AA23" s="41" t="n">
        <f aca="false">IF(AA$3&lt;Assumptions!$C$123,0,MIN(Assumptions!$C$135,Assumptions!$C$127+Assumptions!$C$131*(AA$3-Assumptions!$C$123)))</f>
        <v>0.8</v>
      </c>
      <c r="AB23" s="41" t="n">
        <f aca="false">IF(AB$3&lt;Assumptions!$C$123,0,MIN(Assumptions!$C$135,Assumptions!$C$127+Assumptions!$C$131*(AB$3-Assumptions!$C$123)))</f>
        <v>0.84</v>
      </c>
      <c r="AC23" s="41" t="n">
        <f aca="false">IF(AC$3&lt;Assumptions!$C$123,0,MIN(Assumptions!$C$135,Assumptions!$C$127+Assumptions!$C$131*(AC$3-Assumptions!$C$123)))</f>
        <v>0.88</v>
      </c>
      <c r="AD23" s="41" t="n">
        <f aca="false">IF(AD$3&lt;Assumptions!$C$123,0,MIN(Assumptions!$C$135,Assumptions!$C$127+Assumptions!$C$131*(AD$3-Assumptions!$C$123)))</f>
        <v>0.92</v>
      </c>
      <c r="AE23" s="41" t="n">
        <f aca="false">IF(AE$3&lt;Assumptions!$C$123,0,MIN(Assumptions!$C$135,Assumptions!$C$127+Assumptions!$C$131*(AE$3-Assumptions!$C$123)))</f>
        <v>0.96</v>
      </c>
      <c r="AF23" s="41" t="n">
        <f aca="false">IF(AF$3&lt;Assumptions!$C$123,0,MIN(Assumptions!$C$135,Assumptions!$C$127+Assumptions!$C$131*(AF$3-Assumptions!$C$123)))</f>
        <v>1</v>
      </c>
      <c r="AG23" s="41" t="n">
        <f aca="false">IF(AG$3&lt;Assumptions!$C$123,0,MIN(Assumptions!$C$135,Assumptions!$C$127+Assumptions!$C$131*(AG$3-Assumptions!$C$123)))</f>
        <v>1.04</v>
      </c>
      <c r="AH23" s="41" t="n">
        <f aca="false">IF(AH$3&lt;Assumptions!$C$123,0,MIN(Assumptions!$C$135,Assumptions!$C$127+Assumptions!$C$131*(AH$3-Assumptions!$C$123)))</f>
        <v>1.08</v>
      </c>
      <c r="AI23" s="41" t="n">
        <f aca="false">IF(AI$3&lt;Assumptions!$C$123,0,MIN(Assumptions!$C$135,Assumptions!$C$127+Assumptions!$C$131*(AI$3-Assumptions!$C$123)))</f>
        <v>1.12</v>
      </c>
      <c r="AJ23" s="41" t="n">
        <f aca="false">IF(AJ$3&lt;Assumptions!$C$123,0,MIN(Assumptions!$C$135,Assumptions!$C$127+Assumptions!$C$131*(AJ$3-Assumptions!$C$123)))</f>
        <v>1.16</v>
      </c>
      <c r="AK23" s="41" t="n">
        <f aca="false">IF(AK$3&lt;Assumptions!$C$123,0,MIN(Assumptions!$C$135,Assumptions!$C$127+Assumptions!$C$131*(AK$3-Assumptions!$C$123)))</f>
        <v>1.2</v>
      </c>
      <c r="AL23" s="41" t="n">
        <f aca="false">IF(AL$3&lt;Assumptions!$C$123,0,MIN(Assumptions!$C$135,Assumptions!$C$127+Assumptions!$C$131*(AL$3-Assumptions!$C$123)))</f>
        <v>1.24</v>
      </c>
    </row>
    <row r="24" customFormat="false" ht="15" hidden="false" customHeight="false" outlineLevel="0" collapsed="false">
      <c r="A24" s="9" t="s">
        <v>569</v>
      </c>
      <c r="B24" s="2" t="s">
        <v>567</v>
      </c>
      <c r="C24" s="41" t="n">
        <f aca="false">IF(C$3&lt;Assumptions!$C$124,0,MIN(Assumptions!$C$136,Assumptions!$C$128+Assumptions!$C$132*(C$3-Assumptions!$C$124)))+IF(C$3&lt;Assumptions!$C$124,0,C$19*Assumptions!$C$138)</f>
        <v>0</v>
      </c>
      <c r="D24" s="41" t="n">
        <f aca="false">IF(D$3&lt;Assumptions!$C$124,0,MIN(Assumptions!$C$136,Assumptions!$C$128+Assumptions!$C$132*(D$3-Assumptions!$C$124)))+IF(D$3&lt;Assumptions!$C$124,0,D$19*Assumptions!$C$138)</f>
        <v>0</v>
      </c>
      <c r="E24" s="41" t="n">
        <f aca="false">IF(E$3&lt;Assumptions!$C$124,0,MIN(Assumptions!$C$136,Assumptions!$C$128+Assumptions!$C$132*(E$3-Assumptions!$C$124)))+IF(E$3&lt;Assumptions!$C$124,0,E$19*Assumptions!$C$138)</f>
        <v>0</v>
      </c>
      <c r="F24" s="41" t="n">
        <f aca="false">IF(F$3&lt;Assumptions!$C$124,0,MIN(Assumptions!$C$136,Assumptions!$C$128+Assumptions!$C$132*(F$3-Assumptions!$C$124)))+IF(F$3&lt;Assumptions!$C$124,0,F$19*Assumptions!$C$138)</f>
        <v>0</v>
      </c>
      <c r="G24" s="41" t="n">
        <f aca="false">IF(G$3&lt;Assumptions!$C$124,0,MIN(Assumptions!$C$136,Assumptions!$C$128+Assumptions!$C$132*(G$3-Assumptions!$C$124)))+IF(G$3&lt;Assumptions!$C$124,0,G$19*Assumptions!$C$138)</f>
        <v>0</v>
      </c>
      <c r="H24" s="41" t="n">
        <f aca="false">IF(H$3&lt;Assumptions!$C$124,0,MIN(Assumptions!$C$136,Assumptions!$C$128+Assumptions!$C$132*(H$3-Assumptions!$C$124)))+IF(H$3&lt;Assumptions!$C$124,0,H$19*Assumptions!$C$138)</f>
        <v>0</v>
      </c>
      <c r="I24" s="41" t="n">
        <f aca="false">IF(I$3&lt;Assumptions!$C$124,0,MIN(Assumptions!$C$136,Assumptions!$C$128+Assumptions!$C$132*(I$3-Assumptions!$C$124)))+IF(I$3&lt;Assumptions!$C$124,0,I$19*Assumptions!$C$138)</f>
        <v>0</v>
      </c>
      <c r="J24" s="41" t="n">
        <f aca="false">IF(J$3&lt;Assumptions!$C$124,0,MIN(Assumptions!$C$136,Assumptions!$C$128+Assumptions!$C$132*(J$3-Assumptions!$C$124)))+IF(J$3&lt;Assumptions!$C$124,0,J$19*Assumptions!$C$138)</f>
        <v>0</v>
      </c>
      <c r="K24" s="41" t="n">
        <f aca="false">IF(K$3&lt;Assumptions!$C$124,0,MIN(Assumptions!$C$136,Assumptions!$C$128+Assumptions!$C$132*(K$3-Assumptions!$C$124)))+IF(K$3&lt;Assumptions!$C$124,0,K$19*Assumptions!$C$138)</f>
        <v>0</v>
      </c>
      <c r="L24" s="41" t="n">
        <f aca="false">IF(L$3&lt;Assumptions!$C$124,0,MIN(Assumptions!$C$136,Assumptions!$C$128+Assumptions!$C$132*(L$3-Assumptions!$C$124)))+IF(L$3&lt;Assumptions!$C$124,0,L$19*Assumptions!$C$138)</f>
        <v>0</v>
      </c>
      <c r="M24" s="41" t="n">
        <f aca="false">IF(M$3&lt;Assumptions!$C$124,0,MIN(Assumptions!$C$136,Assumptions!$C$128+Assumptions!$C$132*(M$3-Assumptions!$C$124)))+IF(M$3&lt;Assumptions!$C$124,0,M$19*Assumptions!$C$138)</f>
        <v>0</v>
      </c>
      <c r="N24" s="41" t="n">
        <f aca="false">IF(N$3&lt;Assumptions!$C$124,0,MIN(Assumptions!$C$136,Assumptions!$C$128+Assumptions!$C$132*(N$3-Assumptions!$C$124)))+IF(N$3&lt;Assumptions!$C$124,0,N$19*Assumptions!$C$138)</f>
        <v>0.1</v>
      </c>
      <c r="O24" s="41" t="n">
        <f aca="false">IF(O$3&lt;Assumptions!$C$124,0,MIN(Assumptions!$C$136,Assumptions!$C$128+Assumptions!$C$132*(O$3-Assumptions!$C$124)))+IF(O$3&lt;Assumptions!$C$124,0,O$19*Assumptions!$C$138)</f>
        <v>0.115</v>
      </c>
      <c r="P24" s="41" t="n">
        <f aca="false">IF(P$3&lt;Assumptions!$C$124,0,MIN(Assumptions!$C$136,Assumptions!$C$128+Assumptions!$C$132*(P$3-Assumptions!$C$124)))+IF(P$3&lt;Assumptions!$C$124,0,P$19*Assumptions!$C$138)</f>
        <v>0.13</v>
      </c>
      <c r="Q24" s="41" t="n">
        <f aca="false">IF(Q$3&lt;Assumptions!$C$124,0,MIN(Assumptions!$C$136,Assumptions!$C$128+Assumptions!$C$132*(Q$3-Assumptions!$C$124)))+IF(Q$3&lt;Assumptions!$C$124,0,Q$19*Assumptions!$C$138)</f>
        <v>0.145</v>
      </c>
      <c r="R24" s="41" t="n">
        <f aca="false">IF(R$3&lt;Assumptions!$C$124,0,MIN(Assumptions!$C$136,Assumptions!$C$128+Assumptions!$C$132*(R$3-Assumptions!$C$124)))+IF(R$3&lt;Assumptions!$C$124,0,R$19*Assumptions!$C$138)</f>
        <v>0.16</v>
      </c>
      <c r="S24" s="41" t="n">
        <f aca="false">IF(S$3&lt;Assumptions!$C$124,0,MIN(Assumptions!$C$136,Assumptions!$C$128+Assumptions!$C$132*(S$3-Assumptions!$C$124)))+IF(S$3&lt;Assumptions!$C$124,0,S$19*Assumptions!$C$138)</f>
        <v>0.175</v>
      </c>
      <c r="T24" s="41" t="n">
        <f aca="false">IF(T$3&lt;Assumptions!$C$124,0,MIN(Assumptions!$C$136,Assumptions!$C$128+Assumptions!$C$132*(T$3-Assumptions!$C$124)))+IF(T$3&lt;Assumptions!$C$124,0,T$19*Assumptions!$C$138)</f>
        <v>0.19</v>
      </c>
      <c r="U24" s="41" t="n">
        <f aca="false">IF(U$3&lt;Assumptions!$C$124,0,MIN(Assumptions!$C$136,Assumptions!$C$128+Assumptions!$C$132*(U$3-Assumptions!$C$124)))+IF(U$3&lt;Assumptions!$C$124,0,U$19*Assumptions!$C$138)</f>
        <v>0.205</v>
      </c>
      <c r="V24" s="41" t="n">
        <f aca="false">IF(V$3&lt;Assumptions!$C$124,0,MIN(Assumptions!$C$136,Assumptions!$C$128+Assumptions!$C$132*(V$3-Assumptions!$C$124)))+IF(V$3&lt;Assumptions!$C$124,0,V$19*Assumptions!$C$138)</f>
        <v>0.22</v>
      </c>
      <c r="W24" s="41" t="n">
        <f aca="false">IF(W$3&lt;Assumptions!$C$124,0,MIN(Assumptions!$C$136,Assumptions!$C$128+Assumptions!$C$132*(W$3-Assumptions!$C$124)))+IF(W$3&lt;Assumptions!$C$124,0,W$19*Assumptions!$C$138)</f>
        <v>0.235</v>
      </c>
      <c r="X24" s="41" t="n">
        <f aca="false">IF(X$3&lt;Assumptions!$C$124,0,MIN(Assumptions!$C$136,Assumptions!$C$128+Assumptions!$C$132*(X$3-Assumptions!$C$124)))+IF(X$3&lt;Assumptions!$C$124,0,X$19*Assumptions!$C$138)</f>
        <v>0.25</v>
      </c>
      <c r="Y24" s="41" t="n">
        <f aca="false">IF(Y$3&lt;Assumptions!$C$124,0,MIN(Assumptions!$C$136,Assumptions!$C$128+Assumptions!$C$132*(Y$3-Assumptions!$C$124)))+IF(Y$3&lt;Assumptions!$C$124,0,Y$19*Assumptions!$C$138)</f>
        <v>0.265</v>
      </c>
      <c r="Z24" s="41" t="n">
        <f aca="false">IF(Z$3&lt;Assumptions!$C$124,0,MIN(Assumptions!$C$136,Assumptions!$C$128+Assumptions!$C$132*(Z$3-Assumptions!$C$124)))+IF(Z$3&lt;Assumptions!$C$124,0,Z$19*Assumptions!$C$138)</f>
        <v>0.28</v>
      </c>
      <c r="AA24" s="41" t="n">
        <f aca="false">IF(AA$3&lt;Assumptions!$C$124,0,MIN(Assumptions!$C$136,Assumptions!$C$128+Assumptions!$C$132*(AA$3-Assumptions!$C$124)))+IF(AA$3&lt;Assumptions!$C$124,0,AA$19*Assumptions!$C$138)</f>
        <v>0.295</v>
      </c>
      <c r="AB24" s="41" t="n">
        <f aca="false">IF(AB$3&lt;Assumptions!$C$124,0,MIN(Assumptions!$C$136,Assumptions!$C$128+Assumptions!$C$132*(AB$3-Assumptions!$C$124)))+IF(AB$3&lt;Assumptions!$C$124,0,AB$19*Assumptions!$C$138)</f>
        <v>0.31</v>
      </c>
      <c r="AC24" s="41" t="n">
        <f aca="false">IF(AC$3&lt;Assumptions!$C$124,0,MIN(Assumptions!$C$136,Assumptions!$C$128+Assumptions!$C$132*(AC$3-Assumptions!$C$124)))+IF(AC$3&lt;Assumptions!$C$124,0,AC$19*Assumptions!$C$138)</f>
        <v>0.325</v>
      </c>
      <c r="AD24" s="41" t="n">
        <f aca="false">IF(AD$3&lt;Assumptions!$C$124,0,MIN(Assumptions!$C$136,Assumptions!$C$128+Assumptions!$C$132*(AD$3-Assumptions!$C$124)))+IF(AD$3&lt;Assumptions!$C$124,0,AD$19*Assumptions!$C$138)</f>
        <v>0.34</v>
      </c>
      <c r="AE24" s="41" t="n">
        <f aca="false">IF(AE$3&lt;Assumptions!$C$124,0,MIN(Assumptions!$C$136,Assumptions!$C$128+Assumptions!$C$132*(AE$3-Assumptions!$C$124)))+IF(AE$3&lt;Assumptions!$C$124,0,AE$19*Assumptions!$C$138)</f>
        <v>0.355</v>
      </c>
      <c r="AF24" s="41" t="n">
        <f aca="false">IF(AF$3&lt;Assumptions!$C$124,0,MIN(Assumptions!$C$136,Assumptions!$C$128+Assumptions!$C$132*(AF$3-Assumptions!$C$124)))+IF(AF$3&lt;Assumptions!$C$124,0,AF$19*Assumptions!$C$138)</f>
        <v>0.37</v>
      </c>
      <c r="AG24" s="41" t="n">
        <f aca="false">IF(AG$3&lt;Assumptions!$C$124,0,MIN(Assumptions!$C$136,Assumptions!$C$128+Assumptions!$C$132*(AG$3-Assumptions!$C$124)))+IF(AG$3&lt;Assumptions!$C$124,0,AG$19*Assumptions!$C$138)</f>
        <v>0.385</v>
      </c>
      <c r="AH24" s="41" t="n">
        <f aca="false">IF(AH$3&lt;Assumptions!$C$124,0,MIN(Assumptions!$C$136,Assumptions!$C$128+Assumptions!$C$132*(AH$3-Assumptions!$C$124)))+IF(AH$3&lt;Assumptions!$C$124,0,AH$19*Assumptions!$C$138)</f>
        <v>0.4</v>
      </c>
      <c r="AI24" s="41" t="n">
        <f aca="false">IF(AI$3&lt;Assumptions!$C$124,0,MIN(Assumptions!$C$136,Assumptions!$C$128+Assumptions!$C$132*(AI$3-Assumptions!$C$124)))+IF(AI$3&lt;Assumptions!$C$124,0,AI$19*Assumptions!$C$138)</f>
        <v>0.415</v>
      </c>
      <c r="AJ24" s="41" t="n">
        <f aca="false">IF(AJ$3&lt;Assumptions!$C$124,0,MIN(Assumptions!$C$136,Assumptions!$C$128+Assumptions!$C$132*(AJ$3-Assumptions!$C$124)))+IF(AJ$3&lt;Assumptions!$C$124,0,AJ$19*Assumptions!$C$138)</f>
        <v>0.43</v>
      </c>
      <c r="AK24" s="41" t="n">
        <f aca="false">IF(AK$3&lt;Assumptions!$C$124,0,MIN(Assumptions!$C$136,Assumptions!$C$128+Assumptions!$C$132*(AK$3-Assumptions!$C$124)))+IF(AK$3&lt;Assumptions!$C$124,0,AK$19*Assumptions!$C$138)</f>
        <v>0.445</v>
      </c>
      <c r="AL24" s="41" t="n">
        <f aca="false">IF(AL$3&lt;Assumptions!$C$124,0,MIN(Assumptions!$C$136,Assumptions!$C$128+Assumptions!$C$132*(AL$3-Assumptions!$C$124)))+IF(AL$3&lt;Assumptions!$C$124,0,AL$19*Assumptions!$C$138)</f>
        <v>0.46</v>
      </c>
    </row>
    <row r="25" customFormat="false" ht="15" hidden="false" customHeight="false" outlineLevel="0" collapsed="false">
      <c r="A25" s="9" t="s">
        <v>570</v>
      </c>
      <c r="B25" s="2" t="s">
        <v>567</v>
      </c>
      <c r="C25" s="41" t="n">
        <f aca="false">IF(C$3&lt;Assumptions!$C$125,0,MIN(Assumptions!$C$137,Assumptions!$C$129+Assumptions!$C$133*(C$3-Assumptions!$C$125)))+IF(C$3&lt;Assumptions!$C$125,0,C$19*Assumptions!$C$139)</f>
        <v>0</v>
      </c>
      <c r="D25" s="41" t="n">
        <f aca="false">IF(D$3&lt;Assumptions!$C$125,0,MIN(Assumptions!$C$137,Assumptions!$C$129+Assumptions!$C$133*(D$3-Assumptions!$C$125)))+IF(D$3&lt;Assumptions!$C$125,0,D$19*Assumptions!$C$139)</f>
        <v>0</v>
      </c>
      <c r="E25" s="41" t="n">
        <f aca="false">IF(E$3&lt;Assumptions!$C$125,0,MIN(Assumptions!$C$137,Assumptions!$C$129+Assumptions!$C$133*(E$3-Assumptions!$C$125)))+IF(E$3&lt;Assumptions!$C$125,0,E$19*Assumptions!$C$139)</f>
        <v>0</v>
      </c>
      <c r="F25" s="41" t="n">
        <f aca="false">IF(F$3&lt;Assumptions!$C$125,0,MIN(Assumptions!$C$137,Assumptions!$C$129+Assumptions!$C$133*(F$3-Assumptions!$C$125)))+IF(F$3&lt;Assumptions!$C$125,0,F$19*Assumptions!$C$139)</f>
        <v>0</v>
      </c>
      <c r="G25" s="41" t="n">
        <f aca="false">IF(G$3&lt;Assumptions!$C$125,0,MIN(Assumptions!$C$137,Assumptions!$C$129+Assumptions!$C$133*(G$3-Assumptions!$C$125)))+IF(G$3&lt;Assumptions!$C$125,0,G$19*Assumptions!$C$139)</f>
        <v>0</v>
      </c>
      <c r="H25" s="41" t="n">
        <f aca="false">IF(H$3&lt;Assumptions!$C$125,0,MIN(Assumptions!$C$137,Assumptions!$C$129+Assumptions!$C$133*(H$3-Assumptions!$C$125)))+IF(H$3&lt;Assumptions!$C$125,0,H$19*Assumptions!$C$139)</f>
        <v>0</v>
      </c>
      <c r="I25" s="41" t="n">
        <f aca="false">IF(I$3&lt;Assumptions!$C$125,0,MIN(Assumptions!$C$137,Assumptions!$C$129+Assumptions!$C$133*(I$3-Assumptions!$C$125)))+IF(I$3&lt;Assumptions!$C$125,0,I$19*Assumptions!$C$139)</f>
        <v>0</v>
      </c>
      <c r="J25" s="41" t="n">
        <f aca="false">IF(J$3&lt;Assumptions!$C$125,0,MIN(Assumptions!$C$137,Assumptions!$C$129+Assumptions!$C$133*(J$3-Assumptions!$C$125)))+IF(J$3&lt;Assumptions!$C$125,0,J$19*Assumptions!$C$139)</f>
        <v>0</v>
      </c>
      <c r="K25" s="41" t="n">
        <f aca="false">IF(K$3&lt;Assumptions!$C$125,0,MIN(Assumptions!$C$137,Assumptions!$C$129+Assumptions!$C$133*(K$3-Assumptions!$C$125)))+IF(K$3&lt;Assumptions!$C$125,0,K$19*Assumptions!$C$139)</f>
        <v>0</v>
      </c>
      <c r="L25" s="41" t="n">
        <f aca="false">IF(L$3&lt;Assumptions!$C$125,0,MIN(Assumptions!$C$137,Assumptions!$C$129+Assumptions!$C$133*(L$3-Assumptions!$C$125)))+IF(L$3&lt;Assumptions!$C$125,0,L$19*Assumptions!$C$139)</f>
        <v>0</v>
      </c>
      <c r="M25" s="41" t="n">
        <f aca="false">IF(M$3&lt;Assumptions!$C$125,0,MIN(Assumptions!$C$137,Assumptions!$C$129+Assumptions!$C$133*(M$3-Assumptions!$C$125)))+IF(M$3&lt;Assumptions!$C$125,0,M$19*Assumptions!$C$139)</f>
        <v>0</v>
      </c>
      <c r="N25" s="41" t="n">
        <f aca="false">IF(N$3&lt;Assumptions!$C$125,0,MIN(Assumptions!$C$137,Assumptions!$C$129+Assumptions!$C$133*(N$3-Assumptions!$C$125)))+IF(N$3&lt;Assumptions!$C$125,0,N$19*Assumptions!$C$139)</f>
        <v>0</v>
      </c>
      <c r="O25" s="41" t="n">
        <f aca="false">IF(O$3&lt;Assumptions!$C$125,0,MIN(Assumptions!$C$137,Assumptions!$C$129+Assumptions!$C$133*(O$3-Assumptions!$C$125)))+IF(O$3&lt;Assumptions!$C$125,0,O$19*Assumptions!$C$139)</f>
        <v>0</v>
      </c>
      <c r="P25" s="41" t="n">
        <f aca="false">IF(P$3&lt;Assumptions!$C$125,0,MIN(Assumptions!$C$137,Assumptions!$C$129+Assumptions!$C$133*(P$3-Assumptions!$C$125)))+IF(P$3&lt;Assumptions!$C$125,0,P$19*Assumptions!$C$139)</f>
        <v>0</v>
      </c>
      <c r="Q25" s="41" t="n">
        <f aca="false">IF(Q$3&lt;Assumptions!$C$125,0,MIN(Assumptions!$C$137,Assumptions!$C$129+Assumptions!$C$133*(Q$3-Assumptions!$C$125)))+IF(Q$3&lt;Assumptions!$C$125,0,Q$19*Assumptions!$C$139)</f>
        <v>0</v>
      </c>
      <c r="R25" s="41" t="n">
        <f aca="false">IF(R$3&lt;Assumptions!$C$125,0,MIN(Assumptions!$C$137,Assumptions!$C$129+Assumptions!$C$133*(R$3-Assumptions!$C$125)))+IF(R$3&lt;Assumptions!$C$125,0,R$19*Assumptions!$C$139)</f>
        <v>0</v>
      </c>
      <c r="S25" s="41" t="n">
        <f aca="false">IF(S$3&lt;Assumptions!$C$125,0,MIN(Assumptions!$C$137,Assumptions!$C$129+Assumptions!$C$133*(S$3-Assumptions!$C$125)))+IF(S$3&lt;Assumptions!$C$125,0,S$19*Assumptions!$C$139)</f>
        <v>0</v>
      </c>
      <c r="T25" s="41" t="n">
        <f aca="false">IF(T$3&lt;Assumptions!$C$125,0,MIN(Assumptions!$C$137,Assumptions!$C$129+Assumptions!$C$133*(T$3-Assumptions!$C$125)))+IF(T$3&lt;Assumptions!$C$125,0,T$19*Assumptions!$C$139)</f>
        <v>0.05</v>
      </c>
      <c r="U25" s="41" t="n">
        <f aca="false">IF(U$3&lt;Assumptions!$C$125,0,MIN(Assumptions!$C$137,Assumptions!$C$129+Assumptions!$C$133*(U$3-Assumptions!$C$125)))+IF(U$3&lt;Assumptions!$C$125,0,U$19*Assumptions!$C$139)</f>
        <v>0.054</v>
      </c>
      <c r="V25" s="41" t="n">
        <f aca="false">IF(V$3&lt;Assumptions!$C$125,0,MIN(Assumptions!$C$137,Assumptions!$C$129+Assumptions!$C$133*(V$3-Assumptions!$C$125)))+IF(V$3&lt;Assumptions!$C$125,0,V$19*Assumptions!$C$139)</f>
        <v>0.058</v>
      </c>
      <c r="W25" s="41" t="n">
        <f aca="false">IF(W$3&lt;Assumptions!$C$125,0,MIN(Assumptions!$C$137,Assumptions!$C$129+Assumptions!$C$133*(W$3-Assumptions!$C$125)))+IF(W$3&lt;Assumptions!$C$125,0,W$19*Assumptions!$C$139)</f>
        <v>0.062</v>
      </c>
      <c r="X25" s="41" t="n">
        <f aca="false">IF(X$3&lt;Assumptions!$C$125,0,MIN(Assumptions!$C$137,Assumptions!$C$129+Assumptions!$C$133*(X$3-Assumptions!$C$125)))+IF(X$3&lt;Assumptions!$C$125,0,X$19*Assumptions!$C$139)</f>
        <v>0.066</v>
      </c>
      <c r="Y25" s="41" t="n">
        <f aca="false">IF(Y$3&lt;Assumptions!$C$125,0,MIN(Assumptions!$C$137,Assumptions!$C$129+Assumptions!$C$133*(Y$3-Assumptions!$C$125)))+IF(Y$3&lt;Assumptions!$C$125,0,Y$19*Assumptions!$C$139)</f>
        <v>0.07</v>
      </c>
      <c r="Z25" s="41" t="n">
        <f aca="false">IF(Z$3&lt;Assumptions!$C$125,0,MIN(Assumptions!$C$137,Assumptions!$C$129+Assumptions!$C$133*(Z$3-Assumptions!$C$125)))+IF(Z$3&lt;Assumptions!$C$125,0,Z$19*Assumptions!$C$139)</f>
        <v>0.074</v>
      </c>
      <c r="AA25" s="41" t="n">
        <f aca="false">IF(AA$3&lt;Assumptions!$C$125,0,MIN(Assumptions!$C$137,Assumptions!$C$129+Assumptions!$C$133*(AA$3-Assumptions!$C$125)))+IF(AA$3&lt;Assumptions!$C$125,0,AA$19*Assumptions!$C$139)</f>
        <v>0.078</v>
      </c>
      <c r="AB25" s="41" t="n">
        <f aca="false">IF(AB$3&lt;Assumptions!$C$125,0,MIN(Assumptions!$C$137,Assumptions!$C$129+Assumptions!$C$133*(AB$3-Assumptions!$C$125)))+IF(AB$3&lt;Assumptions!$C$125,0,AB$19*Assumptions!$C$139)</f>
        <v>0.082</v>
      </c>
      <c r="AC25" s="41" t="n">
        <f aca="false">IF(AC$3&lt;Assumptions!$C$125,0,MIN(Assumptions!$C$137,Assumptions!$C$129+Assumptions!$C$133*(AC$3-Assumptions!$C$125)))+IF(AC$3&lt;Assumptions!$C$125,0,AC$19*Assumptions!$C$139)</f>
        <v>0.086</v>
      </c>
      <c r="AD25" s="41" t="n">
        <f aca="false">IF(AD$3&lt;Assumptions!$C$125,0,MIN(Assumptions!$C$137,Assumptions!$C$129+Assumptions!$C$133*(AD$3-Assumptions!$C$125)))+IF(AD$3&lt;Assumptions!$C$125,0,AD$19*Assumptions!$C$139)</f>
        <v>0.09</v>
      </c>
      <c r="AE25" s="41" t="n">
        <f aca="false">IF(AE$3&lt;Assumptions!$C$125,0,MIN(Assumptions!$C$137,Assumptions!$C$129+Assumptions!$C$133*(AE$3-Assumptions!$C$125)))+IF(AE$3&lt;Assumptions!$C$125,0,AE$19*Assumptions!$C$139)</f>
        <v>0.094</v>
      </c>
      <c r="AF25" s="41" t="n">
        <f aca="false">IF(AF$3&lt;Assumptions!$C$125,0,MIN(Assumptions!$C$137,Assumptions!$C$129+Assumptions!$C$133*(AF$3-Assumptions!$C$125)))+IF(AF$3&lt;Assumptions!$C$125,0,AF$19*Assumptions!$C$139)</f>
        <v>0.098</v>
      </c>
      <c r="AG25" s="41" t="n">
        <f aca="false">IF(AG$3&lt;Assumptions!$C$125,0,MIN(Assumptions!$C$137,Assumptions!$C$129+Assumptions!$C$133*(AG$3-Assumptions!$C$125)))+IF(AG$3&lt;Assumptions!$C$125,0,AG$19*Assumptions!$C$139)</f>
        <v>0.102</v>
      </c>
      <c r="AH25" s="41" t="n">
        <f aca="false">IF(AH$3&lt;Assumptions!$C$125,0,MIN(Assumptions!$C$137,Assumptions!$C$129+Assumptions!$C$133*(AH$3-Assumptions!$C$125)))+IF(AH$3&lt;Assumptions!$C$125,0,AH$19*Assumptions!$C$139)</f>
        <v>0.106</v>
      </c>
      <c r="AI25" s="41" t="n">
        <f aca="false">IF(AI$3&lt;Assumptions!$C$125,0,MIN(Assumptions!$C$137,Assumptions!$C$129+Assumptions!$C$133*(AI$3-Assumptions!$C$125)))+IF(AI$3&lt;Assumptions!$C$125,0,AI$19*Assumptions!$C$139)</f>
        <v>0.11</v>
      </c>
      <c r="AJ25" s="41" t="n">
        <f aca="false">IF(AJ$3&lt;Assumptions!$C$125,0,MIN(Assumptions!$C$137,Assumptions!$C$129+Assumptions!$C$133*(AJ$3-Assumptions!$C$125)))+IF(AJ$3&lt;Assumptions!$C$125,0,AJ$19*Assumptions!$C$139)</f>
        <v>0.114</v>
      </c>
      <c r="AK25" s="41" t="n">
        <f aca="false">IF(AK$3&lt;Assumptions!$C$125,0,MIN(Assumptions!$C$137,Assumptions!$C$129+Assumptions!$C$133*(AK$3-Assumptions!$C$125)))+IF(AK$3&lt;Assumptions!$C$125,0,AK$19*Assumptions!$C$139)</f>
        <v>0.118</v>
      </c>
      <c r="AL25" s="41" t="n">
        <f aca="false">IF(AL$3&lt;Assumptions!$C$125,0,MIN(Assumptions!$C$137,Assumptions!$C$129+Assumptions!$C$133*(AL$3-Assumptions!$C$125)))+IF(AL$3&lt;Assumptions!$C$125,0,AL$19*Assumptions!$C$139)</f>
        <v>0.122</v>
      </c>
    </row>
    <row r="26" customFormat="false" ht="15" hidden="false" customHeight="false" outlineLevel="0" collapsed="false">
      <c r="A26" s="9" t="s">
        <v>571</v>
      </c>
      <c r="B26" s="2" t="s">
        <v>567</v>
      </c>
      <c r="C26" s="41" t="n">
        <f aca="false">0</f>
        <v>0</v>
      </c>
      <c r="D26" s="41" t="n">
        <f aca="false">C30*Assumptions!$C$141</f>
        <v>0</v>
      </c>
      <c r="E26" s="41" t="n">
        <f aca="false">D30*Assumptions!$C$141</f>
        <v>0</v>
      </c>
      <c r="F26" s="41" t="n">
        <f aca="false">E30*Assumptions!$C$141</f>
        <v>0</v>
      </c>
      <c r="G26" s="41" t="n">
        <f aca="false">F30*Assumptions!$C$141</f>
        <v>0</v>
      </c>
      <c r="H26" s="41" t="n">
        <f aca="false">G30*Assumptions!$C$141</f>
        <v>0</v>
      </c>
      <c r="I26" s="41" t="n">
        <f aca="false">H30*Assumptions!$C$141</f>
        <v>0</v>
      </c>
      <c r="J26" s="41" t="n">
        <f aca="false">I30*Assumptions!$C$141</f>
        <v>0</v>
      </c>
      <c r="K26" s="41" t="n">
        <f aca="false">J30*Assumptions!$C$141</f>
        <v>0</v>
      </c>
      <c r="L26" s="41" t="n">
        <f aca="false">K30*Assumptions!$C$141</f>
        <v>0.036</v>
      </c>
      <c r="M26" s="41" t="n">
        <f aca="false">L30*Assumptions!$C$141</f>
        <v>0.07578</v>
      </c>
      <c r="N26" s="41" t="n">
        <f aca="false">M30*Assumptions!$C$141</f>
        <v>0.1191699</v>
      </c>
      <c r="O26" s="41" t="n">
        <f aca="false">N30*Assumptions!$C$141</f>
        <v>0.1660072545</v>
      </c>
      <c r="P26" s="41" t="n">
        <f aca="false">O30*Assumptions!$C$141</f>
        <v>0.2161369280475</v>
      </c>
      <c r="Q26" s="41" t="n">
        <f aca="false">P30*Assumptions!$C$141</f>
        <v>0.269410766285363</v>
      </c>
      <c r="R26" s="41" t="n">
        <f aca="false">Q30*Assumptions!$C$141</f>
        <v>0.325687281802521</v>
      </c>
      <c r="S26" s="41" t="n">
        <f aca="false">R30*Assumptions!$C$141</f>
        <v>0.384831354121408</v>
      </c>
      <c r="T26" s="41" t="n">
        <f aca="false">S30*Assumptions!$C$141</f>
        <v>0.446713943185944</v>
      </c>
      <c r="U26" s="41" t="n">
        <f aca="false">T30*Assumptions!$C$141</f>
        <v>0.511211815742577</v>
      </c>
      <c r="V26" s="41" t="n">
        <f aca="false">U30*Assumptions!$C$141</f>
        <v>0.578207284034161</v>
      </c>
      <c r="W26" s="41" t="n">
        <f aca="false">V30*Assumptions!$C$141</f>
        <v>0.647587956252624</v>
      </c>
      <c r="X26" s="41" t="n">
        <f aca="false">W30*Assumptions!$C$141</f>
        <v>0.719246498221256</v>
      </c>
      <c r="Y26" s="41" t="n">
        <f aca="false">X30*Assumptions!$C$141</f>
        <v>0.793080405801299</v>
      </c>
      <c r="Z26" s="41" t="n">
        <f aca="false">Y30*Assumptions!$C$141</f>
        <v>0.868991787540241</v>
      </c>
      <c r="AA26" s="41" t="n">
        <f aca="false">Z30*Assumptions!$C$141</f>
        <v>0.94688715710093</v>
      </c>
      <c r="AB26" s="41" t="n">
        <f aca="false">AA30*Assumptions!$C$141</f>
        <v>1.02667723503139</v>
      </c>
      <c r="AC26" s="41" t="n">
        <f aca="false">AB30*Assumptions!$C$141</f>
        <v>1.10827675945498</v>
      </c>
      <c r="AD26" s="41" t="n">
        <f aca="false">AC30*Assumptions!$C$141</f>
        <v>1.1916043052795</v>
      </c>
      <c r="AE26" s="41" t="n">
        <f aca="false">AD30*Assumptions!$C$141</f>
        <v>1.27658211154192</v>
      </c>
      <c r="AF26" s="41" t="n">
        <f aca="false">AE30*Assumptions!$C$141</f>
        <v>1.36313591652254</v>
      </c>
      <c r="AG26" s="41" t="n">
        <f aca="false">AF30*Assumptions!$C$141</f>
        <v>1.45119480027902</v>
      </c>
      <c r="AH26" s="41" t="n">
        <f aca="false">AG30*Assumptions!$C$141</f>
        <v>1.54069103426647</v>
      </c>
      <c r="AI26" s="41" t="n">
        <f aca="false">AH30*Assumptions!$C$141</f>
        <v>1.63155993772448</v>
      </c>
      <c r="AJ26" s="41" t="n">
        <f aca="false">AI30*Assumptions!$C$141</f>
        <v>1.72373974052687</v>
      </c>
      <c r="AK26" s="41" t="n">
        <f aca="false">AJ30*Assumptions!$C$141</f>
        <v>1.81717145220317</v>
      </c>
      <c r="AL26" s="41" t="n">
        <f aca="false">AK30*Assumptions!$C$141</f>
        <v>1.91179873685402</v>
      </c>
    </row>
    <row r="27" customFormat="false" ht="15" hidden="false" customHeight="false" outlineLevel="0" collapsed="false">
      <c r="A27" s="9" t="s">
        <v>572</v>
      </c>
      <c r="B27" s="2" t="s">
        <v>567</v>
      </c>
      <c r="C27" s="41" t="n">
        <f aca="false">0</f>
        <v>0</v>
      </c>
      <c r="D27" s="41" t="n">
        <f aca="false">C31*Assumptions!$C$142</f>
        <v>0</v>
      </c>
      <c r="E27" s="41" t="n">
        <f aca="false">D31*Assumptions!$C$142</f>
        <v>0</v>
      </c>
      <c r="F27" s="41" t="n">
        <f aca="false">E31*Assumptions!$C$142</f>
        <v>0</v>
      </c>
      <c r="G27" s="41" t="n">
        <f aca="false">F31*Assumptions!$C$142</f>
        <v>0</v>
      </c>
      <c r="H27" s="41" t="n">
        <f aca="false">G31*Assumptions!$C$142</f>
        <v>0</v>
      </c>
      <c r="I27" s="41" t="n">
        <f aca="false">H31*Assumptions!$C$142</f>
        <v>0</v>
      </c>
      <c r="J27" s="41" t="n">
        <f aca="false">I31*Assumptions!$C$142</f>
        <v>0</v>
      </c>
      <c r="K27" s="41" t="n">
        <f aca="false">J31*Assumptions!$C$142</f>
        <v>0</v>
      </c>
      <c r="L27" s="41" t="n">
        <f aca="false">K31*Assumptions!$C$142</f>
        <v>0</v>
      </c>
      <c r="M27" s="41" t="n">
        <f aca="false">L31*Assumptions!$C$142</f>
        <v>0.007</v>
      </c>
      <c r="N27" s="41" t="n">
        <f aca="false">M31*Assumptions!$C$142</f>
        <v>0.015155</v>
      </c>
      <c r="O27" s="41" t="n">
        <f aca="false">N31*Assumptions!$C$142</f>
        <v>0.024424575</v>
      </c>
      <c r="P27" s="41" t="n">
        <f aca="false">O31*Assumptions!$C$142</f>
        <v>0.034769714875</v>
      </c>
      <c r="Q27" s="41" t="n">
        <f aca="false">P31*Assumptions!$C$142</f>
        <v>0.046152774854375</v>
      </c>
      <c r="R27" s="41" t="n">
        <f aca="false">Q31*Assumptions!$C$142</f>
        <v>0.0585374277344719</v>
      </c>
      <c r="S27" s="41" t="n">
        <f aca="false">R31*Assumptions!$C$142</f>
        <v>0.0718886177637654</v>
      </c>
      <c r="T27" s="41" t="n">
        <f aca="false">S31*Assumptions!$C$142</f>
        <v>0.0861725161420336</v>
      </c>
      <c r="U27" s="41" t="n">
        <f aca="false">T31*Assumptions!$C$142</f>
        <v>0.101356478077062</v>
      </c>
      <c r="V27" s="41" t="n">
        <f aca="false">U31*Assumptions!$C$142</f>
        <v>0.117409001344365</v>
      </c>
      <c r="W27" s="41" t="n">
        <f aca="false">V31*Assumptions!$C$142</f>
        <v>0.134299686297312</v>
      </c>
      <c r="X27" s="41" t="n">
        <f aca="false">W31*Assumptions!$C$142</f>
        <v>0.151999197276907</v>
      </c>
      <c r="Y27" s="41" t="n">
        <f aca="false">X31*Assumptions!$C$142</f>
        <v>0.170479225372215</v>
      </c>
      <c r="Z27" s="41" t="n">
        <f aca="false">Y31*Assumptions!$C$142</f>
        <v>0.189712452484187</v>
      </c>
      <c r="AA27" s="41" t="n">
        <f aca="false">Z31*Assumptions!$C$142</f>
        <v>0.209672516647241</v>
      </c>
      <c r="AB27" s="41" t="n">
        <f aca="false">AA31*Assumptions!$C$142</f>
        <v>0.230333978564587</v>
      </c>
      <c r="AC27" s="41" t="n">
        <f aca="false">AB31*Assumptions!$C$142</f>
        <v>0.251672289314827</v>
      </c>
      <c r="AD27" s="41" t="n">
        <f aca="false">AC31*Assumptions!$C$142</f>
        <v>0.273663759188808</v>
      </c>
      <c r="AE27" s="41" t="n">
        <f aca="false">AD31*Assumptions!$C$142</f>
        <v>0.2962855276172</v>
      </c>
      <c r="AF27" s="41" t="n">
        <f aca="false">AE31*Assumptions!$C$142</f>
        <v>0.319515534150598</v>
      </c>
      <c r="AG27" s="41" t="n">
        <f aca="false">AF31*Assumptions!$C$142</f>
        <v>0.343332490455327</v>
      </c>
      <c r="AH27" s="41" t="n">
        <f aca="false">AG31*Assumptions!$C$142</f>
        <v>0.36771585328939</v>
      </c>
      <c r="AI27" s="41" t="n">
        <f aca="false">AH31*Assumptions!$C$142</f>
        <v>0.392645798424262</v>
      </c>
      <c r="AJ27" s="41" t="n">
        <f aca="false">AI31*Assumptions!$C$142</f>
        <v>0.418103195479413</v>
      </c>
      <c r="AK27" s="41" t="n">
        <f aca="false">AJ31*Assumptions!$C$142</f>
        <v>0.444069583637633</v>
      </c>
      <c r="AL27" s="41" t="n">
        <f aca="false">AK31*Assumptions!$C$142</f>
        <v>0.470527148210316</v>
      </c>
    </row>
    <row r="28" customFormat="false" ht="15" hidden="false" customHeight="false" outlineLevel="0" collapsed="false">
      <c r="A28" s="9" t="s">
        <v>573</v>
      </c>
      <c r="B28" s="2" t="s">
        <v>567</v>
      </c>
      <c r="C28" s="41" t="n">
        <f aca="false">0</f>
        <v>0</v>
      </c>
      <c r="D28" s="41" t="n">
        <f aca="false">C32*Assumptions!$C$143</f>
        <v>0</v>
      </c>
      <c r="E28" s="41" t="n">
        <f aca="false">D32*Assumptions!$C$143</f>
        <v>0</v>
      </c>
      <c r="F28" s="41" t="n">
        <f aca="false">E32*Assumptions!$C$143</f>
        <v>0</v>
      </c>
      <c r="G28" s="41" t="n">
        <f aca="false">F32*Assumptions!$C$143</f>
        <v>0</v>
      </c>
      <c r="H28" s="41" t="n">
        <f aca="false">G32*Assumptions!$C$143</f>
        <v>0</v>
      </c>
      <c r="I28" s="41" t="n">
        <f aca="false">H32*Assumptions!$C$143</f>
        <v>0</v>
      </c>
      <c r="J28" s="41" t="n">
        <f aca="false">I32*Assumptions!$C$143</f>
        <v>0</v>
      </c>
      <c r="K28" s="41" t="n">
        <f aca="false">J32*Assumptions!$C$143</f>
        <v>0</v>
      </c>
      <c r="L28" s="41" t="n">
        <f aca="false">K32*Assumptions!$C$143</f>
        <v>0</v>
      </c>
      <c r="M28" s="41" t="n">
        <f aca="false">L32*Assumptions!$C$143</f>
        <v>0</v>
      </c>
      <c r="N28" s="41" t="n">
        <f aca="false">M32*Assumptions!$C$143</f>
        <v>0</v>
      </c>
      <c r="O28" s="41" t="n">
        <f aca="false">N32*Assumptions!$C$143</f>
        <v>0.0015</v>
      </c>
      <c r="P28" s="41" t="n">
        <f aca="false">O32*Assumptions!$C$143</f>
        <v>0.0032025</v>
      </c>
      <c r="Q28" s="41" t="n">
        <f aca="false">P32*Assumptions!$C$143</f>
        <v>0.0051044625</v>
      </c>
      <c r="R28" s="41" t="n">
        <f aca="false">Q32*Assumptions!$C$143</f>
        <v>0.0072028955625</v>
      </c>
      <c r="S28" s="41" t="n">
        <f aca="false">R32*Assumptions!$C$143</f>
        <v>0.0094948521290625</v>
      </c>
      <c r="T28" s="41" t="n">
        <f aca="false">S32*Assumptions!$C$143</f>
        <v>0.0119774293471266</v>
      </c>
      <c r="U28" s="41" t="n">
        <f aca="false">T32*Assumptions!$C$143</f>
        <v>0.0146477679069197</v>
      </c>
      <c r="V28" s="41" t="n">
        <f aca="false">U32*Assumptions!$C$143</f>
        <v>0.0175030513883159</v>
      </c>
      <c r="W28" s="41" t="n">
        <f aca="false">V32*Assumptions!$C$143</f>
        <v>0.0205405056174911</v>
      </c>
      <c r="X28" s="41" t="n">
        <f aca="false">W32*Assumptions!$C$143</f>
        <v>0.0237573980332288</v>
      </c>
      <c r="Y28" s="41" t="n">
        <f aca="false">X32*Assumptions!$C$143</f>
        <v>0.0271510370627303</v>
      </c>
      <c r="Z28" s="41" t="n">
        <f aca="false">Y32*Assumptions!$C$143</f>
        <v>0.0307187715067894</v>
      </c>
      <c r="AA28" s="41" t="n">
        <f aca="false">Z32*Assumptions!$C$143</f>
        <v>0.0344579899341875</v>
      </c>
      <c r="AB28" s="41" t="n">
        <f aca="false">AA32*Assumptions!$C$143</f>
        <v>0.0383661200851747</v>
      </c>
      <c r="AC28" s="41" t="n">
        <f aca="false">AB32*Assumptions!$C$143</f>
        <v>0.0424406282838971</v>
      </c>
      <c r="AD28" s="41" t="n">
        <f aca="false">AC32*Assumptions!$C$143</f>
        <v>0.0466790188596386</v>
      </c>
      <c r="AE28" s="41" t="n">
        <f aca="false">AD32*Assumptions!$C$143</f>
        <v>0.0510788335767441</v>
      </c>
      <c r="AF28" s="41" t="n">
        <f aca="false">AE32*Assumptions!$C$143</f>
        <v>0.0556376510730929</v>
      </c>
      <c r="AG28" s="41" t="n">
        <f aca="false">AF32*Assumptions!$C$143</f>
        <v>0.0603530863069965</v>
      </c>
      <c r="AH28" s="41" t="n">
        <f aca="false">AG32*Assumptions!$C$143</f>
        <v>0.0652227900123916</v>
      </c>
      <c r="AI28" s="41" t="n">
        <f aca="false">AH32*Assumptions!$C$143</f>
        <v>0.0702444481622057</v>
      </c>
      <c r="AJ28" s="41" t="n">
        <f aca="false">AI32*Assumptions!$C$143</f>
        <v>0.0754157814397726</v>
      </c>
      <c r="AK28" s="41" t="n">
        <f aca="false">AJ32*Assumptions!$C$143</f>
        <v>0.080734544718176</v>
      </c>
      <c r="AL28" s="41" t="n">
        <f aca="false">AK32*Assumptions!$C$143</f>
        <v>0.0861985265474034</v>
      </c>
    </row>
    <row r="29" customFormat="false" ht="15" hidden="false" customHeight="false" outlineLevel="0" collapsed="false">
      <c r="A29" s="9" t="s">
        <v>574</v>
      </c>
      <c r="B29" s="2" t="s">
        <v>567</v>
      </c>
      <c r="C29" s="41" t="n">
        <f aca="false">0</f>
        <v>0</v>
      </c>
      <c r="D29" s="41" t="n">
        <f aca="false">C33*Assumptions!$C$144</f>
        <v>0</v>
      </c>
      <c r="E29" s="41" t="n">
        <f aca="false">D33*Assumptions!$C$144</f>
        <v>0</v>
      </c>
      <c r="F29" s="41" t="n">
        <f aca="false">E33*Assumptions!$C$144</f>
        <v>0</v>
      </c>
      <c r="G29" s="41" t="n">
        <f aca="false">F33*Assumptions!$C$144</f>
        <v>0</v>
      </c>
      <c r="H29" s="41" t="n">
        <f aca="false">G33*Assumptions!$C$144</f>
        <v>0</v>
      </c>
      <c r="I29" s="41" t="n">
        <f aca="false">H33*Assumptions!$C$144</f>
        <v>0</v>
      </c>
      <c r="J29" s="41" t="n">
        <f aca="false">I33*Assumptions!$C$144</f>
        <v>0</v>
      </c>
      <c r="K29" s="41" t="n">
        <f aca="false">J33*Assumptions!$C$144</f>
        <v>0</v>
      </c>
      <c r="L29" s="41" t="n">
        <f aca="false">K33*Assumptions!$C$144</f>
        <v>0</v>
      </c>
      <c r="M29" s="41" t="n">
        <f aca="false">L33*Assumptions!$C$144</f>
        <v>0</v>
      </c>
      <c r="N29" s="41" t="n">
        <f aca="false">M33*Assumptions!$C$144</f>
        <v>0</v>
      </c>
      <c r="O29" s="41" t="n">
        <f aca="false">N33*Assumptions!$C$144</f>
        <v>0</v>
      </c>
      <c r="P29" s="41" t="n">
        <f aca="false">O33*Assumptions!$C$144</f>
        <v>0</v>
      </c>
      <c r="Q29" s="41" t="n">
        <f aca="false">P33*Assumptions!$C$144</f>
        <v>0</v>
      </c>
      <c r="R29" s="41" t="n">
        <f aca="false">Q33*Assumptions!$C$144</f>
        <v>0</v>
      </c>
      <c r="S29" s="41" t="n">
        <f aca="false">R33*Assumptions!$C$144</f>
        <v>0</v>
      </c>
      <c r="T29" s="41" t="n">
        <f aca="false">S33*Assumptions!$C$144</f>
        <v>0</v>
      </c>
      <c r="U29" s="41" t="n">
        <f aca="false">T33*Assumptions!$C$144</f>
        <v>0.0005</v>
      </c>
      <c r="V29" s="41" t="n">
        <f aca="false">U33*Assumptions!$C$144</f>
        <v>0.001035</v>
      </c>
      <c r="W29" s="41" t="n">
        <f aca="false">V33*Assumptions!$C$144</f>
        <v>0.00160465</v>
      </c>
      <c r="X29" s="41" t="n">
        <f aca="false">W33*Assumptions!$C$144</f>
        <v>0.0022086035</v>
      </c>
      <c r="Y29" s="41" t="n">
        <f aca="false">X33*Assumptions!$C$144</f>
        <v>0.002846517465</v>
      </c>
      <c r="Z29" s="41" t="n">
        <f aca="false">Y33*Assumptions!$C$144</f>
        <v>0.00351805229035</v>
      </c>
      <c r="AA29" s="41" t="n">
        <f aca="false">Z33*Assumptions!$C$144</f>
        <v>0.0042228717674465</v>
      </c>
      <c r="AB29" s="41" t="n">
        <f aca="false">AA33*Assumptions!$C$144</f>
        <v>0.00496064304977203</v>
      </c>
      <c r="AC29" s="41" t="n">
        <f aca="false">AB33*Assumptions!$C$144</f>
        <v>0.00573103661927431</v>
      </c>
      <c r="AD29" s="41" t="n">
        <f aca="false">AC33*Assumptions!$C$144</f>
        <v>0.00653372625308157</v>
      </c>
      <c r="AE29" s="41" t="n">
        <f aca="false">AD33*Assumptions!$C$144</f>
        <v>0.00736838899055075</v>
      </c>
      <c r="AF29" s="41" t="n">
        <f aca="false">AE33*Assumptions!$C$144</f>
        <v>0.00823470510064525</v>
      </c>
      <c r="AG29" s="41" t="n">
        <f aca="false">AF33*Assumptions!$C$144</f>
        <v>0.00913235804963879</v>
      </c>
      <c r="AH29" s="41" t="n">
        <f aca="false">AG33*Assumptions!$C$144</f>
        <v>0.0100610344691424</v>
      </c>
      <c r="AI29" s="41" t="n">
        <f aca="false">AH33*Assumptions!$C$144</f>
        <v>0.011020424124451</v>
      </c>
      <c r="AJ29" s="41" t="n">
        <f aca="false">AI33*Assumptions!$C$144</f>
        <v>0.0120102198832065</v>
      </c>
      <c r="AK29" s="41" t="n">
        <f aca="false">AJ33*Assumptions!$C$144</f>
        <v>0.0130301176843744</v>
      </c>
      <c r="AL29" s="41" t="n">
        <f aca="false">AK33*Assumptions!$C$144</f>
        <v>0.0140798165075307</v>
      </c>
    </row>
    <row r="30" customFormat="false" ht="15" hidden="false" customHeight="false" outlineLevel="0" collapsed="false">
      <c r="A30" s="9" t="s">
        <v>575</v>
      </c>
      <c r="B30" s="2" t="s">
        <v>567</v>
      </c>
      <c r="C30" s="42" t="n">
        <f aca="false">C22-C26</f>
        <v>0</v>
      </c>
      <c r="D30" s="42" t="n">
        <f aca="false">C30+D22-D26</f>
        <v>0</v>
      </c>
      <c r="E30" s="42" t="n">
        <f aca="false">D30+E22-E26</f>
        <v>0</v>
      </c>
      <c r="F30" s="42" t="n">
        <f aca="false">E30+F22-F26</f>
        <v>0</v>
      </c>
      <c r="G30" s="42" t="n">
        <f aca="false">F30+G22-G26</f>
        <v>0</v>
      </c>
      <c r="H30" s="42" t="n">
        <f aca="false">G30+H22-H26</f>
        <v>0</v>
      </c>
      <c r="I30" s="42" t="n">
        <f aca="false">H30+I22-I26</f>
        <v>0</v>
      </c>
      <c r="J30" s="42" t="n">
        <f aca="false">I30+J22-J26</f>
        <v>0</v>
      </c>
      <c r="K30" s="42" t="n">
        <f aca="false">J30+K22-K26</f>
        <v>0.8</v>
      </c>
      <c r="L30" s="42" t="n">
        <f aca="false">K30+L22-L26</f>
        <v>1.684</v>
      </c>
      <c r="M30" s="42" t="n">
        <f aca="false">L30+M22-M26</f>
        <v>2.64822</v>
      </c>
      <c r="N30" s="42" t="n">
        <f aca="false">M30+N22-N26</f>
        <v>3.6890501</v>
      </c>
      <c r="O30" s="42" t="n">
        <f aca="false">N30+O22-O26</f>
        <v>4.8030428455</v>
      </c>
      <c r="P30" s="42" t="n">
        <f aca="false">O30+P22-P26</f>
        <v>5.9869059174525</v>
      </c>
      <c r="Q30" s="42" t="n">
        <f aca="false">P30+Q22-Q26</f>
        <v>7.23749515116714</v>
      </c>
      <c r="R30" s="42" t="n">
        <f aca="false">Q30+R22-R26</f>
        <v>8.55180786936462</v>
      </c>
      <c r="S30" s="42" t="n">
        <f aca="false">R30+S22-S26</f>
        <v>9.92697651524321</v>
      </c>
      <c r="T30" s="42" t="n">
        <f aca="false">S30+T22-T26</f>
        <v>11.3602625720573</v>
      </c>
      <c r="U30" s="42" t="n">
        <f aca="false">T30+U22-U26</f>
        <v>12.8490507563147</v>
      </c>
      <c r="V30" s="42" t="n">
        <f aca="false">U30+V22-V26</f>
        <v>14.3908434722805</v>
      </c>
      <c r="W30" s="42" t="n">
        <f aca="false">V30+W22-W26</f>
        <v>15.9832555160279</v>
      </c>
      <c r="X30" s="42" t="n">
        <f aca="false">W30+X22-X26</f>
        <v>17.6240090178067</v>
      </c>
      <c r="Y30" s="42" t="n">
        <f aca="false">X30+Y22-Y26</f>
        <v>19.3109286120054</v>
      </c>
      <c r="Z30" s="42" t="n">
        <f aca="false">Y30+Z22-Z26</f>
        <v>21.0419368244651</v>
      </c>
      <c r="AA30" s="42" t="n">
        <f aca="false">Z30+AA22-AA26</f>
        <v>22.8150496673642</v>
      </c>
      <c r="AB30" s="42" t="n">
        <f aca="false">AA30+AB22-AB26</f>
        <v>24.6283724323328</v>
      </c>
      <c r="AC30" s="42" t="n">
        <f aca="false">AB30+AC22-AC26</f>
        <v>26.4800956728778</v>
      </c>
      <c r="AD30" s="42" t="n">
        <f aca="false">AC30+AD22-AD26</f>
        <v>28.3684913675983</v>
      </c>
      <c r="AE30" s="42" t="n">
        <f aca="false">AD30+AE22-AE26</f>
        <v>30.2919092560564</v>
      </c>
      <c r="AF30" s="42" t="n">
        <f aca="false">AE30+AF22-AF26</f>
        <v>32.2487733395339</v>
      </c>
      <c r="AG30" s="42" t="n">
        <f aca="false">AF30+AG22-AG26</f>
        <v>34.2375785392548</v>
      </c>
      <c r="AH30" s="42" t="n">
        <f aca="false">AG30+AH22-AH26</f>
        <v>36.2568875049884</v>
      </c>
      <c r="AI30" s="42" t="n">
        <f aca="false">AH30+AI22-AI26</f>
        <v>38.3053275672639</v>
      </c>
      <c r="AJ30" s="42" t="n">
        <f aca="false">AI30+AJ22-AJ26</f>
        <v>40.381587826737</v>
      </c>
      <c r="AK30" s="42" t="n">
        <f aca="false">AJ30+AK22-AK26</f>
        <v>42.4844163745339</v>
      </c>
      <c r="AL30" s="42" t="n">
        <f aca="false">AK30+AL22-AL26</f>
        <v>44.6126176376798</v>
      </c>
    </row>
    <row r="31" customFormat="false" ht="15" hidden="false" customHeight="false" outlineLevel="0" collapsed="false">
      <c r="A31" s="9" t="s">
        <v>576</v>
      </c>
      <c r="B31" s="2" t="s">
        <v>567</v>
      </c>
      <c r="C31" s="42" t="n">
        <f aca="false">C23-C27</f>
        <v>0</v>
      </c>
      <c r="D31" s="42" t="n">
        <f aca="false">C31+D23-D27</f>
        <v>0</v>
      </c>
      <c r="E31" s="42" t="n">
        <f aca="false">D31+E23-E27</f>
        <v>0</v>
      </c>
      <c r="F31" s="42" t="n">
        <f aca="false">E31+F23-F27</f>
        <v>0</v>
      </c>
      <c r="G31" s="42" t="n">
        <f aca="false">F31+G23-G27</f>
        <v>0</v>
      </c>
      <c r="H31" s="42" t="n">
        <f aca="false">G31+H23-H27</f>
        <v>0</v>
      </c>
      <c r="I31" s="42" t="n">
        <f aca="false">H31+I23-I27</f>
        <v>0</v>
      </c>
      <c r="J31" s="42" t="n">
        <f aca="false">I31+J23-J27</f>
        <v>0</v>
      </c>
      <c r="K31" s="42" t="n">
        <f aca="false">J31+K23-K27</f>
        <v>0</v>
      </c>
      <c r="L31" s="42" t="n">
        <f aca="false">K31+L23-L27</f>
        <v>0.2</v>
      </c>
      <c r="M31" s="42" t="n">
        <f aca="false">L31+M23-M27</f>
        <v>0.433</v>
      </c>
      <c r="N31" s="42" t="n">
        <f aca="false">M31+N23-N27</f>
        <v>0.697845</v>
      </c>
      <c r="O31" s="42" t="n">
        <f aca="false">N31+O23-O27</f>
        <v>0.993420425</v>
      </c>
      <c r="P31" s="42" t="n">
        <f aca="false">O31+P23-P27</f>
        <v>1.318650710125</v>
      </c>
      <c r="Q31" s="42" t="n">
        <f aca="false">P31+Q23-Q27</f>
        <v>1.67249793527062</v>
      </c>
      <c r="R31" s="42" t="n">
        <f aca="false">Q31+R23-R27</f>
        <v>2.05396050753615</v>
      </c>
      <c r="S31" s="42" t="n">
        <f aca="false">R31+S23-S27</f>
        <v>2.46207188977239</v>
      </c>
      <c r="T31" s="42" t="n">
        <f aca="false">S31+T23-T27</f>
        <v>2.89589937363035</v>
      </c>
      <c r="U31" s="42" t="n">
        <f aca="false">T31+U23-U27</f>
        <v>3.35454289555329</v>
      </c>
      <c r="V31" s="42" t="n">
        <f aca="false">U31+V23-V27</f>
        <v>3.83713389420893</v>
      </c>
      <c r="W31" s="42" t="n">
        <f aca="false">V31+W23-W27</f>
        <v>4.34283420791161</v>
      </c>
      <c r="X31" s="42" t="n">
        <f aca="false">W31+X23-X27</f>
        <v>4.87083501063471</v>
      </c>
      <c r="Y31" s="42" t="n">
        <f aca="false">X31+Y23-Y27</f>
        <v>5.42035578526249</v>
      </c>
      <c r="Z31" s="42" t="n">
        <f aca="false">Y31+Z23-Z27</f>
        <v>5.99064333277831</v>
      </c>
      <c r="AA31" s="42" t="n">
        <f aca="false">Z31+AA23-AA27</f>
        <v>6.58097081613106</v>
      </c>
      <c r="AB31" s="42" t="n">
        <f aca="false">AA31+AB23-AB27</f>
        <v>7.19063683756648</v>
      </c>
      <c r="AC31" s="42" t="n">
        <f aca="false">AB31+AC23-AC27</f>
        <v>7.81896454825165</v>
      </c>
      <c r="AD31" s="42" t="n">
        <f aca="false">AC31+AD23-AD27</f>
        <v>8.46530078906284</v>
      </c>
      <c r="AE31" s="42" t="n">
        <f aca="false">AD31+AE23-AE27</f>
        <v>9.12901526144565</v>
      </c>
      <c r="AF31" s="42" t="n">
        <f aca="false">AE31+AF23-AF27</f>
        <v>9.80949972729505</v>
      </c>
      <c r="AG31" s="42" t="n">
        <f aca="false">AF31+AG23-AG27</f>
        <v>10.5061672368397</v>
      </c>
      <c r="AH31" s="42" t="n">
        <f aca="false">AG31+AH23-AH27</f>
        <v>11.2184513835503</v>
      </c>
      <c r="AI31" s="42" t="n">
        <f aca="false">AH31+AI23-AI27</f>
        <v>11.9458055851261</v>
      </c>
      <c r="AJ31" s="42" t="n">
        <f aca="false">AI31+AJ23-AJ27</f>
        <v>12.6877023896467</v>
      </c>
      <c r="AK31" s="42" t="n">
        <f aca="false">AJ31+AK23-AK27</f>
        <v>13.443632806009</v>
      </c>
      <c r="AL31" s="42" t="n">
        <f aca="false">AK31+AL23-AL27</f>
        <v>14.2131056577987</v>
      </c>
    </row>
    <row r="32" customFormat="false" ht="15" hidden="false" customHeight="false" outlineLevel="0" collapsed="false">
      <c r="A32" s="9" t="s">
        <v>577</v>
      </c>
      <c r="B32" s="2" t="s">
        <v>567</v>
      </c>
      <c r="C32" s="42" t="n">
        <f aca="false">C24-C28</f>
        <v>0</v>
      </c>
      <c r="D32" s="42" t="n">
        <f aca="false">C32+D24-D28</f>
        <v>0</v>
      </c>
      <c r="E32" s="42" t="n">
        <f aca="false">D32+E24-E28</f>
        <v>0</v>
      </c>
      <c r="F32" s="42" t="n">
        <f aca="false">E32+F24-F28</f>
        <v>0</v>
      </c>
      <c r="G32" s="42" t="n">
        <f aca="false">F32+G24-G28</f>
        <v>0</v>
      </c>
      <c r="H32" s="42" t="n">
        <f aca="false">G32+H24-H28</f>
        <v>0</v>
      </c>
      <c r="I32" s="42" t="n">
        <f aca="false">H32+I24-I28</f>
        <v>0</v>
      </c>
      <c r="J32" s="42" t="n">
        <f aca="false">I32+J24-J28</f>
        <v>0</v>
      </c>
      <c r="K32" s="42" t="n">
        <f aca="false">J32+K24-K28</f>
        <v>0</v>
      </c>
      <c r="L32" s="42" t="n">
        <f aca="false">K32+L24-L28</f>
        <v>0</v>
      </c>
      <c r="M32" s="42" t="n">
        <f aca="false">L32+M24-M28</f>
        <v>0</v>
      </c>
      <c r="N32" s="42" t="n">
        <f aca="false">M32+N24-N28</f>
        <v>0.1</v>
      </c>
      <c r="O32" s="42" t="n">
        <f aca="false">N32+O24-O28</f>
        <v>0.2135</v>
      </c>
      <c r="P32" s="42" t="n">
        <f aca="false">O32+P24-P28</f>
        <v>0.3402975</v>
      </c>
      <c r="Q32" s="42" t="n">
        <f aca="false">P32+Q24-Q28</f>
        <v>0.4801930375</v>
      </c>
      <c r="R32" s="42" t="n">
        <f aca="false">Q32+R24-R28</f>
        <v>0.6329901419375</v>
      </c>
      <c r="S32" s="42" t="n">
        <f aca="false">R32+S24-S28</f>
        <v>0.798495289808437</v>
      </c>
      <c r="T32" s="42" t="n">
        <f aca="false">S32+T24-T28</f>
        <v>0.976517860461311</v>
      </c>
      <c r="U32" s="42" t="n">
        <f aca="false">T32+U24-U28</f>
        <v>1.16687009255439</v>
      </c>
      <c r="V32" s="42" t="n">
        <f aca="false">U32+V24-V28</f>
        <v>1.36936704116608</v>
      </c>
      <c r="W32" s="42" t="n">
        <f aca="false">V32+W24-W28</f>
        <v>1.58382653554858</v>
      </c>
      <c r="X32" s="42" t="n">
        <f aca="false">W32+X24-X28</f>
        <v>1.81006913751536</v>
      </c>
      <c r="Y32" s="42" t="n">
        <f aca="false">X32+Y24-Y28</f>
        <v>2.04791810045263</v>
      </c>
      <c r="Z32" s="42" t="n">
        <f aca="false">Y32+Z24-Z28</f>
        <v>2.29719932894584</v>
      </c>
      <c r="AA32" s="42" t="n">
        <f aca="false">Z32+AA24-AA28</f>
        <v>2.55774133901165</v>
      </c>
      <c r="AB32" s="42" t="n">
        <f aca="false">AA32+AB24-AB28</f>
        <v>2.82937521892647</v>
      </c>
      <c r="AC32" s="42" t="n">
        <f aca="false">AB32+AC24-AC28</f>
        <v>3.11193459064258</v>
      </c>
      <c r="AD32" s="42" t="n">
        <f aca="false">AC32+AD24-AD28</f>
        <v>3.40525557178294</v>
      </c>
      <c r="AE32" s="42" t="n">
        <f aca="false">AD32+AE24-AE28</f>
        <v>3.70917673820619</v>
      </c>
      <c r="AF32" s="42" t="n">
        <f aca="false">AE32+AF24-AF28</f>
        <v>4.0235390871331</v>
      </c>
      <c r="AG32" s="42" t="n">
        <f aca="false">AF32+AG24-AG28</f>
        <v>4.3481860008261</v>
      </c>
      <c r="AH32" s="42" t="n">
        <f aca="false">AG32+AH24-AH28</f>
        <v>4.68296321081371</v>
      </c>
      <c r="AI32" s="42" t="n">
        <f aca="false">AH32+AI24-AI28</f>
        <v>5.02771876265151</v>
      </c>
      <c r="AJ32" s="42" t="n">
        <f aca="false">AI32+AJ24-AJ28</f>
        <v>5.38230298121173</v>
      </c>
      <c r="AK32" s="42" t="n">
        <f aca="false">AJ32+AK24-AK28</f>
        <v>5.74656843649356</v>
      </c>
      <c r="AL32" s="42" t="n">
        <f aca="false">AK32+AL24-AL28</f>
        <v>6.12036990994615</v>
      </c>
    </row>
    <row r="33" customFormat="false" ht="15" hidden="false" customHeight="false" outlineLevel="0" collapsed="false">
      <c r="A33" s="9" t="s">
        <v>578</v>
      </c>
      <c r="B33" s="2" t="s">
        <v>567</v>
      </c>
      <c r="C33" s="42" t="n">
        <f aca="false">C25-C29</f>
        <v>0</v>
      </c>
      <c r="D33" s="42" t="n">
        <f aca="false">C33+D25-D29</f>
        <v>0</v>
      </c>
      <c r="E33" s="42" t="n">
        <f aca="false">D33+E25-E29</f>
        <v>0</v>
      </c>
      <c r="F33" s="42" t="n">
        <f aca="false">E33+F25-F29</f>
        <v>0</v>
      </c>
      <c r="G33" s="42" t="n">
        <f aca="false">F33+G25-G29</f>
        <v>0</v>
      </c>
      <c r="H33" s="42" t="n">
        <f aca="false">G33+H25-H29</f>
        <v>0</v>
      </c>
      <c r="I33" s="42" t="n">
        <f aca="false">H33+I25-I29</f>
        <v>0</v>
      </c>
      <c r="J33" s="42" t="n">
        <f aca="false">I33+J25-J29</f>
        <v>0</v>
      </c>
      <c r="K33" s="42" t="n">
        <f aca="false">J33+K25-K29</f>
        <v>0</v>
      </c>
      <c r="L33" s="42" t="n">
        <f aca="false">K33+L25-L29</f>
        <v>0</v>
      </c>
      <c r="M33" s="42" t="n">
        <f aca="false">L33+M25-M29</f>
        <v>0</v>
      </c>
      <c r="N33" s="42" t="n">
        <f aca="false">M33+N25-N29</f>
        <v>0</v>
      </c>
      <c r="O33" s="42" t="n">
        <f aca="false">N33+O25-O29</f>
        <v>0</v>
      </c>
      <c r="P33" s="42" t="n">
        <f aca="false">O33+P25-P29</f>
        <v>0</v>
      </c>
      <c r="Q33" s="42" t="n">
        <f aca="false">P33+Q25-Q29</f>
        <v>0</v>
      </c>
      <c r="R33" s="42" t="n">
        <f aca="false">Q33+R25-R29</f>
        <v>0</v>
      </c>
      <c r="S33" s="42" t="n">
        <f aca="false">R33+S25-S29</f>
        <v>0</v>
      </c>
      <c r="T33" s="42" t="n">
        <f aca="false">S33+T25-T29</f>
        <v>0.05</v>
      </c>
      <c r="U33" s="42" t="n">
        <f aca="false">T33+U25-U29</f>
        <v>0.1035</v>
      </c>
      <c r="V33" s="42" t="n">
        <f aca="false">U33+V25-V29</f>
        <v>0.160465</v>
      </c>
      <c r="W33" s="42" t="n">
        <f aca="false">V33+W25-W29</f>
        <v>0.22086035</v>
      </c>
      <c r="X33" s="42" t="n">
        <f aca="false">W33+X25-X29</f>
        <v>0.2846517465</v>
      </c>
      <c r="Y33" s="42" t="n">
        <f aca="false">X33+Y25-Y29</f>
        <v>0.351805229035</v>
      </c>
      <c r="Z33" s="42" t="n">
        <f aca="false">Y33+Z25-Z29</f>
        <v>0.42228717674465</v>
      </c>
      <c r="AA33" s="42" t="n">
        <f aca="false">Z33+AA25-AA29</f>
        <v>0.496064304977203</v>
      </c>
      <c r="AB33" s="42" t="n">
        <f aca="false">AA33+AB25-AB29</f>
        <v>0.573103661927431</v>
      </c>
      <c r="AC33" s="42" t="n">
        <f aca="false">AB33+AC25-AC29</f>
        <v>0.653372625308157</v>
      </c>
      <c r="AD33" s="42" t="n">
        <f aca="false">AC33+AD25-AD29</f>
        <v>0.736838899055075</v>
      </c>
      <c r="AE33" s="42" t="n">
        <f aca="false">AD33+AE25-AE29</f>
        <v>0.823470510064525</v>
      </c>
      <c r="AF33" s="42" t="n">
        <f aca="false">AE33+AF25-AF29</f>
        <v>0.913235804963879</v>
      </c>
      <c r="AG33" s="42" t="n">
        <f aca="false">AF33+AG25-AG29</f>
        <v>1.00610344691424</v>
      </c>
      <c r="AH33" s="42" t="n">
        <f aca="false">AG33+AH25-AH29</f>
        <v>1.1020424124451</v>
      </c>
      <c r="AI33" s="42" t="n">
        <f aca="false">AH33+AI25-AI29</f>
        <v>1.20102198832065</v>
      </c>
      <c r="AJ33" s="42" t="n">
        <f aca="false">AI33+AJ25-AJ29</f>
        <v>1.30301176843744</v>
      </c>
      <c r="AK33" s="42" t="n">
        <f aca="false">AJ33+AK25-AK29</f>
        <v>1.40798165075307</v>
      </c>
      <c r="AL33" s="42" t="n">
        <f aca="false">AK33+AL25-AL29</f>
        <v>1.51590183424554</v>
      </c>
    </row>
    <row r="34" customFormat="false" ht="15" hidden="false" customHeight="false" outlineLevel="0" collapsed="false">
      <c r="A34" s="3" t="s">
        <v>579</v>
      </c>
      <c r="B34" s="2" t="s">
        <v>567</v>
      </c>
      <c r="C34" s="43" t="n">
        <f aca="false">C22+C23+C24+C25</f>
        <v>0</v>
      </c>
      <c r="D34" s="43" t="n">
        <f aca="false">D22+D23+D24+D25</f>
        <v>0</v>
      </c>
      <c r="E34" s="43" t="n">
        <f aca="false">E22+E23+E24+E25</f>
        <v>0</v>
      </c>
      <c r="F34" s="43" t="n">
        <f aca="false">F22+F23+F24+F25</f>
        <v>0</v>
      </c>
      <c r="G34" s="43" t="n">
        <f aca="false">G22+G23+G24+G25</f>
        <v>0</v>
      </c>
      <c r="H34" s="43" t="n">
        <f aca="false">H22+H23+H24+H25</f>
        <v>0</v>
      </c>
      <c r="I34" s="43" t="n">
        <f aca="false">I22+I23+I24+I25</f>
        <v>0</v>
      </c>
      <c r="J34" s="43" t="n">
        <f aca="false">J22+J23+J24+J25</f>
        <v>0</v>
      </c>
      <c r="K34" s="43" t="n">
        <f aca="false">K22+K23+K24+K25</f>
        <v>0.8</v>
      </c>
      <c r="L34" s="43" t="n">
        <f aca="false">L22+L23+L24+L25</f>
        <v>1.12</v>
      </c>
      <c r="M34" s="43" t="n">
        <f aca="false">M22+M23+M24+M25</f>
        <v>1.28</v>
      </c>
      <c r="N34" s="43" t="n">
        <f aca="false">N22+N23+N24+N25</f>
        <v>1.54</v>
      </c>
      <c r="O34" s="43" t="n">
        <f aca="false">O22+O23+O24+O25</f>
        <v>1.715</v>
      </c>
      <c r="P34" s="43" t="n">
        <f aca="false">P22+P23+P24+P25</f>
        <v>1.89</v>
      </c>
      <c r="Q34" s="43" t="n">
        <f aca="false">Q22+Q23+Q24+Q25</f>
        <v>2.065</v>
      </c>
      <c r="R34" s="43" t="n">
        <f aca="false">R22+R23+R24+R25</f>
        <v>2.24</v>
      </c>
      <c r="S34" s="43" t="n">
        <f aca="false">S22+S23+S24+S25</f>
        <v>2.415</v>
      </c>
      <c r="T34" s="43" t="n">
        <f aca="false">T22+T23+T24+T25</f>
        <v>2.64</v>
      </c>
      <c r="U34" s="43" t="n">
        <f aca="false">U22+U23+U24+U25</f>
        <v>2.819</v>
      </c>
      <c r="V34" s="43" t="n">
        <f aca="false">V22+V23+V24+V25</f>
        <v>2.998</v>
      </c>
      <c r="W34" s="43" t="n">
        <f aca="false">W22+W23+W24+W25</f>
        <v>3.177</v>
      </c>
      <c r="X34" s="43" t="n">
        <f aca="false">X22+X23+X24+X25</f>
        <v>3.356</v>
      </c>
      <c r="Y34" s="43" t="n">
        <f aca="false">Y22+Y23+Y24+Y25</f>
        <v>3.535</v>
      </c>
      <c r="Z34" s="43" t="n">
        <f aca="false">Z22+Z23+Z24+Z25</f>
        <v>3.714</v>
      </c>
      <c r="AA34" s="43" t="n">
        <f aca="false">AA22+AA23+AA24+AA25</f>
        <v>3.893</v>
      </c>
      <c r="AB34" s="43" t="n">
        <f aca="false">AB22+AB23+AB24+AB25</f>
        <v>4.072</v>
      </c>
      <c r="AC34" s="43" t="n">
        <f aca="false">AC22+AC23+AC24+AC25</f>
        <v>4.251</v>
      </c>
      <c r="AD34" s="43" t="n">
        <f aca="false">AD22+AD23+AD24+AD25</f>
        <v>4.43</v>
      </c>
      <c r="AE34" s="43" t="n">
        <f aca="false">AE22+AE23+AE24+AE25</f>
        <v>4.609</v>
      </c>
      <c r="AF34" s="43" t="n">
        <f aca="false">AF22+AF23+AF24+AF25</f>
        <v>4.788</v>
      </c>
      <c r="AG34" s="43" t="n">
        <f aca="false">AG22+AG23+AG24+AG25</f>
        <v>4.967</v>
      </c>
      <c r="AH34" s="43" t="n">
        <f aca="false">AH22+AH23+AH24+AH25</f>
        <v>5.146</v>
      </c>
      <c r="AI34" s="43" t="n">
        <f aca="false">AI22+AI23+AI24+AI25</f>
        <v>5.325</v>
      </c>
      <c r="AJ34" s="43" t="n">
        <f aca="false">AJ22+AJ23+AJ24+AJ25</f>
        <v>5.504</v>
      </c>
      <c r="AK34" s="43" t="n">
        <f aca="false">AK22+AK23+AK24+AK25</f>
        <v>5.683</v>
      </c>
      <c r="AL34" s="43" t="n">
        <f aca="false">AL22+AL23+AL24+AL25</f>
        <v>5.862</v>
      </c>
    </row>
    <row r="35" customFormat="false" ht="15" hidden="false" customHeight="false" outlineLevel="0" collapsed="false">
      <c r="A35" s="9" t="s">
        <v>580</v>
      </c>
      <c r="B35" s="2" t="s">
        <v>567</v>
      </c>
      <c r="C35" s="41" t="n">
        <f aca="false">C26+C27+C28+C29</f>
        <v>0</v>
      </c>
      <c r="D35" s="41" t="n">
        <f aca="false">D26+D27+D28+D29</f>
        <v>0</v>
      </c>
      <c r="E35" s="41" t="n">
        <f aca="false">E26+E27+E28+E29</f>
        <v>0</v>
      </c>
      <c r="F35" s="41" t="n">
        <f aca="false">F26+F27+F28+F29</f>
        <v>0</v>
      </c>
      <c r="G35" s="41" t="n">
        <f aca="false">G26+G27+G28+G29</f>
        <v>0</v>
      </c>
      <c r="H35" s="41" t="n">
        <f aca="false">H26+H27+H28+H29</f>
        <v>0</v>
      </c>
      <c r="I35" s="41" t="n">
        <f aca="false">I26+I27+I28+I29</f>
        <v>0</v>
      </c>
      <c r="J35" s="41" t="n">
        <f aca="false">J26+J27+J28+J29</f>
        <v>0</v>
      </c>
      <c r="K35" s="41" t="n">
        <f aca="false">K26+K27+K28+K29</f>
        <v>0</v>
      </c>
      <c r="L35" s="41" t="n">
        <f aca="false">L26+L27+L28+L29</f>
        <v>0.036</v>
      </c>
      <c r="M35" s="41" t="n">
        <f aca="false">M26+M27+M28+M29</f>
        <v>0.08278</v>
      </c>
      <c r="N35" s="41" t="n">
        <f aca="false">N26+N27+N28+N29</f>
        <v>0.1343249</v>
      </c>
      <c r="O35" s="41" t="n">
        <f aca="false">O26+O27+O28+O29</f>
        <v>0.1919318295</v>
      </c>
      <c r="P35" s="41" t="n">
        <f aca="false">P26+P27+P28+P29</f>
        <v>0.2541091429225</v>
      </c>
      <c r="Q35" s="41" t="n">
        <f aca="false">Q26+Q27+Q28+Q29</f>
        <v>0.320668003639738</v>
      </c>
      <c r="R35" s="41" t="n">
        <f aca="false">R26+R27+R28+R29</f>
        <v>0.391427605099493</v>
      </c>
      <c r="S35" s="41" t="n">
        <f aca="false">S26+S27+S28+S29</f>
        <v>0.466214824014236</v>
      </c>
      <c r="T35" s="41" t="n">
        <f aca="false">T26+T27+T28+T29</f>
        <v>0.544863888675105</v>
      </c>
      <c r="U35" s="41" t="n">
        <f aca="false">U26+U27+U28+U29</f>
        <v>0.627716061726559</v>
      </c>
      <c r="V35" s="41" t="n">
        <f aca="false">V26+V27+V28+V29</f>
        <v>0.714154336766842</v>
      </c>
      <c r="W35" s="41" t="n">
        <f aca="false">W26+W27+W28+W29</f>
        <v>0.804032798167427</v>
      </c>
      <c r="X35" s="41" t="n">
        <f aca="false">X26+X27+X28+X29</f>
        <v>0.897211697031391</v>
      </c>
      <c r="Y35" s="41" t="n">
        <f aca="false">Y26+Y27+Y28+Y29</f>
        <v>0.993557185701245</v>
      </c>
      <c r="Z35" s="41" t="n">
        <f aca="false">Z26+Z27+Z28+Z29</f>
        <v>1.09294106382157</v>
      </c>
      <c r="AA35" s="41" t="n">
        <f aca="false">AA26+AA27+AA28+AA29</f>
        <v>1.1952405354498</v>
      </c>
      <c r="AB35" s="41" t="n">
        <f aca="false">AB26+AB27+AB28+AB29</f>
        <v>1.30033797673092</v>
      </c>
      <c r="AC35" s="41" t="n">
        <f aca="false">AC26+AC27+AC28+AC29</f>
        <v>1.40812071367297</v>
      </c>
      <c r="AD35" s="41" t="n">
        <f aca="false">AD26+AD27+AD28+AD29</f>
        <v>1.51848080958103</v>
      </c>
      <c r="AE35" s="41" t="n">
        <f aca="false">AE26+AE27+AE28+AE29</f>
        <v>1.63131486172642</v>
      </c>
      <c r="AF35" s="41" t="n">
        <f aca="false">AF26+AF27+AF28+AF29</f>
        <v>1.74652380684687</v>
      </c>
      <c r="AG35" s="41" t="n">
        <f aca="false">AG26+AG27+AG28+AG29</f>
        <v>1.86401273509099</v>
      </c>
      <c r="AH35" s="41" t="n">
        <f aca="false">AH26+AH27+AH28+AH29</f>
        <v>1.98369071203739</v>
      </c>
      <c r="AI35" s="41" t="n">
        <f aca="false">AI26+AI27+AI28+AI29</f>
        <v>2.10547060843539</v>
      </c>
      <c r="AJ35" s="41" t="n">
        <f aca="false">AJ26+AJ27+AJ28+AJ29</f>
        <v>2.22926893732927</v>
      </c>
      <c r="AK35" s="41" t="n">
        <f aca="false">AK26+AK27+AK28+AK29</f>
        <v>2.35500569824335</v>
      </c>
      <c r="AL35" s="41" t="n">
        <f aca="false">AL26+AL27+AL28+AL29</f>
        <v>2.48260422811927</v>
      </c>
    </row>
    <row r="36" customFormat="false" ht="15" hidden="false" customHeight="false" outlineLevel="0" collapsed="false">
      <c r="A36" s="3" t="s">
        <v>581</v>
      </c>
      <c r="B36" s="2" t="s">
        <v>567</v>
      </c>
      <c r="C36" s="44" t="n">
        <f aca="false">C30+C31+C32+C33</f>
        <v>0</v>
      </c>
      <c r="D36" s="44" t="n">
        <f aca="false">D30+D31+D32+D33</f>
        <v>0</v>
      </c>
      <c r="E36" s="44" t="n">
        <f aca="false">E30+E31+E32+E33</f>
        <v>0</v>
      </c>
      <c r="F36" s="44" t="n">
        <f aca="false">F30+F31+F32+F33</f>
        <v>0</v>
      </c>
      <c r="G36" s="44" t="n">
        <f aca="false">G30+G31+G32+G33</f>
        <v>0</v>
      </c>
      <c r="H36" s="44" t="n">
        <f aca="false">H30+H31+H32+H33</f>
        <v>0</v>
      </c>
      <c r="I36" s="44" t="n">
        <f aca="false">I30+I31+I32+I33</f>
        <v>0</v>
      </c>
      <c r="J36" s="44" t="n">
        <f aca="false">J30+J31+J32+J33</f>
        <v>0</v>
      </c>
      <c r="K36" s="44" t="n">
        <f aca="false">K30+K31+K32+K33</f>
        <v>0.8</v>
      </c>
      <c r="L36" s="44" t="n">
        <f aca="false">L30+L31+L32+L33</f>
        <v>1.884</v>
      </c>
      <c r="M36" s="44" t="n">
        <f aca="false">M30+M31+M32+M33</f>
        <v>3.08122</v>
      </c>
      <c r="N36" s="44" t="n">
        <f aca="false">N30+N31+N32+N33</f>
        <v>4.4868951</v>
      </c>
      <c r="O36" s="44" t="n">
        <f aca="false">O30+O31+O32+O33</f>
        <v>6.0099632705</v>
      </c>
      <c r="P36" s="44" t="n">
        <f aca="false">P30+P31+P32+P33</f>
        <v>7.6458541275775</v>
      </c>
      <c r="Q36" s="44" t="n">
        <f aca="false">Q30+Q31+Q32+Q33</f>
        <v>9.39018612393776</v>
      </c>
      <c r="R36" s="44" t="n">
        <f aca="false">R30+R31+R32+R33</f>
        <v>11.2387585188383</v>
      </c>
      <c r="S36" s="44" t="n">
        <f aca="false">S30+S31+S32+S33</f>
        <v>13.187543694824</v>
      </c>
      <c r="T36" s="44" t="n">
        <f aca="false">T30+T31+T32+T33</f>
        <v>15.2826798061489</v>
      </c>
      <c r="U36" s="44" t="n">
        <f aca="false">U30+U31+U32+U33</f>
        <v>17.4739637444224</v>
      </c>
      <c r="V36" s="44" t="n">
        <f aca="false">V30+V31+V32+V33</f>
        <v>19.7578094076555</v>
      </c>
      <c r="W36" s="44" t="n">
        <f aca="false">W30+W31+W32+W33</f>
        <v>22.1307766094881</v>
      </c>
      <c r="X36" s="44" t="n">
        <f aca="false">X30+X31+X32+X33</f>
        <v>24.5895649124567</v>
      </c>
      <c r="Y36" s="44" t="n">
        <f aca="false">Y30+Y31+Y32+Y33</f>
        <v>27.1310077267555</v>
      </c>
      <c r="Z36" s="44" t="n">
        <f aca="false">Z30+Z31+Z32+Z33</f>
        <v>29.7520666629339</v>
      </c>
      <c r="AA36" s="44" t="n">
        <f aca="false">AA30+AA31+AA32+AA33</f>
        <v>32.4498261274841</v>
      </c>
      <c r="AB36" s="44" t="n">
        <f aca="false">AB30+AB31+AB32+AB33</f>
        <v>35.2214881507532</v>
      </c>
      <c r="AC36" s="44" t="n">
        <f aca="false">AC30+AC31+AC32+AC33</f>
        <v>38.0643674370802</v>
      </c>
      <c r="AD36" s="44" t="n">
        <f aca="false">AD30+AD31+AD32+AD33</f>
        <v>40.9758866274992</v>
      </c>
      <c r="AE36" s="44" t="n">
        <f aca="false">AE30+AE31+AE32+AE33</f>
        <v>43.9535717657728</v>
      </c>
      <c r="AF36" s="44" t="n">
        <f aca="false">AF30+AF31+AF32+AF33</f>
        <v>46.9950479589259</v>
      </c>
      <c r="AG36" s="44" t="n">
        <f aca="false">AG30+AG31+AG32+AG33</f>
        <v>50.0980352238349</v>
      </c>
      <c r="AH36" s="44" t="n">
        <f aca="false">AH30+AH31+AH32+AH33</f>
        <v>53.2603445117975</v>
      </c>
      <c r="AI36" s="44" t="n">
        <f aca="false">AI30+AI31+AI32+AI33</f>
        <v>56.4798739033621</v>
      </c>
      <c r="AJ36" s="44" t="n">
        <f aca="false">AJ30+AJ31+AJ32+AJ33</f>
        <v>59.7546049660328</v>
      </c>
      <c r="AK36" s="44" t="n">
        <f aca="false">AK30+AK31+AK32+AK33</f>
        <v>63.0825992677895</v>
      </c>
      <c r="AL36" s="44" t="n">
        <f aca="false">AL30+AL31+AL32+AL33</f>
        <v>66.4619950396702</v>
      </c>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customFormat="false" ht="15" hidden="false" customHeight="false" outlineLevel="0" collapsed="false">
      <c r="A38" s="5" t="s">
        <v>582</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customFormat="false" ht="15" hidden="false" customHeight="false" outlineLevel="0" collapsed="false">
      <c r="A39" s="9" t="s">
        <v>583</v>
      </c>
      <c r="B39" s="2" t="s">
        <v>105</v>
      </c>
      <c r="C39" s="37" t="n">
        <f aca="false">C22*Assumptions!$D$73*Assumptions!$C$149</f>
        <v>0</v>
      </c>
      <c r="D39" s="37" t="n">
        <f aca="false">C39*(1-Assumptions!$C$141)*(1+Assumptions!$C$145)+D22*Assumptions!$D$73*Assumptions!$C$149</f>
        <v>0</v>
      </c>
      <c r="E39" s="37" t="n">
        <f aca="false">D39*(1-Assumptions!$C$141)*(1+Assumptions!$C$145)+E22*Assumptions!$D$73*Assumptions!$C$149</f>
        <v>0</v>
      </c>
      <c r="F39" s="37" t="n">
        <f aca="false">E39*(1-Assumptions!$C$141)*(1+Assumptions!$C$145)+F22*Assumptions!$D$73*Assumptions!$C$149</f>
        <v>0</v>
      </c>
      <c r="G39" s="37" t="n">
        <f aca="false">F39*(1-Assumptions!$C$141)*(1+Assumptions!$C$145)+G22*Assumptions!$D$73*Assumptions!$C$149</f>
        <v>0</v>
      </c>
      <c r="H39" s="37" t="n">
        <f aca="false">G39*(1-Assumptions!$C$141)*(1+Assumptions!$C$145)+H22*Assumptions!$D$73*Assumptions!$C$149</f>
        <v>0</v>
      </c>
      <c r="I39" s="37" t="n">
        <f aca="false">H39*(1-Assumptions!$C$141)*(1+Assumptions!$C$145)+I22*Assumptions!$D$73*Assumptions!$C$149</f>
        <v>0</v>
      </c>
      <c r="J39" s="37" t="n">
        <f aca="false">I39*(1-Assumptions!$C$141)*(1+Assumptions!$C$145)+J22*Assumptions!$D$73*Assumptions!$C$149</f>
        <v>0</v>
      </c>
      <c r="K39" s="37" t="n">
        <f aca="false">J39*(1-Assumptions!$C$141)*(1+Assumptions!$C$145)+K22*Assumptions!$D$73*Assumptions!$C$149</f>
        <v>101.32</v>
      </c>
      <c r="L39" s="37" t="n">
        <f aca="false">K39*(1-Assumptions!$C$141)*(1+Assumptions!$C$145)+L22*Assumptions!$D$73*Assumptions!$C$149</f>
        <v>213.3753606</v>
      </c>
      <c r="M39" s="37" t="n">
        <f aca="false">L39*(1-Assumptions!$C$141)*(1+Assumptions!$C$145)+M22*Assumptions!$D$73*Assumptions!$C$149</f>
        <v>335.693242842373</v>
      </c>
      <c r="N39" s="37" t="n">
        <f aca="false">M39*(1-Assumptions!$C$141)*(1+Assumptions!$C$145)+N22*Assumptions!$D$73*Assumptions!$C$149</f>
        <v>467.821633961381</v>
      </c>
      <c r="O39" s="37" t="n">
        <f aca="false">N39*(1-Assumptions!$C$141)*(1+Assumptions!$C$145)+O22*Assumptions!$D$73*Assumptions!$C$149</f>
        <v>609.328430093552</v>
      </c>
      <c r="P39" s="37" t="n">
        <f aca="false">O39*(1-Assumptions!$C$141)*(1+Assumptions!$C$145)+P22*Assumptions!$D$73*Assumptions!$C$149</f>
        <v>759.800559390081</v>
      </c>
      <c r="Q39" s="37" t="n">
        <f aca="false">P39*(1-Assumptions!$C$141)*(1+Assumptions!$C$145)+Q22*Assumptions!$D$73*Assumptions!$C$149</f>
        <v>918.843143751745</v>
      </c>
      <c r="R39" s="37" t="n">
        <f aca="false">Q39*(1-Assumptions!$C$141)*(1+Assumptions!$C$145)+R22*Assumptions!$D$73*Assumptions!$C$149</f>
        <v>1086.0786974852</v>
      </c>
      <c r="S39" s="37" t="n">
        <f aca="false">R39*(1-Assumptions!$C$141)*(1+Assumptions!$C$145)+S22*Assumptions!$D$73*Assumptions!$C$149</f>
        <v>1261.14636125446</v>
      </c>
      <c r="T39" s="37" t="n">
        <f aca="false">S39*(1-Assumptions!$C$141)*(1+Assumptions!$C$145)+T22*Assumptions!$D$73*Assumptions!$C$149</f>
        <v>1443.70116977301</v>
      </c>
      <c r="U39" s="37" t="n">
        <f aca="false">T39*(1-Assumptions!$C$141)*(1+Assumptions!$C$145)+U22*Assumptions!$D$73*Assumptions!$C$149</f>
        <v>1633.41335175036</v>
      </c>
      <c r="V39" s="37" t="n">
        <f aca="false">U39*(1-Assumptions!$C$141)*(1+Assumptions!$C$145)+V22*Assumptions!$D$73*Assumptions!$C$149</f>
        <v>1829.96766067251</v>
      </c>
      <c r="W39" s="37" t="n">
        <f aca="false">V39*(1-Assumptions!$C$141)*(1+Assumptions!$C$145)+W22*Assumptions!$D$73*Assumptions!$C$149</f>
        <v>2033.06273505819</v>
      </c>
      <c r="X39" s="37" t="n">
        <f aca="false">W39*(1-Assumptions!$C$141)*(1+Assumptions!$C$145)+X22*Assumptions!$D$73*Assumptions!$C$149</f>
        <v>2242.41048689255</v>
      </c>
      <c r="Y39" s="37" t="n">
        <f aca="false">X39*(1-Assumptions!$C$141)*(1+Assumptions!$C$145)+Y22*Assumptions!$D$73*Assumptions!$C$149</f>
        <v>2457.73551699737</v>
      </c>
      <c r="Z39" s="37" t="n">
        <f aca="false">Y39*(1-Assumptions!$C$141)*(1+Assumptions!$C$145)+Z22*Assumptions!$D$73*Assumptions!$C$149</f>
        <v>2678.77455615122</v>
      </c>
      <c r="AA39" s="37" t="n">
        <f aca="false">Z39*(1-Assumptions!$C$141)*(1+Assumptions!$C$145)+AA22*Assumptions!$D$73*Assumptions!$C$149</f>
        <v>2905.27593082554</v>
      </c>
      <c r="AB39" s="37" t="n">
        <f aca="false">AA39*(1-Assumptions!$C$141)*(1+Assumptions!$C$145)+AB22*Assumptions!$D$73*Assumptions!$C$149</f>
        <v>3136.99905245233</v>
      </c>
      <c r="AC39" s="37" t="n">
        <f aca="false">AB39*(1-Assumptions!$C$141)*(1+Assumptions!$C$145)+AC22*Assumptions!$D$73*Assumptions!$C$149</f>
        <v>3373.71392918707</v>
      </c>
      <c r="AD39" s="37" t="n">
        <f aca="false">AC39*(1-Assumptions!$C$141)*(1+Assumptions!$C$145)+AD22*Assumptions!$D$73*Assumptions!$C$149</f>
        <v>3615.20069917602</v>
      </c>
      <c r="AE39" s="37" t="n">
        <f aca="false">AD39*(1-Assumptions!$C$141)*(1+Assumptions!$C$145)+AE22*Assumptions!$D$73*Assumptions!$C$149</f>
        <v>3861.24918438081</v>
      </c>
      <c r="AF39" s="37" t="n">
        <f aca="false">AE39*(1-Assumptions!$C$141)*(1+Assumptions!$C$145)+AF22*Assumptions!$D$73*Assumptions!$C$149</f>
        <v>4111.65846405476</v>
      </c>
      <c r="AG39" s="37" t="n">
        <f aca="false">AF39*(1-Assumptions!$C$141)*(1+Assumptions!$C$145)+AG22*Assumptions!$D$73*Assumptions!$C$149</f>
        <v>4366.23646700547</v>
      </c>
      <c r="AH39" s="37" t="n">
        <f aca="false">AG39*(1-Assumptions!$C$141)*(1+Assumptions!$C$145)+AH22*Assumptions!$D$73*Assumptions!$C$149</f>
        <v>4624.79958181621</v>
      </c>
      <c r="AI39" s="37" t="n">
        <f aca="false">AH39*(1-Assumptions!$C$141)*(1+Assumptions!$C$145)+AI22*Assumptions!$D$73*Assumptions!$C$149</f>
        <v>4887.17228423512</v>
      </c>
      <c r="AJ39" s="37" t="n">
        <f aca="false">AI39*(1-Assumptions!$C$141)*(1+Assumptions!$C$145)+AJ22*Assumptions!$D$73*Assumptions!$C$149</f>
        <v>5153.18678097598</v>
      </c>
      <c r="AK39" s="37" t="n">
        <f aca="false">AJ39*(1-Assumptions!$C$141)*(1+Assumptions!$C$145)+AK22*Assumptions!$D$73*Assumptions!$C$149</f>
        <v>5422.68266920789</v>
      </c>
      <c r="AL39" s="37" t="n">
        <f aca="false">AK39*(1-Assumptions!$C$141)*(1+Assumptions!$C$145)+AL22*Assumptions!$D$73*Assumptions!$C$149</f>
        <v>5695.50661104263</v>
      </c>
    </row>
    <row r="40" customFormat="false" ht="15" hidden="false" customHeight="false" outlineLevel="0" collapsed="false">
      <c r="A40" s="9" t="s">
        <v>584</v>
      </c>
      <c r="B40" s="2" t="s">
        <v>105</v>
      </c>
      <c r="C40" s="37" t="n">
        <f aca="false">C23*Assumptions!$D$74*Assumptions!$C$150</f>
        <v>0</v>
      </c>
      <c r="D40" s="37" t="n">
        <f aca="false">C40*(1-Assumptions!$C$142)*(1+Assumptions!$C$146)+D23*Assumptions!$D$74*Assumptions!$C$150</f>
        <v>0</v>
      </c>
      <c r="E40" s="37" t="n">
        <f aca="false">D40*(1-Assumptions!$C$142)*(1+Assumptions!$C$146)+E23*Assumptions!$D$74*Assumptions!$C$150</f>
        <v>0</v>
      </c>
      <c r="F40" s="37" t="n">
        <f aca="false">E40*(1-Assumptions!$C$142)*(1+Assumptions!$C$146)+F23*Assumptions!$D$74*Assumptions!$C$150</f>
        <v>0</v>
      </c>
      <c r="G40" s="37" t="n">
        <f aca="false">F40*(1-Assumptions!$C$142)*(1+Assumptions!$C$146)+G23*Assumptions!$D$74*Assumptions!$C$150</f>
        <v>0</v>
      </c>
      <c r="H40" s="37" t="n">
        <f aca="false">G40*(1-Assumptions!$C$142)*(1+Assumptions!$C$146)+H23*Assumptions!$D$74*Assumptions!$C$150</f>
        <v>0</v>
      </c>
      <c r="I40" s="37" t="n">
        <f aca="false">H40*(1-Assumptions!$C$142)*(1+Assumptions!$C$146)+I23*Assumptions!$D$74*Assumptions!$C$150</f>
        <v>0</v>
      </c>
      <c r="J40" s="37" t="n">
        <f aca="false">I40*(1-Assumptions!$C$142)*(1+Assumptions!$C$146)+J23*Assumptions!$D$74*Assumptions!$C$150</f>
        <v>0</v>
      </c>
      <c r="K40" s="37" t="n">
        <f aca="false">J40*(1-Assumptions!$C$142)*(1+Assumptions!$C$146)+K23*Assumptions!$D$74*Assumptions!$C$150</f>
        <v>0</v>
      </c>
      <c r="L40" s="37" t="n">
        <f aca="false">K40*(1-Assumptions!$C$142)*(1+Assumptions!$C$146)+L23*Assumptions!$D$74*Assumptions!$C$150</f>
        <v>79.84</v>
      </c>
      <c r="M40" s="37" t="n">
        <f aca="false">L40*(1-Assumptions!$C$142)*(1+Assumptions!$C$146)+M23*Assumptions!$D$74*Assumptions!$C$150</f>
        <v>173.0847368</v>
      </c>
      <c r="N40" s="37" t="n">
        <f aca="false">M40*(1-Assumptions!$C$142)*(1+Assumptions!$C$146)+N23*Assumptions!$D$74*Assumptions!$C$150</f>
        <v>279.303851325036</v>
      </c>
      <c r="O40" s="37" t="n">
        <f aca="false">N40*(1-Assumptions!$C$142)*(1+Assumptions!$C$146)+O23*Assumptions!$D$74*Assumptions!$C$150</f>
        <v>398.080801178246</v>
      </c>
      <c r="P40" s="37" t="n">
        <f aca="false">O40*(1-Assumptions!$C$142)*(1+Assumptions!$C$146)+P23*Assumptions!$D$74*Assumptions!$C$150</f>
        <v>529.012417056418</v>
      </c>
      <c r="Q40" s="37" t="n">
        <f aca="false">P40*(1-Assumptions!$C$142)*(1+Assumptions!$C$146)+Q23*Assumptions!$D$74*Assumptions!$C$150</f>
        <v>671.708473406822</v>
      </c>
      <c r="R40" s="37" t="n">
        <f aca="false">Q40*(1-Assumptions!$C$142)*(1+Assumptions!$C$146)+R23*Assumptions!$D$74*Assumptions!$C$150</f>
        <v>825.791272868096</v>
      </c>
      <c r="S40" s="37" t="n">
        <f aca="false">R40*(1-Assumptions!$C$142)*(1+Assumptions!$C$146)+S23*Assumptions!$D$74*Assumptions!$C$150</f>
        <v>990.895244052665</v>
      </c>
      <c r="T40" s="37" t="n">
        <f aca="false">S40*(1-Assumptions!$C$142)*(1+Assumptions!$C$146)+T23*Assumptions!$D$74*Assumptions!$C$150</f>
        <v>1166.66655224235</v>
      </c>
      <c r="U40" s="37" t="n">
        <f aca="false">T40*(1-Assumptions!$C$142)*(1+Assumptions!$C$146)+U23*Assumptions!$D$74*Assumptions!$C$150</f>
        <v>1352.76272258261</v>
      </c>
      <c r="V40" s="37" t="n">
        <f aca="false">U40*(1-Assumptions!$C$142)*(1+Assumptions!$C$146)+V23*Assumptions!$D$74*Assumptions!$C$150</f>
        <v>1548.8522753741</v>
      </c>
      <c r="W40" s="37" t="n">
        <f aca="false">V40*(1-Assumptions!$C$142)*(1+Assumptions!$C$146)+W23*Assumptions!$D$74*Assumptions!$C$150</f>
        <v>1754.61437307321</v>
      </c>
      <c r="X40" s="37" t="n">
        <f aca="false">W40*(1-Assumptions!$C$142)*(1+Assumptions!$C$146)+X23*Assumptions!$D$74*Assumptions!$C$150</f>
        <v>1969.7384786257</v>
      </c>
      <c r="Y40" s="37" t="n">
        <f aca="false">X40*(1-Assumptions!$C$142)*(1+Assumptions!$C$146)+Y23*Assumptions!$D$74*Assumptions!$C$150</f>
        <v>2193.92402476942</v>
      </c>
      <c r="Z40" s="37" t="n">
        <f aca="false">Y40*(1-Assumptions!$C$142)*(1+Assumptions!$C$146)+Z23*Assumptions!$D$74*Assumptions!$C$150</f>
        <v>2426.8800939542</v>
      </c>
      <c r="AA40" s="37" t="n">
        <f aca="false">Z40*(1-Assumptions!$C$142)*(1+Assumptions!$C$146)+AA23*Assumptions!$D$74*Assumptions!$C$150</f>
        <v>2668.3251085378</v>
      </c>
      <c r="AB40" s="37" t="n">
        <f aca="false">AA40*(1-Assumptions!$C$142)*(1+Assumptions!$C$146)+AB23*Assumptions!$D$74*Assumptions!$C$150</f>
        <v>2917.98653092819</v>
      </c>
      <c r="AC40" s="37" t="n">
        <f aca="false">AB40*(1-Assumptions!$C$142)*(1+Assumptions!$C$146)+AC23*Assumptions!$D$74*Assumptions!$C$150</f>
        <v>3175.60057335274</v>
      </c>
      <c r="AD40" s="37" t="n">
        <f aca="false">AC40*(1-Assumptions!$C$142)*(1+Assumptions!$C$146)+AD23*Assumptions!$D$74*Assumptions!$C$150</f>
        <v>3440.91191694525</v>
      </c>
      <c r="AE40" s="37" t="n">
        <f aca="false">AD40*(1-Assumptions!$C$142)*(1+Assumptions!$C$146)+AE23*Assumptions!$D$74*Assumptions!$C$150</f>
        <v>3713.67343985172</v>
      </c>
      <c r="AF40" s="37" t="n">
        <f aca="false">AE40*(1-Assumptions!$C$142)*(1+Assumptions!$C$146)+AF23*Assumptions!$D$74*Assumptions!$C$150</f>
        <v>3993.64595406528</v>
      </c>
      <c r="AG40" s="37" t="n">
        <f aca="false">AF40*(1-Assumptions!$C$142)*(1+Assumptions!$C$146)+AG23*Assumptions!$D$74*Assumptions!$C$150</f>
        <v>4280.59795071002</v>
      </c>
      <c r="AH40" s="37" t="n">
        <f aca="false">AG40*(1-Assumptions!$C$142)*(1+Assumptions!$C$146)+AH23*Assumptions!$D$74*Assumptions!$C$150</f>
        <v>4574.30535350247</v>
      </c>
      <c r="AI40" s="37" t="n">
        <f aca="false">AH40*(1-Assumptions!$C$142)*(1+Assumptions!$C$146)+AI23*Assumptions!$D$74*Assumptions!$C$150</f>
        <v>4874.55128012827</v>
      </c>
      <c r="AJ40" s="37" t="n">
        <f aca="false">AI40*(1-Assumptions!$C$142)*(1+Assumptions!$C$146)+AJ23*Assumptions!$D$74*Assumptions!$C$150</f>
        <v>5181.12581127976</v>
      </c>
      <c r="AK40" s="37" t="n">
        <f aca="false">AJ40*(1-Assumptions!$C$142)*(1+Assumptions!$C$146)+AK23*Assumptions!$D$74*Assumptions!$C$150</f>
        <v>5493.82576710862</v>
      </c>
      <c r="AL40" s="37" t="n">
        <f aca="false">AK40*(1-Assumptions!$C$142)*(1+Assumptions!$C$146)+AL23*Assumptions!$D$74*Assumptions!$C$150</f>
        <v>5812.45449085559</v>
      </c>
    </row>
    <row r="41" customFormat="false" ht="15" hidden="false" customHeight="false" outlineLevel="0" collapsed="false">
      <c r="A41" s="9" t="s">
        <v>585</v>
      </c>
      <c r="B41" s="2" t="s">
        <v>105</v>
      </c>
      <c r="C41" s="37" t="n">
        <f aca="false">C24*Assumptions!$D$75*Assumptions!$C$151</f>
        <v>0</v>
      </c>
      <c r="D41" s="37" t="n">
        <f aca="false">C41*(1-Assumptions!$C$143)*(1+Assumptions!$C$147)+D24*Assumptions!$D$75*Assumptions!$C$151</f>
        <v>0</v>
      </c>
      <c r="E41" s="37" t="n">
        <f aca="false">D41*(1-Assumptions!$C$143)*(1+Assumptions!$C$147)+E24*Assumptions!$D$75*Assumptions!$C$151</f>
        <v>0</v>
      </c>
      <c r="F41" s="37" t="n">
        <f aca="false">E41*(1-Assumptions!$C$143)*(1+Assumptions!$C$147)+F24*Assumptions!$D$75*Assumptions!$C$151</f>
        <v>0</v>
      </c>
      <c r="G41" s="37" t="n">
        <f aca="false">F41*(1-Assumptions!$C$143)*(1+Assumptions!$C$147)+G24*Assumptions!$D$75*Assumptions!$C$151</f>
        <v>0</v>
      </c>
      <c r="H41" s="37" t="n">
        <f aca="false">G41*(1-Assumptions!$C$143)*(1+Assumptions!$C$147)+H24*Assumptions!$D$75*Assumptions!$C$151</f>
        <v>0</v>
      </c>
      <c r="I41" s="37" t="n">
        <f aca="false">H41*(1-Assumptions!$C$143)*(1+Assumptions!$C$147)+I24*Assumptions!$D$75*Assumptions!$C$151</f>
        <v>0</v>
      </c>
      <c r="J41" s="37" t="n">
        <f aca="false">I41*(1-Assumptions!$C$143)*(1+Assumptions!$C$147)+J24*Assumptions!$D$75*Assumptions!$C$151</f>
        <v>0</v>
      </c>
      <c r="K41" s="37" t="n">
        <f aca="false">J41*(1-Assumptions!$C$143)*(1+Assumptions!$C$147)+K24*Assumptions!$D$75*Assumptions!$C$151</f>
        <v>0</v>
      </c>
      <c r="L41" s="37" t="n">
        <f aca="false">K41*(1-Assumptions!$C$143)*(1+Assumptions!$C$147)+L24*Assumptions!$D$75*Assumptions!$C$151</f>
        <v>0</v>
      </c>
      <c r="M41" s="37" t="n">
        <f aca="false">L41*(1-Assumptions!$C$143)*(1+Assumptions!$C$147)+M24*Assumptions!$D$75*Assumptions!$C$151</f>
        <v>0</v>
      </c>
      <c r="N41" s="37" t="n">
        <f aca="false">M41*(1-Assumptions!$C$143)*(1+Assumptions!$C$147)+N24*Assumptions!$D$75*Assumptions!$C$151</f>
        <v>127.415</v>
      </c>
      <c r="O41" s="37" t="n">
        <f aca="false">N41*(1-Assumptions!$C$143)*(1+Assumptions!$C$147)+O24*Assumptions!$D$75*Assumptions!$C$151</f>
        <v>272.5330401</v>
      </c>
      <c r="P41" s="37" t="n">
        <f aca="false">O41*(1-Assumptions!$C$143)*(1+Assumptions!$C$147)+P24*Assumptions!$D$75*Assumptions!$C$151</f>
        <v>435.158324676494</v>
      </c>
      <c r="Q41" s="37" t="n">
        <f aca="false">P41*(1-Assumptions!$C$143)*(1+Assumptions!$C$147)+Q24*Assumptions!$D$75*Assumptions!$C$151</f>
        <v>615.097223605572</v>
      </c>
      <c r="R41" s="37" t="n">
        <f aca="false">Q41*(1-Assumptions!$C$143)*(1+Assumptions!$C$147)+R24*Assumptions!$D$75*Assumptions!$C$151</f>
        <v>812.158248312495</v>
      </c>
      <c r="S41" s="37" t="n">
        <f aca="false">R41*(1-Assumptions!$C$143)*(1+Assumptions!$C$147)+S24*Assumptions!$D$75*Assumptions!$C$151</f>
        <v>1026.15202808616</v>
      </c>
      <c r="T41" s="37" t="n">
        <f aca="false">S41*(1-Assumptions!$C$143)*(1+Assumptions!$C$147)+T24*Assumptions!$D$75*Assumptions!$C$151</f>
        <v>1256.89128665553</v>
      </c>
      <c r="U41" s="37" t="n">
        <f aca="false">T41*(1-Assumptions!$C$143)*(1+Assumptions!$C$147)+U24*Assumptions!$D$75*Assumptions!$C$151</f>
        <v>1504.19081902512</v>
      </c>
      <c r="V41" s="37" t="n">
        <f aca="false">U41*(1-Assumptions!$C$143)*(1+Assumptions!$C$147)+V24*Assumptions!$D$75*Assumptions!$C$151</f>
        <v>1767.8674685667</v>
      </c>
      <c r="W41" s="37" t="n">
        <f aca="false">V41*(1-Assumptions!$C$143)*(1+Assumptions!$C$147)+W24*Assumptions!$D$75*Assumptions!$C$151</f>
        <v>2047.74010436435</v>
      </c>
      <c r="X41" s="37" t="n">
        <f aca="false">W41*(1-Assumptions!$C$143)*(1+Assumptions!$C$147)+X24*Assumptions!$D$75*Assumptions!$C$151</f>
        <v>2343.62959881008</v>
      </c>
      <c r="Y41" s="37" t="n">
        <f aca="false">X41*(1-Assumptions!$C$143)*(1+Assumptions!$C$147)+Y24*Assumptions!$D$75*Assumptions!$C$151</f>
        <v>2655.35880544724</v>
      </c>
      <c r="Z41" s="37" t="n">
        <f aca="false">Y41*(1-Assumptions!$C$143)*(1+Assumptions!$C$147)+Z24*Assumptions!$D$75*Assumptions!$C$151</f>
        <v>2982.75253705899</v>
      </c>
      <c r="AA41" s="37" t="n">
        <f aca="false">Z41*(1-Assumptions!$C$143)*(1+Assumptions!$C$147)+AA24*Assumptions!$D$75*Assumptions!$C$151</f>
        <v>3325.63754399912</v>
      </c>
      <c r="AB41" s="37" t="n">
        <f aca="false">AA41*(1-Assumptions!$C$143)*(1+Assumptions!$C$147)+AB24*Assumptions!$D$75*Assumptions!$C$151</f>
        <v>3683.84249276249</v>
      </c>
      <c r="AC41" s="37" t="n">
        <f aca="false">AB41*(1-Assumptions!$C$143)*(1+Assumptions!$C$147)+AC24*Assumptions!$D$75*Assumptions!$C$151</f>
        <v>4057.19794479254</v>
      </c>
      <c r="AD41" s="37" t="n">
        <f aca="false">AC41*(1-Assumptions!$C$143)*(1+Assumptions!$C$147)+AD24*Assumptions!$D$75*Assumptions!$C$151</f>
        <v>4445.53633552313</v>
      </c>
      <c r="AE41" s="37" t="n">
        <f aca="false">AD41*(1-Assumptions!$C$143)*(1+Assumptions!$C$147)+AE24*Assumptions!$D$75*Assumptions!$C$151</f>
        <v>4848.69195365225</v>
      </c>
      <c r="AF41" s="37" t="n">
        <f aca="false">AE41*(1-Assumptions!$C$143)*(1+Assumptions!$C$147)+AF24*Assumptions!$D$75*Assumptions!$C$151</f>
        <v>5266.50092064485</v>
      </c>
      <c r="AG41" s="37" t="n">
        <f aca="false">AF41*(1-Assumptions!$C$143)*(1+Assumptions!$C$147)+AG24*Assumptions!$D$75*Assumptions!$C$151</f>
        <v>5698.80117046252</v>
      </c>
      <c r="AH41" s="37" t="n">
        <f aca="false">AG41*(1-Assumptions!$C$143)*(1+Assumptions!$C$147)+AH24*Assumptions!$D$75*Assumptions!$C$151</f>
        <v>6145.43242951721</v>
      </c>
      <c r="AI41" s="37" t="n">
        <f aca="false">AH41*(1-Assumptions!$C$143)*(1+Assumptions!$C$147)+AI24*Assumptions!$D$75*Assumptions!$C$151</f>
        <v>6606.23619684675</v>
      </c>
      <c r="AJ41" s="37" t="n">
        <f aca="false">AI41*(1-Assumptions!$C$143)*(1+Assumptions!$C$147)+AJ24*Assumptions!$D$75*Assumptions!$C$151</f>
        <v>7081.05572450962</v>
      </c>
      <c r="AK41" s="37" t="n">
        <f aca="false">AJ41*(1-Assumptions!$C$143)*(1+Assumptions!$C$147)+AK24*Assumptions!$D$75*Assumptions!$C$151</f>
        <v>7569.73599819655</v>
      </c>
      <c r="AL41" s="37" t="n">
        <f aca="false">AK41*(1-Assumptions!$C$143)*(1+Assumptions!$C$147)+AL24*Assumptions!$D$75*Assumptions!$C$151</f>
        <v>8072.12371805649</v>
      </c>
    </row>
    <row r="42" customFormat="false" ht="15" hidden="false" customHeight="false" outlineLevel="0" collapsed="false">
      <c r="A42" s="9" t="s">
        <v>586</v>
      </c>
      <c r="B42" s="2" t="s">
        <v>105</v>
      </c>
      <c r="C42" s="37" t="n">
        <f aca="false">C25*Assumptions!$D$76*Assumptions!$C$152</f>
        <v>0</v>
      </c>
      <c r="D42" s="37" t="n">
        <f aca="false">C42*(1-Assumptions!$C$144)*(1+Assumptions!$C$148)+D25*Assumptions!$D$76*Assumptions!$C$152</f>
        <v>0</v>
      </c>
      <c r="E42" s="37" t="n">
        <f aca="false">D42*(1-Assumptions!$C$144)*(1+Assumptions!$C$148)+E25*Assumptions!$D$76*Assumptions!$C$152</f>
        <v>0</v>
      </c>
      <c r="F42" s="37" t="n">
        <f aca="false">E42*(1-Assumptions!$C$144)*(1+Assumptions!$C$148)+F25*Assumptions!$D$76*Assumptions!$C$152</f>
        <v>0</v>
      </c>
      <c r="G42" s="37" t="n">
        <f aca="false">F42*(1-Assumptions!$C$144)*(1+Assumptions!$C$148)+G25*Assumptions!$D$76*Assumptions!$C$152</f>
        <v>0</v>
      </c>
      <c r="H42" s="37" t="n">
        <f aca="false">G42*(1-Assumptions!$C$144)*(1+Assumptions!$C$148)+H25*Assumptions!$D$76*Assumptions!$C$152</f>
        <v>0</v>
      </c>
      <c r="I42" s="37" t="n">
        <f aca="false">H42*(1-Assumptions!$C$144)*(1+Assumptions!$C$148)+I25*Assumptions!$D$76*Assumptions!$C$152</f>
        <v>0</v>
      </c>
      <c r="J42" s="37" t="n">
        <f aca="false">I42*(1-Assumptions!$C$144)*(1+Assumptions!$C$148)+J25*Assumptions!$D$76*Assumptions!$C$152</f>
        <v>0</v>
      </c>
      <c r="K42" s="37" t="n">
        <f aca="false">J42*(1-Assumptions!$C$144)*(1+Assumptions!$C$148)+K25*Assumptions!$D$76*Assumptions!$C$152</f>
        <v>0</v>
      </c>
      <c r="L42" s="37" t="n">
        <f aca="false">K42*(1-Assumptions!$C$144)*(1+Assumptions!$C$148)+L25*Assumptions!$D$76*Assumptions!$C$152</f>
        <v>0</v>
      </c>
      <c r="M42" s="37" t="n">
        <f aca="false">L42*(1-Assumptions!$C$144)*(1+Assumptions!$C$148)+M25*Assumptions!$D$76*Assumptions!$C$152</f>
        <v>0</v>
      </c>
      <c r="N42" s="37" t="n">
        <f aca="false">M42*(1-Assumptions!$C$144)*(1+Assumptions!$C$148)+N25*Assumptions!$D$76*Assumptions!$C$152</f>
        <v>0</v>
      </c>
      <c r="O42" s="37" t="n">
        <f aca="false">N42*(1-Assumptions!$C$144)*(1+Assumptions!$C$148)+O25*Assumptions!$D$76*Assumptions!$C$152</f>
        <v>0</v>
      </c>
      <c r="P42" s="37" t="n">
        <f aca="false">O42*(1-Assumptions!$C$144)*(1+Assumptions!$C$148)+P25*Assumptions!$D$76*Assumptions!$C$152</f>
        <v>0</v>
      </c>
      <c r="Q42" s="37" t="n">
        <f aca="false">P42*(1-Assumptions!$C$144)*(1+Assumptions!$C$148)+Q25*Assumptions!$D$76*Assumptions!$C$152</f>
        <v>0</v>
      </c>
      <c r="R42" s="37" t="n">
        <f aca="false">Q42*(1-Assumptions!$C$144)*(1+Assumptions!$C$148)+R25*Assumptions!$D$76*Assumptions!$C$152</f>
        <v>0</v>
      </c>
      <c r="S42" s="37" t="n">
        <f aca="false">R42*(1-Assumptions!$C$144)*(1+Assumptions!$C$148)+S25*Assumptions!$D$76*Assumptions!$C$152</f>
        <v>0</v>
      </c>
      <c r="T42" s="37" t="n">
        <f aca="false">S42*(1-Assumptions!$C$144)*(1+Assumptions!$C$148)+T25*Assumptions!$D$76*Assumptions!$C$152</f>
        <v>175</v>
      </c>
      <c r="U42" s="37" t="n">
        <f aca="false">T42*(1-Assumptions!$C$144)*(1+Assumptions!$C$148)+U25*Assumptions!$D$76*Assumptions!$C$152</f>
        <v>363.11625</v>
      </c>
      <c r="V42" s="37" t="n">
        <f aca="false">U42*(1-Assumptions!$C$144)*(1+Assumptions!$C$148)+V25*Assumptions!$D$76*Assumptions!$C$152</f>
        <v>564.2825129375</v>
      </c>
      <c r="W42" s="37" t="n">
        <f aca="false">V42*(1-Assumptions!$C$144)*(1+Assumptions!$C$148)+W25*Assumptions!$D$76*Assumptions!$C$152</f>
        <v>778.432886247166</v>
      </c>
      <c r="X42" s="37" t="n">
        <f aca="false">W42*(1-Assumptions!$C$144)*(1+Assumptions!$C$148)+X25*Assumptions!$D$76*Assumptions!$C$152</f>
        <v>1005.50180017162</v>
      </c>
      <c r="Y42" s="37" t="n">
        <f aca="false">X42*(1-Assumptions!$C$144)*(1+Assumptions!$C$148)+Y25*Assumptions!$D$76*Assumptions!$C$152</f>
        <v>1245.42401608075</v>
      </c>
      <c r="Z42" s="37" t="n">
        <f aca="false">Y42*(1-Assumptions!$C$144)*(1+Assumptions!$C$148)+Z25*Assumptions!$D$76*Assumptions!$C$152</f>
        <v>1498.13462479954</v>
      </c>
      <c r="AA42" s="37" t="n">
        <f aca="false">Z42*(1-Assumptions!$C$144)*(1+Assumptions!$C$148)+AA25*Assumptions!$D$76*Assumptions!$C$152</f>
        <v>1763.5690449443</v>
      </c>
      <c r="AB42" s="37" t="n">
        <f aca="false">AA42*(1-Assumptions!$C$144)*(1+Assumptions!$C$148)+AB25*Assumptions!$D$76*Assumptions!$C$152</f>
        <v>2041.66302126734</v>
      </c>
      <c r="AC42" s="37" t="n">
        <f aca="false">AB42*(1-Assumptions!$C$144)*(1+Assumptions!$C$148)+AC25*Assumptions!$D$76*Assumptions!$C$152</f>
        <v>2332.35262300994</v>
      </c>
      <c r="AD42" s="37" t="n">
        <f aca="false">AC42*(1-Assumptions!$C$144)*(1+Assumptions!$C$148)+AD25*Assumptions!$D$76*Assumptions!$C$152</f>
        <v>2635.57424226374</v>
      </c>
      <c r="AE42" s="37" t="n">
        <f aca="false">AD42*(1-Assumptions!$C$144)*(1+Assumptions!$C$148)+AE25*Assumptions!$D$76*Assumptions!$C$152</f>
        <v>2951.2645923403</v>
      </c>
      <c r="AF42" s="37" t="n">
        <f aca="false">AE42*(1-Assumptions!$C$144)*(1+Assumptions!$C$148)+AF25*Assumptions!$D$76*Assumptions!$C$152</f>
        <v>3279.36070614898</v>
      </c>
      <c r="AG42" s="37" t="n">
        <f aca="false">AF42*(1-Assumptions!$C$144)*(1+Assumptions!$C$148)+AG25*Assumptions!$D$76*Assumptions!$C$152</f>
        <v>3619.79993458293</v>
      </c>
      <c r="AH42" s="37" t="n">
        <f aca="false">AG42*(1-Assumptions!$C$144)*(1+Assumptions!$C$148)+AH25*Assumptions!$D$76*Assumptions!$C$152</f>
        <v>3972.51994491329</v>
      </c>
      <c r="AI42" s="37" t="n">
        <f aca="false">AH42*(1-Assumptions!$C$144)*(1+Assumptions!$C$148)+AI25*Assumptions!$D$76*Assumptions!$C$152</f>
        <v>4337.45871919147</v>
      </c>
      <c r="AJ42" s="37" t="n">
        <f aca="false">AI42*(1-Assumptions!$C$144)*(1+Assumptions!$C$148)+AJ25*Assumptions!$D$76*Assumptions!$C$152</f>
        <v>4714.55455265956</v>
      </c>
      <c r="AK42" s="37" t="n">
        <f aca="false">AJ42*(1-Assumptions!$C$144)*(1+Assumptions!$C$148)+AK25*Assumptions!$D$76*Assumptions!$C$152</f>
        <v>5103.74605216863</v>
      </c>
      <c r="AL42" s="37" t="n">
        <f aca="false">AK42*(1-Assumptions!$C$144)*(1+Assumptions!$C$148)+AL25*Assumptions!$D$76*Assumptions!$C$152</f>
        <v>5504.97213460517</v>
      </c>
    </row>
    <row r="43" customFormat="false" ht="15" hidden="false" customHeight="false" outlineLevel="0" collapsed="false">
      <c r="A43" s="3" t="s">
        <v>587</v>
      </c>
      <c r="B43" s="2" t="s">
        <v>105</v>
      </c>
      <c r="C43" s="45" t="n">
        <f aca="false">C39+C40+C41+C42</f>
        <v>0</v>
      </c>
      <c r="D43" s="45" t="n">
        <f aca="false">D39+D40+D41+D42</f>
        <v>0</v>
      </c>
      <c r="E43" s="45" t="n">
        <f aca="false">E39+E40+E41+E42</f>
        <v>0</v>
      </c>
      <c r="F43" s="45" t="n">
        <f aca="false">F39+F40+F41+F42</f>
        <v>0</v>
      </c>
      <c r="G43" s="45" t="n">
        <f aca="false">G39+G40+G41+G42</f>
        <v>0</v>
      </c>
      <c r="H43" s="45" t="n">
        <f aca="false">H39+H40+H41+H42</f>
        <v>0</v>
      </c>
      <c r="I43" s="45" t="n">
        <f aca="false">I39+I40+I41+I42</f>
        <v>0</v>
      </c>
      <c r="J43" s="45" t="n">
        <f aca="false">J39+J40+J41+J42</f>
        <v>0</v>
      </c>
      <c r="K43" s="45" t="n">
        <f aca="false">K39+K40+K41+K42</f>
        <v>101.32</v>
      </c>
      <c r="L43" s="45" t="n">
        <f aca="false">L39+L40+L41+L42</f>
        <v>293.2153606</v>
      </c>
      <c r="M43" s="45" t="n">
        <f aca="false">M39+M40+M41+M42</f>
        <v>508.777979642373</v>
      </c>
      <c r="N43" s="45" t="n">
        <f aca="false">N39+N40+N41+N42</f>
        <v>874.540485286417</v>
      </c>
      <c r="O43" s="45" t="n">
        <f aca="false">O39+O40+O41+O42</f>
        <v>1279.9422713718</v>
      </c>
      <c r="P43" s="45" t="n">
        <f aca="false">P39+P40+P41+P42</f>
        <v>1723.97130112299</v>
      </c>
      <c r="Q43" s="45" t="n">
        <f aca="false">Q39+Q40+Q41+Q42</f>
        <v>2205.64884076414</v>
      </c>
      <c r="R43" s="45" t="n">
        <f aca="false">R39+R40+R41+R42</f>
        <v>2724.02821866579</v>
      </c>
      <c r="S43" s="45" t="n">
        <f aca="false">S39+S40+S41+S42</f>
        <v>3278.19363339329</v>
      </c>
      <c r="T43" s="45" t="n">
        <f aca="false">T39+T40+T41+T42</f>
        <v>4042.25900867089</v>
      </c>
      <c r="U43" s="45" t="n">
        <f aca="false">U39+U40+U41+U42</f>
        <v>4853.48314335809</v>
      </c>
      <c r="V43" s="45" t="n">
        <f aca="false">V39+V40+V41+V42</f>
        <v>5710.96991755081</v>
      </c>
      <c r="W43" s="45" t="n">
        <f aca="false">W39+W40+W41+W42</f>
        <v>6613.85009874292</v>
      </c>
      <c r="X43" s="45" t="n">
        <f aca="false">X39+X40+X41+X42</f>
        <v>7561.28036449995</v>
      </c>
      <c r="Y43" s="45" t="n">
        <f aca="false">Y39+Y40+Y41+Y42</f>
        <v>8552.44236329478</v>
      </c>
      <c r="Z43" s="45" t="n">
        <f aca="false">Z39+Z40+Z41+Z42</f>
        <v>9586.54181196395</v>
      </c>
      <c r="AA43" s="45" t="n">
        <f aca="false">AA39+AA40+AA41+AA42</f>
        <v>10662.8076283068</v>
      </c>
      <c r="AB43" s="45" t="n">
        <f aca="false">AB39+AB40+AB41+AB42</f>
        <v>11780.4910974103</v>
      </c>
      <c r="AC43" s="45" t="n">
        <f aca="false">AC39+AC40+AC41+AC42</f>
        <v>12938.8650703423</v>
      </c>
      <c r="AD43" s="45" t="n">
        <f aca="false">AD39+AD40+AD41+AD42</f>
        <v>14137.2231939081</v>
      </c>
      <c r="AE43" s="45" t="n">
        <f aca="false">AE39+AE40+AE41+AE42</f>
        <v>15374.8791702251</v>
      </c>
      <c r="AF43" s="45" t="n">
        <f aca="false">AF39+AF40+AF41+AF42</f>
        <v>16651.1660449139</v>
      </c>
      <c r="AG43" s="45" t="n">
        <f aca="false">AG39+AG40+AG41+AG42</f>
        <v>17965.4355227609</v>
      </c>
      <c r="AH43" s="45" t="n">
        <f aca="false">AH39+AH40+AH41+AH42</f>
        <v>19317.0573097492</v>
      </c>
      <c r="AI43" s="45" t="n">
        <f aca="false">AI39+AI40+AI41+AI42</f>
        <v>20705.4184804016</v>
      </c>
      <c r="AJ43" s="45" t="n">
        <f aca="false">AJ39+AJ40+AJ41+AJ42</f>
        <v>22129.9228694249</v>
      </c>
      <c r="AK43" s="45" t="n">
        <f aca="false">AK39+AK40+AK41+AK42</f>
        <v>23589.9904866817</v>
      </c>
      <c r="AL43" s="45" t="n">
        <f aca="false">AL39+AL40+AL41+AL42</f>
        <v>25085.0569545599</v>
      </c>
    </row>
    <row r="44" customFormat="false" ht="15" hidden="false" customHeight="false" outlineLevel="0" collapsed="false">
      <c r="A44" s="3" t="s">
        <v>588</v>
      </c>
      <c r="B44" s="2" t="s">
        <v>105</v>
      </c>
      <c r="C44" s="46" t="n">
        <f aca="false">C43*12</f>
        <v>0</v>
      </c>
      <c r="D44" s="46" t="n">
        <f aca="false">D43*12</f>
        <v>0</v>
      </c>
      <c r="E44" s="46" t="n">
        <f aca="false">E43*12</f>
        <v>0</v>
      </c>
      <c r="F44" s="46" t="n">
        <f aca="false">F43*12</f>
        <v>0</v>
      </c>
      <c r="G44" s="46" t="n">
        <f aca="false">G43*12</f>
        <v>0</v>
      </c>
      <c r="H44" s="46" t="n">
        <f aca="false">H43*12</f>
        <v>0</v>
      </c>
      <c r="I44" s="46" t="n">
        <f aca="false">I43*12</f>
        <v>0</v>
      </c>
      <c r="J44" s="46" t="n">
        <f aca="false">J43*12</f>
        <v>0</v>
      </c>
      <c r="K44" s="46" t="n">
        <f aca="false">K43*12</f>
        <v>1215.84</v>
      </c>
      <c r="L44" s="46" t="n">
        <f aca="false">L43*12</f>
        <v>3518.5843272</v>
      </c>
      <c r="M44" s="46" t="n">
        <f aca="false">M43*12</f>
        <v>6105.33575570848</v>
      </c>
      <c r="N44" s="46" t="n">
        <f aca="false">N43*12</f>
        <v>10494.485823437</v>
      </c>
      <c r="O44" s="46" t="n">
        <f aca="false">O43*12</f>
        <v>15359.3072564616</v>
      </c>
      <c r="P44" s="46" t="n">
        <f aca="false">P43*12</f>
        <v>20687.6556134759</v>
      </c>
      <c r="Q44" s="46" t="n">
        <f aca="false">Q43*12</f>
        <v>26467.7860891697</v>
      </c>
      <c r="R44" s="46" t="n">
        <f aca="false">R43*12</f>
        <v>32688.3386239895</v>
      </c>
      <c r="S44" s="46" t="n">
        <f aca="false">S43*12</f>
        <v>39338.3236007194</v>
      </c>
      <c r="T44" s="46" t="n">
        <f aca="false">T43*12</f>
        <v>48507.1081040507</v>
      </c>
      <c r="U44" s="46" t="n">
        <f aca="false">U43*12</f>
        <v>58241.797720297</v>
      </c>
      <c r="V44" s="46" t="n">
        <f aca="false">V43*12</f>
        <v>68531.6390106097</v>
      </c>
      <c r="W44" s="46" t="n">
        <f aca="false">W43*12</f>
        <v>79366.201184915</v>
      </c>
      <c r="X44" s="46" t="n">
        <f aca="false">X43*12</f>
        <v>90735.3643739994</v>
      </c>
      <c r="Y44" s="46" t="n">
        <f aca="false">Y43*12</f>
        <v>102629.308359537</v>
      </c>
      <c r="Z44" s="46" t="n">
        <f aca="false">Z43*12</f>
        <v>115038.501743567</v>
      </c>
      <c r="AA44" s="46" t="n">
        <f aca="false">AA43*12</f>
        <v>127953.691539681</v>
      </c>
      <c r="AB44" s="46" t="n">
        <f aca="false">AB43*12</f>
        <v>141365.893168924</v>
      </c>
      <c r="AC44" s="46" t="n">
        <f aca="false">AC43*12</f>
        <v>155266.380844107</v>
      </c>
      <c r="AD44" s="46" t="n">
        <f aca="false">AD43*12</f>
        <v>169646.678326898</v>
      </c>
      <c r="AE44" s="46" t="n">
        <f aca="false">AE43*12</f>
        <v>184498.550042701</v>
      </c>
      <c r="AF44" s="46" t="n">
        <f aca="false">AF43*12</f>
        <v>199813.992538967</v>
      </c>
      <c r="AG44" s="46" t="n">
        <f aca="false">AG43*12</f>
        <v>215585.226273131</v>
      </c>
      <c r="AH44" s="46" t="n">
        <f aca="false">AH43*12</f>
        <v>231804.68771699</v>
      </c>
      <c r="AI44" s="46" t="n">
        <f aca="false">AI43*12</f>
        <v>248465.021764819</v>
      </c>
      <c r="AJ44" s="46" t="n">
        <f aca="false">AJ43*12</f>
        <v>265559.074433099</v>
      </c>
      <c r="AK44" s="46" t="n">
        <f aca="false">AK43*12</f>
        <v>283079.88584018</v>
      </c>
      <c r="AL44" s="46" t="n">
        <f aca="false">AL43*12</f>
        <v>301020.683454719</v>
      </c>
    </row>
    <row r="45" customFormat="false" ht="15" hidden="false" customHeight="false" outlineLevel="0" collapsed="false">
      <c r="A45" s="9" t="s">
        <v>589</v>
      </c>
      <c r="B45" s="2" t="s">
        <v>241</v>
      </c>
      <c r="C45" s="37" t="n">
        <f aca="false">IF(C30&lt;0.0001,0,C39/C30)</f>
        <v>0</v>
      </c>
      <c r="D45" s="37" t="n">
        <f aca="false">IF(D30&lt;0.0001,0,D39/D30)</f>
        <v>0</v>
      </c>
      <c r="E45" s="37" t="n">
        <f aca="false">IF(E30&lt;0.0001,0,E39/E30)</f>
        <v>0</v>
      </c>
      <c r="F45" s="37" t="n">
        <f aca="false">IF(F30&lt;0.0001,0,F39/F30)</f>
        <v>0</v>
      </c>
      <c r="G45" s="37" t="n">
        <f aca="false">IF(G30&lt;0.0001,0,G39/G30)</f>
        <v>0</v>
      </c>
      <c r="H45" s="37" t="n">
        <f aca="false">IF(H30&lt;0.0001,0,H39/H30)</f>
        <v>0</v>
      </c>
      <c r="I45" s="37" t="n">
        <f aca="false">IF(I30&lt;0.0001,0,I39/I30)</f>
        <v>0</v>
      </c>
      <c r="J45" s="37" t="n">
        <f aca="false">IF(J30&lt;0.0001,0,J39/J30)</f>
        <v>0</v>
      </c>
      <c r="K45" s="37" t="n">
        <f aca="false">IF(K30&lt;0.0001,0,K39/K30)</f>
        <v>126.65</v>
      </c>
      <c r="L45" s="37" t="n">
        <f aca="false">IF(L30&lt;0.0001,0,L39/L30)</f>
        <v>126.707458788599</v>
      </c>
      <c r="M45" s="37" t="n">
        <f aca="false">IF(M30&lt;0.0001,0,M39/M30)</f>
        <v>126.761841101711</v>
      </c>
      <c r="N45" s="37" t="n">
        <f aca="false">IF(N30&lt;0.0001,0,N39/N30)</f>
        <v>126.813575657696</v>
      </c>
      <c r="O45" s="37" t="n">
        <f aca="false">IF(O30&lt;0.0001,0,O39/O30)</f>
        <v>126.863001162781</v>
      </c>
      <c r="P45" s="37" t="n">
        <f aca="false">IF(P30&lt;0.0001,0,P39/P30)</f>
        <v>126.910389083479</v>
      </c>
      <c r="Q45" s="37" t="n">
        <f aca="false">IF(Q30&lt;0.0001,0,Q39/Q30)</f>
        <v>126.95595983972</v>
      </c>
      <c r="R45" s="37" t="n">
        <f aca="false">IF(R30&lt;0.0001,0,R39/R30)</f>
        <v>126.999894534101</v>
      </c>
      <c r="S45" s="37" t="n">
        <f aca="false">IF(S30&lt;0.0001,0,S39/S30)</f>
        <v>127.042343589504</v>
      </c>
      <c r="T45" s="37" t="n">
        <f aca="false">IF(T30&lt;0.0001,0,T39/T30)</f>
        <v>127.083433205503</v>
      </c>
      <c r="U45" s="37" t="n">
        <f aca="false">IF(U30&lt;0.0001,0,U39/U30)</f>
        <v>127.123270249953</v>
      </c>
      <c r="V45" s="37" t="n">
        <f aca="false">IF(V30&lt;0.0001,0,V39/V30)</f>
        <v>127.161946010835</v>
      </c>
      <c r="W45" s="37" t="n">
        <f aca="false">IF(W30&lt;0.0001,0,W39/W30)</f>
        <v>127.199539106376</v>
      </c>
      <c r="X45" s="37" t="n">
        <f aca="false">IF(X30&lt;0.0001,0,X39/X30)</f>
        <v>127.236117765652</v>
      </c>
      <c r="Y45" s="37" t="n">
        <f aca="false">IF(Y30&lt;0.0001,0,Y39/Y30)</f>
        <v>127.27174163284</v>
      </c>
      <c r="Z45" s="37" t="n">
        <f aca="false">IF(Z30&lt;0.0001,0,Z39/Z30)</f>
        <v>127.306463207163</v>
      </c>
      <c r="AA45" s="37" t="n">
        <f aca="false">IF(AA30&lt;0.0001,0,AA39/AA30)</f>
        <v>127.340329001405</v>
      </c>
      <c r="AB45" s="37" t="n">
        <f aca="false">IF(AB30&lt;0.0001,0,AB39/AB30)</f>
        <v>127.373380481042</v>
      </c>
      <c r="AC45" s="37" t="n">
        <f aca="false">IF(AC30&lt;0.0001,0,AC39/AC30)</f>
        <v>127.405654830869</v>
      </c>
      <c r="AD45" s="37" t="n">
        <f aca="false">IF(AD30&lt;0.0001,0,AD39/AD30)</f>
        <v>127.437185584892</v>
      </c>
      <c r="AE45" s="37" t="n">
        <f aca="false">IF(AE30&lt;0.0001,0,AE39/AE30)</f>
        <v>127.468003147039</v>
      </c>
      <c r="AF45" s="37" t="n">
        <f aca="false">IF(AF30&lt;0.0001,0,AF39/AF30)</f>
        <v>127.498135224085</v>
      </c>
      <c r="AG45" s="37" t="n">
        <f aca="false">IF(AG30&lt;0.0001,0,AG39/AG30)</f>
        <v>127.527607187506</v>
      </c>
      <c r="AH45" s="37" t="n">
        <f aca="false">IF(AH30&lt;0.0001,0,AH39/AH30)</f>
        <v>127.556442377463</v>
      </c>
      <c r="AI45" s="37" t="n">
        <f aca="false">IF(AI30&lt;0.0001,0,AI39/AI30)</f>
        <v>127.584662359388</v>
      </c>
      <c r="AJ45" s="37" t="n">
        <f aca="false">IF(AJ30&lt;0.0001,0,AJ39/AJ30)</f>
        <v>127.612287141518</v>
      </c>
      <c r="AK45" s="37" t="n">
        <f aca="false">IF(AK30&lt;0.0001,0,AK39/AK30)</f>
        <v>127.639335360115</v>
      </c>
      <c r="AL45" s="37" t="n">
        <f aca="false">IF(AL30&lt;0.0001,0,AL39/AL30)</f>
        <v>127.665824437798</v>
      </c>
    </row>
    <row r="46" customFormat="false" ht="15" hidden="false" customHeight="false" outlineLevel="0" collapsed="false">
      <c r="A46" s="9" t="s">
        <v>590</v>
      </c>
      <c r="B46" s="2" t="s">
        <v>241</v>
      </c>
      <c r="C46" s="37" t="n">
        <f aca="false">IF(C31&lt;0.0001,0,C40/C31)</f>
        <v>0</v>
      </c>
      <c r="D46" s="37" t="n">
        <f aca="false">IF(D31&lt;0.0001,0,D40/D31)</f>
        <v>0</v>
      </c>
      <c r="E46" s="37" t="n">
        <f aca="false">IF(E31&lt;0.0001,0,E40/E31)</f>
        <v>0</v>
      </c>
      <c r="F46" s="37" t="n">
        <f aca="false">IF(F31&lt;0.0001,0,F40/F31)</f>
        <v>0</v>
      </c>
      <c r="G46" s="37" t="n">
        <f aca="false">IF(G31&lt;0.0001,0,G40/G31)</f>
        <v>0</v>
      </c>
      <c r="H46" s="37" t="n">
        <f aca="false">IF(H31&lt;0.0001,0,H40/H31)</f>
        <v>0</v>
      </c>
      <c r="I46" s="37" t="n">
        <f aca="false">IF(I31&lt;0.0001,0,I40/I31)</f>
        <v>0</v>
      </c>
      <c r="J46" s="37" t="n">
        <f aca="false">IF(J31&lt;0.0001,0,J40/J31)</f>
        <v>0</v>
      </c>
      <c r="K46" s="37" t="n">
        <f aca="false">IF(K31&lt;0.0001,0,K40/K31)</f>
        <v>0</v>
      </c>
      <c r="L46" s="37" t="n">
        <f aca="false">IF(L31&lt;0.0001,0,L40/L31)</f>
        <v>399.2</v>
      </c>
      <c r="M46" s="37" t="n">
        <f aca="false">IF(M31&lt;0.0001,0,M40/M31)</f>
        <v>399.733803233256</v>
      </c>
      <c r="N46" s="37" t="n">
        <f aca="false">IF(N31&lt;0.0001,0,N40/N31)</f>
        <v>400.237662124162</v>
      </c>
      <c r="O46" s="37" t="n">
        <f aca="false">IF(O31&lt;0.0001,0,O40/O31)</f>
        <v>400.717351043236</v>
      </c>
      <c r="P46" s="37" t="n">
        <f aca="false">IF(P31&lt;0.0001,0,P40/P31)</f>
        <v>401.177061517884</v>
      </c>
      <c r="Q46" s="37" t="n">
        <f aca="false">IF(Q31&lt;0.0001,0,Q40/Q31)</f>
        <v>401.619911894321</v>
      </c>
      <c r="R46" s="37" t="n">
        <f aca="false">IF(R31&lt;0.0001,0,R40/R31)</f>
        <v>402.048272027723</v>
      </c>
      <c r="S46" s="37" t="n">
        <f aca="false">IF(S31&lt;0.0001,0,S40/S31)</f>
        <v>402.463976851737</v>
      </c>
      <c r="T46" s="37" t="n">
        <f aca="false">IF(T31&lt;0.0001,0,T40/T31)</f>
        <v>402.868470799039</v>
      </c>
      <c r="U46" s="37" t="n">
        <f aca="false">IF(U31&lt;0.0001,0,U40/U31)</f>
        <v>403.262907854243</v>
      </c>
      <c r="V46" s="37" t="n">
        <f aca="false">IF(V31&lt;0.0001,0,V40/V31)</f>
        <v>403.648222365046</v>
      </c>
      <c r="W46" s="37" t="n">
        <f aca="false">IF(W31&lt;0.0001,0,W40/W31)</f>
        <v>404.025180117795</v>
      </c>
      <c r="X46" s="37" t="n">
        <f aca="false">IF(X31&lt;0.0001,0,X40/X31)</f>
        <v>404.3944158086</v>
      </c>
      <c r="Y46" s="37" t="n">
        <f aca="false">IF(Y31&lt;0.0001,0,Y40/Y31)</f>
        <v>404.756460956773</v>
      </c>
      <c r="Z46" s="37" t="n">
        <f aca="false">IF(Z31&lt;0.0001,0,Z40/Z31)</f>
        <v>405.111764987797</v>
      </c>
      <c r="AA46" s="37" t="n">
        <f aca="false">IF(AA31&lt;0.0001,0,AA40/AA31)</f>
        <v>405.460711358465</v>
      </c>
      <c r="AB46" s="37" t="n">
        <f aca="false">IF(AB31&lt;0.0001,0,AB40/AB31)</f>
        <v>405.803630032263</v>
      </c>
      <c r="AC46" s="37" t="n">
        <f aca="false">IF(AC31&lt;0.0001,0,AC40/AC31)</f>
        <v>406.14080723295</v>
      </c>
      <c r="AD46" s="37" t="n">
        <f aca="false">IF(AD31&lt;0.0001,0,AD40/AD31)</f>
        <v>406.472493144119</v>
      </c>
      <c r="AE46" s="37" t="n">
        <f aca="false">IF(AE31&lt;0.0001,0,AE40/AE31)</f>
        <v>406.798908041658</v>
      </c>
      <c r="AF46" s="37" t="n">
        <f aca="false">IF(AF31&lt;0.0001,0,AF40/AF31)</f>
        <v>407.12024721841</v>
      </c>
      <c r="AG46" s="37" t="n">
        <f aca="false">IF(AG31&lt;0.0001,0,AG40/AG31)</f>
        <v>407.436684969202</v>
      </c>
      <c r="AH46" s="37" t="n">
        <f aca="false">IF(AH31&lt;0.0001,0,AH40/AH31)</f>
        <v>407.748377838478</v>
      </c>
      <c r="AI46" s="37" t="n">
        <f aca="false">IF(AI31&lt;0.0001,0,AI40/AI31)</f>
        <v>408.055467284489</v>
      </c>
      <c r="AJ46" s="37" t="n">
        <f aca="false">IF(AJ31&lt;0.0001,0,AJ40/AJ31)</f>
        <v>408.358081878373</v>
      </c>
      <c r="AK46" s="37" t="n">
        <f aca="false">IF(AK31&lt;0.0001,0,AK40/AK31)</f>
        <v>408.656339129777</v>
      </c>
      <c r="AL46" s="37" t="n">
        <f aca="false">IF(AL31&lt;0.0001,0,AL40/AL31)</f>
        <v>408.950347010635</v>
      </c>
    </row>
    <row r="47" customFormat="false" ht="15" hidden="false" customHeight="false" outlineLevel="0" collapsed="false">
      <c r="A47" s="9" t="s">
        <v>591</v>
      </c>
      <c r="B47" s="2" t="s">
        <v>241</v>
      </c>
      <c r="C47" s="37" t="n">
        <f aca="false">IF(C32&lt;0.0001,0,C41/C32)</f>
        <v>0</v>
      </c>
      <c r="D47" s="37" t="n">
        <f aca="false">IF(D32&lt;0.0001,0,D41/D32)</f>
        <v>0</v>
      </c>
      <c r="E47" s="37" t="n">
        <f aca="false">IF(E32&lt;0.0001,0,E41/E32)</f>
        <v>0</v>
      </c>
      <c r="F47" s="37" t="n">
        <f aca="false">IF(F32&lt;0.0001,0,F41/F32)</f>
        <v>0</v>
      </c>
      <c r="G47" s="37" t="n">
        <f aca="false">IF(G32&lt;0.0001,0,G41/G32)</f>
        <v>0</v>
      </c>
      <c r="H47" s="37" t="n">
        <f aca="false">IF(H32&lt;0.0001,0,H41/H32)</f>
        <v>0</v>
      </c>
      <c r="I47" s="37" t="n">
        <f aca="false">IF(I32&lt;0.0001,0,I41/I32)</f>
        <v>0</v>
      </c>
      <c r="J47" s="37" t="n">
        <f aca="false">IF(J32&lt;0.0001,0,J41/J32)</f>
        <v>0</v>
      </c>
      <c r="K47" s="37" t="n">
        <f aca="false">IF(K32&lt;0.0001,0,K41/K32)</f>
        <v>0</v>
      </c>
      <c r="L47" s="37" t="n">
        <f aca="false">IF(L32&lt;0.0001,0,L41/L32)</f>
        <v>0</v>
      </c>
      <c r="M47" s="37" t="n">
        <f aca="false">IF(M32&lt;0.0001,0,M41/M32)</f>
        <v>0</v>
      </c>
      <c r="N47" s="37" t="n">
        <f aca="false">IF(N32&lt;0.0001,0,N41/N32)</f>
        <v>1274.15</v>
      </c>
      <c r="O47" s="37" t="n">
        <f aca="false">IF(O32&lt;0.0001,0,O41/O32)</f>
        <v>1276.5013587822</v>
      </c>
      <c r="P47" s="37" t="n">
        <f aca="false">IF(P32&lt;0.0001,0,P41/P32)</f>
        <v>1278.75851182126</v>
      </c>
      <c r="Q47" s="37" t="n">
        <f aca="false">IF(Q32&lt;0.0001,0,Q41/Q32)</f>
        <v>1280.93740552324</v>
      </c>
      <c r="R47" s="37" t="n">
        <f aca="false">IF(R32&lt;0.0001,0,R41/R32)</f>
        <v>1283.05038973685</v>
      </c>
      <c r="S47" s="37" t="n">
        <f aca="false">IF(S32&lt;0.0001,0,S41/S32)</f>
        <v>1285.10717744163</v>
      </c>
      <c r="T47" s="37" t="n">
        <f aca="false">IF(T32&lt;0.0001,0,T41/T32)</f>
        <v>1287.11551272781</v>
      </c>
      <c r="U47" s="37" t="n">
        <f aca="false">IF(U32&lt;0.0001,0,U41/U32)</f>
        <v>1289.08164552602</v>
      </c>
      <c r="V47" s="37" t="n">
        <f aca="false">IF(V32&lt;0.0001,0,V41/V32)</f>
        <v>1291.01067531265</v>
      </c>
      <c r="W47" s="37" t="n">
        <f aca="false">IF(W32&lt;0.0001,0,W41/W32)</f>
        <v>1292.90680412491</v>
      </c>
      <c r="X47" s="37" t="n">
        <f aca="false">IF(X32&lt;0.0001,0,X41/X32)</f>
        <v>1294.77352562739</v>
      </c>
      <c r="Y47" s="37" t="n">
        <f aca="false">IF(Y32&lt;0.0001,0,Y41/Y32)</f>
        <v>1296.61376832421</v>
      </c>
      <c r="Z47" s="37" t="n">
        <f aca="false">IF(Z32&lt;0.0001,0,Z41/Z32)</f>
        <v>1298.43000538737</v>
      </c>
      <c r="AA47" s="37" t="n">
        <f aca="false">IF(AA32&lt;0.0001,0,AA41/AA32)</f>
        <v>1300.22433984048</v>
      </c>
      <c r="AB47" s="37" t="n">
        <f aca="false">IF(AB32&lt;0.0001,0,AB41/AB32)</f>
        <v>1301.99857131718</v>
      </c>
      <c r="AC47" s="37" t="n">
        <f aca="false">IF(AC32&lt;0.0001,0,AC41/AC32)</f>
        <v>1303.75424888181</v>
      </c>
      <c r="AD47" s="37" t="n">
        <f aca="false">IF(AD32&lt;0.0001,0,AD41/AD32)</f>
        <v>1305.49271319319</v>
      </c>
      <c r="AE47" s="37" t="n">
        <f aca="false">IF(AE32&lt;0.0001,0,AE41/AE32)</f>
        <v>1307.21513043812</v>
      </c>
      <c r="AF47" s="37" t="n">
        <f aca="false">IF(AF32&lt;0.0001,0,AF41/AF32)</f>
        <v>1308.92251984991</v>
      </c>
      <c r="AG47" s="37" t="n">
        <f aca="false">IF(AG32&lt;0.0001,0,AG41/AG32)</f>
        <v>1310.61577618341</v>
      </c>
      <c r="AH47" s="37" t="n">
        <f aca="false">IF(AH32&lt;0.0001,0,AH41/AH32)</f>
        <v>1312.29568819298</v>
      </c>
      <c r="AI47" s="37" t="n">
        <f aca="false">IF(AI32&lt;0.0001,0,AI41/AI32)</f>
        <v>1313.96295391884</v>
      </c>
      <c r="AJ47" s="37" t="n">
        <f aca="false">IF(AJ32&lt;0.0001,0,AJ41/AJ32)</f>
        <v>1315.61819340676</v>
      </c>
      <c r="AK47" s="37" t="n">
        <f aca="false">IF(AK32&lt;0.0001,0,AK41/AK32)</f>
        <v>1317.26195935038</v>
      </c>
      <c r="AL47" s="37" t="n">
        <f aca="false">IF(AL32&lt;0.0001,0,AL41/AL32)</f>
        <v>1318.89474604118</v>
      </c>
    </row>
    <row r="48" customFormat="false" ht="15" hidden="false" customHeight="false" outlineLevel="0" collapsed="false">
      <c r="A48" s="9" t="s">
        <v>592</v>
      </c>
      <c r="B48" s="2" t="s">
        <v>241</v>
      </c>
      <c r="C48" s="37" t="n">
        <f aca="false">IF(C33&lt;0.0001,0,C42/C33)</f>
        <v>0</v>
      </c>
      <c r="D48" s="37" t="n">
        <f aca="false">IF(D33&lt;0.0001,0,D42/D33)</f>
        <v>0</v>
      </c>
      <c r="E48" s="37" t="n">
        <f aca="false">IF(E33&lt;0.0001,0,E42/E33)</f>
        <v>0</v>
      </c>
      <c r="F48" s="37" t="n">
        <f aca="false">IF(F33&lt;0.0001,0,F42/F33)</f>
        <v>0</v>
      </c>
      <c r="G48" s="37" t="n">
        <f aca="false">IF(G33&lt;0.0001,0,G42/G33)</f>
        <v>0</v>
      </c>
      <c r="H48" s="37" t="n">
        <f aca="false">IF(H33&lt;0.0001,0,H42/H33)</f>
        <v>0</v>
      </c>
      <c r="I48" s="37" t="n">
        <f aca="false">IF(I33&lt;0.0001,0,I42/I33)</f>
        <v>0</v>
      </c>
      <c r="J48" s="37" t="n">
        <f aca="false">IF(J33&lt;0.0001,0,J42/J33)</f>
        <v>0</v>
      </c>
      <c r="K48" s="37" t="n">
        <f aca="false">IF(K33&lt;0.0001,0,K42/K33)</f>
        <v>0</v>
      </c>
      <c r="L48" s="37" t="n">
        <f aca="false">IF(L33&lt;0.0001,0,L42/L33)</f>
        <v>0</v>
      </c>
      <c r="M48" s="37" t="n">
        <f aca="false">IF(M33&lt;0.0001,0,M42/M33)</f>
        <v>0</v>
      </c>
      <c r="N48" s="37" t="n">
        <f aca="false">IF(N33&lt;0.0001,0,N42/N33)</f>
        <v>0</v>
      </c>
      <c r="O48" s="37" t="n">
        <f aca="false">IF(O33&lt;0.0001,0,O42/O33)</f>
        <v>0</v>
      </c>
      <c r="P48" s="37" t="n">
        <f aca="false">IF(P33&lt;0.0001,0,P42/P33)</f>
        <v>0</v>
      </c>
      <c r="Q48" s="37" t="n">
        <f aca="false">IF(Q33&lt;0.0001,0,Q42/Q33)</f>
        <v>0</v>
      </c>
      <c r="R48" s="37" t="n">
        <f aca="false">IF(R33&lt;0.0001,0,R42/R33)</f>
        <v>0</v>
      </c>
      <c r="S48" s="37" t="n">
        <f aca="false">IF(S33&lt;0.0001,0,S42/S33)</f>
        <v>0</v>
      </c>
      <c r="T48" s="37" t="n">
        <f aca="false">IF(T33&lt;0.0001,0,T42/T33)</f>
        <v>3500</v>
      </c>
      <c r="U48" s="37" t="n">
        <f aca="false">IF(U33&lt;0.0001,0,U42/U33)</f>
        <v>3508.36956521739</v>
      </c>
      <c r="V48" s="37" t="n">
        <f aca="false">IF(V33&lt;0.0001,0,V42/V33)</f>
        <v>3516.54574478858</v>
      </c>
      <c r="W48" s="37" t="n">
        <f aca="false">IF(W33&lt;0.0001,0,W42/W33)</f>
        <v>3524.54791567235</v>
      </c>
      <c r="X48" s="37" t="n">
        <f aca="false">IF(X33&lt;0.0001,0,X42/X33)</f>
        <v>3532.39287141215</v>
      </c>
      <c r="Y48" s="37" t="n">
        <f aca="false">IF(Y33&lt;0.0001,0,Y42/Y33)</f>
        <v>3540.09523820025</v>
      </c>
      <c r="Z48" s="37" t="n">
        <f aca="false">IF(Z33&lt;0.0001,0,Z42/Z33)</f>
        <v>3547.66781304714</v>
      </c>
      <c r="AA48" s="37" t="n">
        <f aca="false">IF(AA33&lt;0.0001,0,AA42/AA33)</f>
        <v>3555.12184055523</v>
      </c>
      <c r="AB48" s="37" t="n">
        <f aca="false">IF(AB33&lt;0.0001,0,AB42/AB33)</f>
        <v>3562.46724091925</v>
      </c>
      <c r="AC48" s="37" t="n">
        <f aca="false">IF(AC33&lt;0.0001,0,AC42/AC33)</f>
        <v>3569.71279889466</v>
      </c>
      <c r="AD48" s="37" t="n">
        <f aca="false">IF(AD33&lt;0.0001,0,AD42/AD33)</f>
        <v>3576.86632131339</v>
      </c>
      <c r="AE48" s="37" t="n">
        <f aca="false">IF(AE33&lt;0.0001,0,AE42/AE33)</f>
        <v>3583.93476908973</v>
      </c>
      <c r="AF48" s="37" t="n">
        <f aca="false">IF(AF33&lt;0.0001,0,AF42/AF33)</f>
        <v>3590.92436840964</v>
      </c>
      <c r="AG48" s="37" t="n">
        <f aca="false">IF(AG33&lt;0.0001,0,AG42/AG33)</f>
        <v>3597.84070483508</v>
      </c>
      <c r="AH48" s="37" t="n">
        <f aca="false">IF(AH33&lt;0.0001,0,AH42/AH33)</f>
        <v>3604.68880330973</v>
      </c>
      <c r="AI48" s="37" t="n">
        <f aca="false">IF(AI33&lt;0.0001,0,AI42/AI33)</f>
        <v>3611.47319647029</v>
      </c>
      <c r="AJ48" s="37" t="n">
        <f aca="false">IF(AJ33&lt;0.0001,0,AJ42/AJ33)</f>
        <v>3618.19798321024</v>
      </c>
      <c r="AK48" s="37" t="n">
        <f aca="false">IF(AK33&lt;0.0001,0,AK42/AK33)</f>
        <v>3624.86687908103</v>
      </c>
      <c r="AL48" s="37" t="n">
        <f aca="false">IF(AL33&lt;0.0001,0,AL42/AL33)</f>
        <v>3631.48325982797</v>
      </c>
    </row>
    <row r="49" customFormat="false" ht="15" hidden="false" customHeight="false" outlineLevel="0" collapsed="false">
      <c r="A49" s="9" t="s">
        <v>593</v>
      </c>
      <c r="B49" s="2" t="s">
        <v>241</v>
      </c>
      <c r="C49" s="37" t="n">
        <f aca="false">IF(C36&lt;0.0001,0,C43/C36)</f>
        <v>0</v>
      </c>
      <c r="D49" s="37" t="n">
        <f aca="false">IF(D36&lt;0.0001,0,D43/D36)</f>
        <v>0</v>
      </c>
      <c r="E49" s="37" t="n">
        <f aca="false">IF(E36&lt;0.0001,0,E43/E36)</f>
        <v>0</v>
      </c>
      <c r="F49" s="37" t="n">
        <f aca="false">IF(F36&lt;0.0001,0,F43/F36)</f>
        <v>0</v>
      </c>
      <c r="G49" s="37" t="n">
        <f aca="false">IF(G36&lt;0.0001,0,G43/G36)</f>
        <v>0</v>
      </c>
      <c r="H49" s="37" t="n">
        <f aca="false">IF(H36&lt;0.0001,0,H43/H36)</f>
        <v>0</v>
      </c>
      <c r="I49" s="37" t="n">
        <f aca="false">IF(I36&lt;0.0001,0,I43/I36)</f>
        <v>0</v>
      </c>
      <c r="J49" s="37" t="n">
        <f aca="false">IF(J36&lt;0.0001,0,J43/J36)</f>
        <v>0</v>
      </c>
      <c r="K49" s="37" t="n">
        <f aca="false">IF(K36&lt;0.0001,0,K43/K36)</f>
        <v>126.65</v>
      </c>
      <c r="L49" s="37" t="n">
        <f aca="false">IF(L36&lt;0.0001,0,L43/L36)</f>
        <v>155.63448014862</v>
      </c>
      <c r="M49" s="37" t="n">
        <f aca="false">IF(M36&lt;0.0001,0,M43/M36)</f>
        <v>165.122250161421</v>
      </c>
      <c r="N49" s="37" t="n">
        <f aca="false">IF(N36&lt;0.0001,0,N43/N36)</f>
        <v>194.90994681075</v>
      </c>
      <c r="O49" s="37" t="n">
        <f aca="false">IF(O36&lt;0.0001,0,O43/O36)</f>
        <v>212.970065500136</v>
      </c>
      <c r="P49" s="37" t="n">
        <f aca="false">IF(P36&lt;0.0001,0,P43/P36)</f>
        <v>225.477922068232</v>
      </c>
      <c r="Q49" s="37" t="n">
        <f aca="false">IF(Q36&lt;0.0001,0,Q43/Q36)</f>
        <v>234.8887244249</v>
      </c>
      <c r="R49" s="37" t="n">
        <f aca="false">IF(R36&lt;0.0001,0,R43/R36)</f>
        <v>242.378036159404</v>
      </c>
      <c r="S49" s="37" t="n">
        <f aca="false">IF(S36&lt;0.0001,0,S43/S36)</f>
        <v>248.582579838575</v>
      </c>
      <c r="T49" s="37" t="n">
        <f aca="false">IF(T36&lt;0.0001,0,T43/T36)</f>
        <v>264.499358747574</v>
      </c>
      <c r="U49" s="37" t="n">
        <f aca="false">IF(U36&lt;0.0001,0,U43/U36)</f>
        <v>277.755134115309</v>
      </c>
      <c r="V49" s="37" t="n">
        <f aca="false">IF(V36&lt;0.0001,0,V43/V36)</f>
        <v>289.048740157296</v>
      </c>
      <c r="W49" s="37" t="n">
        <f aca="false">IF(W36&lt;0.0001,0,W43/W36)</f>
        <v>298.853050457677</v>
      </c>
      <c r="X49" s="37" t="n">
        <f aca="false">IF(X36&lt;0.0001,0,X43/X36)</f>
        <v>307.499558915315</v>
      </c>
      <c r="Y49" s="37" t="n">
        <f aca="false">IF(Y36&lt;0.0001,0,Y43/Y36)</f>
        <v>315.227596756781</v>
      </c>
      <c r="Z49" s="37" t="n">
        <f aca="false">IF(Z36&lt;0.0001,0,Z43/Z36)</f>
        <v>322.214316086727</v>
      </c>
      <c r="AA49" s="37" t="n">
        <f aca="false">IF(AA36&lt;0.0001,0,AA43/AA36)</f>
        <v>328.593675245479</v>
      </c>
      <c r="AB49" s="37" t="n">
        <f aca="false">IF(AB36&lt;0.0001,0,AB43/AB36)</f>
        <v>334.468863069843</v>
      </c>
      <c r="AC49" s="37" t="n">
        <f aca="false">IF(AC36&lt;0.0001,0,AC43/AC36)</f>
        <v>339.920664430586</v>
      </c>
      <c r="AD49" s="37" t="n">
        <f aca="false">IF(AD36&lt;0.0001,0,AD43/AD36)</f>
        <v>345.01323479406</v>
      </c>
      <c r="AE49" s="37" t="n">
        <f aca="false">IF(AE36&lt;0.0001,0,AE43/AE36)</f>
        <v>349.798174586524</v>
      </c>
      <c r="AF49" s="37" t="n">
        <f aca="false">IF(AF36&lt;0.0001,0,AF43/AF36)</f>
        <v>354.317460415556</v>
      </c>
      <c r="AG49" s="37" t="n">
        <f aca="false">IF(AG36&lt;0.0001,0,AG43/AG36)</f>
        <v>358.605590867835</v>
      </c>
      <c r="AH49" s="37" t="n">
        <f aca="false">IF(AH36&lt;0.0001,0,AH43/AH36)</f>
        <v>362.691182094594</v>
      </c>
      <c r="AI49" s="37" t="n">
        <f aca="false">IF(AI36&lt;0.0001,0,AI43/AI36)</f>
        <v>366.598171161446</v>
      </c>
      <c r="AJ49" s="37" t="n">
        <f aca="false">IF(AJ36&lt;0.0001,0,AJ43/AJ36)</f>
        <v>370.346735318634</v>
      </c>
      <c r="AK49" s="37" t="n">
        <f aca="false">IF(AK36&lt;0.0001,0,AK43/AK36)</f>
        <v>373.954002537859</v>
      </c>
      <c r="AL49" s="37" t="n">
        <f aca="false">IF(AL36&lt;0.0001,0,AL43/AL36)</f>
        <v>377.434606643797</v>
      </c>
    </row>
    <row r="50" customFormat="false" ht="15" hidden="false" customHeight="false" outlineLevel="0" collapsed="false">
      <c r="A50" s="9" t="s">
        <v>594</v>
      </c>
      <c r="B50" s="2" t="s">
        <v>105</v>
      </c>
      <c r="C50" s="37" t="n">
        <f aca="false">C30*Pricing!$B$6*Assumptions!$C$154*Assumptions!$D$79</f>
        <v>0</v>
      </c>
      <c r="D50" s="37" t="n">
        <f aca="false">D30*Pricing!$B$6*Assumptions!$C$154*Assumptions!$D$79</f>
        <v>0</v>
      </c>
      <c r="E50" s="37" t="n">
        <f aca="false">E30*Pricing!$B$6*Assumptions!$C$154*Assumptions!$D$79</f>
        <v>0</v>
      </c>
      <c r="F50" s="37" t="n">
        <f aca="false">F30*Pricing!$B$6*Assumptions!$C$154*Assumptions!$D$79</f>
        <v>0</v>
      </c>
      <c r="G50" s="37" t="n">
        <f aca="false">G30*Pricing!$B$6*Assumptions!$C$154*Assumptions!$D$79</f>
        <v>0</v>
      </c>
      <c r="H50" s="37" t="n">
        <f aca="false">H30*Pricing!$B$6*Assumptions!$C$154*Assumptions!$D$79</f>
        <v>0</v>
      </c>
      <c r="I50" s="37" t="n">
        <f aca="false">I30*Pricing!$B$6*Assumptions!$C$154*Assumptions!$D$79</f>
        <v>0</v>
      </c>
      <c r="J50" s="37" t="n">
        <f aca="false">J30*Pricing!$B$6*Assumptions!$C$154*Assumptions!$D$79</f>
        <v>0</v>
      </c>
      <c r="K50" s="37" t="n">
        <f aca="false">K30*Pricing!$B$6*Assumptions!$C$154*Assumptions!$D$79</f>
        <v>3.328</v>
      </c>
      <c r="L50" s="37" t="n">
        <f aca="false">L30*Pricing!$B$6*Assumptions!$C$154*Assumptions!$D$79</f>
        <v>7.00544</v>
      </c>
      <c r="M50" s="37" t="n">
        <f aca="false">M30*Pricing!$B$6*Assumptions!$C$154*Assumptions!$D$79</f>
        <v>11.0165952</v>
      </c>
      <c r="N50" s="37" t="n">
        <f aca="false">N30*Pricing!$B$6*Assumptions!$C$154*Assumptions!$D$79</f>
        <v>15.346448416</v>
      </c>
      <c r="O50" s="37" t="n">
        <f aca="false">O30*Pricing!$B$6*Assumptions!$C$154*Assumptions!$D$79</f>
        <v>19.98065823728</v>
      </c>
      <c r="P50" s="37" t="n">
        <f aca="false">P30*Pricing!$B$6*Assumptions!$C$154*Assumptions!$D$79</f>
        <v>24.9055286166024</v>
      </c>
      <c r="Q50" s="37" t="n">
        <f aca="false">Q30*Pricing!$B$6*Assumptions!$C$154*Assumptions!$D$79</f>
        <v>30.1079798288553</v>
      </c>
      <c r="R50" s="37" t="n">
        <f aca="false">R30*Pricing!$B$6*Assumptions!$C$154*Assumptions!$D$79</f>
        <v>35.5755207365568</v>
      </c>
      <c r="S50" s="37" t="n">
        <f aca="false">S30*Pricing!$B$6*Assumptions!$C$154*Assumptions!$D$79</f>
        <v>41.2962223034118</v>
      </c>
      <c r="T50" s="37" t="n">
        <f aca="false">T30*Pricing!$B$6*Assumptions!$C$154*Assumptions!$D$79</f>
        <v>47.2586922997582</v>
      </c>
      <c r="U50" s="37" t="n">
        <f aca="false">U30*Pricing!$B$6*Assumptions!$C$154*Assumptions!$D$79</f>
        <v>53.4520511462691</v>
      </c>
      <c r="V50" s="37" t="n">
        <f aca="false">V30*Pricing!$B$6*Assumptions!$C$154*Assumptions!$D$79</f>
        <v>59.865908844687</v>
      </c>
      <c r="W50" s="37" t="n">
        <f aca="false">W30*Pricing!$B$6*Assumptions!$C$154*Assumptions!$D$79</f>
        <v>66.4903429466761</v>
      </c>
      <c r="X50" s="37" t="n">
        <f aca="false">X30*Pricing!$B$6*Assumptions!$C$154*Assumptions!$D$79</f>
        <v>73.3158775140757</v>
      </c>
      <c r="Y50" s="37" t="n">
        <f aca="false">Y30*Pricing!$B$6*Assumptions!$C$154*Assumptions!$D$79</f>
        <v>80.3334630259423</v>
      </c>
      <c r="Z50" s="37" t="n">
        <f aca="false">Z30*Pricing!$B$6*Assumptions!$C$154*Assumptions!$D$79</f>
        <v>87.5344571897749</v>
      </c>
      <c r="AA50" s="37" t="n">
        <f aca="false">AA30*Pricing!$B$6*Assumptions!$C$154*Assumptions!$D$79</f>
        <v>94.910606616235</v>
      </c>
      <c r="AB50" s="37" t="n">
        <f aca="false">AB30*Pricing!$B$6*Assumptions!$C$154*Assumptions!$D$79</f>
        <v>102.454029318504</v>
      </c>
      <c r="AC50" s="37" t="n">
        <f aca="false">AC30*Pricing!$B$6*Assumptions!$C$154*Assumptions!$D$79</f>
        <v>110.157197999172</v>
      </c>
      <c r="AD50" s="37" t="n">
        <f aca="false">AD30*Pricing!$B$6*Assumptions!$C$154*Assumptions!$D$79</f>
        <v>118.012924089209</v>
      </c>
      <c r="AE50" s="37" t="n">
        <f aca="false">AE30*Pricing!$B$6*Assumptions!$C$154*Assumptions!$D$79</f>
        <v>126.014342505195</v>
      </c>
      <c r="AF50" s="37" t="n">
        <f aca="false">AF30*Pricing!$B$6*Assumptions!$C$154*Assumptions!$D$79</f>
        <v>134.154897092461</v>
      </c>
      <c r="AG50" s="37" t="n">
        <f aca="false">AG30*Pricing!$B$6*Assumptions!$C$154*Assumptions!$D$79</f>
        <v>142.4283267233</v>
      </c>
      <c r="AH50" s="37" t="n">
        <f aca="false">AH30*Pricing!$B$6*Assumptions!$C$154*Assumptions!$D$79</f>
        <v>150.828652020752</v>
      </c>
      <c r="AI50" s="37" t="n">
        <f aca="false">AI30*Pricing!$B$6*Assumptions!$C$154*Assumptions!$D$79</f>
        <v>159.350162679818</v>
      </c>
      <c r="AJ50" s="37" t="n">
        <f aca="false">AJ30*Pricing!$B$6*Assumptions!$C$154*Assumptions!$D$79</f>
        <v>167.987405359226</v>
      </c>
      <c r="AK50" s="37" t="n">
        <f aca="false">AK30*Pricing!$B$6*Assumptions!$C$154*Assumptions!$D$79</f>
        <v>176.735172118061</v>
      </c>
      <c r="AL50" s="37" t="n">
        <f aca="false">AL30*Pricing!$B$6*Assumptions!$C$154*Assumptions!$D$79</f>
        <v>185.588489372748</v>
      </c>
    </row>
    <row r="51" customFormat="false" ht="15" hidden="false" customHeight="false" outlineLevel="0" collapsed="false">
      <c r="A51" s="9" t="s">
        <v>595</v>
      </c>
      <c r="B51" s="2" t="s">
        <v>105</v>
      </c>
      <c r="C51" s="37" t="n">
        <f aca="false">C31*Pricing!$C$6*Assumptions!$C$154*Assumptions!$D$80</f>
        <v>0</v>
      </c>
      <c r="D51" s="37" t="n">
        <f aca="false">D31*Pricing!$C$6*Assumptions!$C$154*Assumptions!$D$80</f>
        <v>0</v>
      </c>
      <c r="E51" s="37" t="n">
        <f aca="false">E31*Pricing!$C$6*Assumptions!$C$154*Assumptions!$D$80</f>
        <v>0</v>
      </c>
      <c r="F51" s="37" t="n">
        <f aca="false">F31*Pricing!$C$6*Assumptions!$C$154*Assumptions!$D$80</f>
        <v>0</v>
      </c>
      <c r="G51" s="37" t="n">
        <f aca="false">G31*Pricing!$C$6*Assumptions!$C$154*Assumptions!$D$80</f>
        <v>0</v>
      </c>
      <c r="H51" s="37" t="n">
        <f aca="false">H31*Pricing!$C$6*Assumptions!$C$154*Assumptions!$D$80</f>
        <v>0</v>
      </c>
      <c r="I51" s="37" t="n">
        <f aca="false">I31*Pricing!$C$6*Assumptions!$C$154*Assumptions!$D$80</f>
        <v>0</v>
      </c>
      <c r="J51" s="37" t="n">
        <f aca="false">J31*Pricing!$C$6*Assumptions!$C$154*Assumptions!$D$80</f>
        <v>0</v>
      </c>
      <c r="K51" s="37" t="n">
        <f aca="false">K31*Pricing!$C$6*Assumptions!$C$154*Assumptions!$D$80</f>
        <v>0</v>
      </c>
      <c r="L51" s="37" t="n">
        <f aca="false">L31*Pricing!$C$6*Assumptions!$C$154*Assumptions!$D$80</f>
        <v>2.856</v>
      </c>
      <c r="M51" s="37" t="n">
        <f aca="false">M31*Pricing!$C$6*Assumptions!$C$154*Assumptions!$D$80</f>
        <v>6.18324</v>
      </c>
      <c r="N51" s="37" t="n">
        <f aca="false">N31*Pricing!$C$6*Assumptions!$C$154*Assumptions!$D$80</f>
        <v>9.9652266</v>
      </c>
      <c r="O51" s="37" t="n">
        <f aca="false">O31*Pricing!$C$6*Assumptions!$C$154*Assumptions!$D$80</f>
        <v>14.186043669</v>
      </c>
      <c r="P51" s="37" t="n">
        <f aca="false">P31*Pricing!$C$6*Assumptions!$C$154*Assumptions!$D$80</f>
        <v>18.830332140585</v>
      </c>
      <c r="Q51" s="37" t="n">
        <f aca="false">Q31*Pricing!$C$6*Assumptions!$C$154*Assumptions!$D$80</f>
        <v>23.8832705156645</v>
      </c>
      <c r="R51" s="37" t="n">
        <f aca="false">R31*Pricing!$C$6*Assumptions!$C$154*Assumptions!$D$80</f>
        <v>29.3305560476163</v>
      </c>
      <c r="S51" s="37" t="n">
        <f aca="false">S31*Pricing!$C$6*Assumptions!$C$154*Assumptions!$D$80</f>
        <v>35.1583865859497</v>
      </c>
      <c r="T51" s="37" t="n">
        <f aca="false">T31*Pricing!$C$6*Assumptions!$C$154*Assumptions!$D$80</f>
        <v>41.3534430554415</v>
      </c>
      <c r="U51" s="37" t="n">
        <f aca="false">U31*Pricing!$C$6*Assumptions!$C$154*Assumptions!$D$80</f>
        <v>47.902872548501</v>
      </c>
      <c r="V51" s="37" t="n">
        <f aca="false">V31*Pricing!$C$6*Assumptions!$C$154*Assumptions!$D$80</f>
        <v>54.7942720093035</v>
      </c>
      <c r="W51" s="37" t="n">
        <f aca="false">W31*Pricing!$C$6*Assumptions!$C$154*Assumptions!$D$80</f>
        <v>62.0156724889779</v>
      </c>
      <c r="X51" s="37" t="n">
        <f aca="false">X31*Pricing!$C$6*Assumptions!$C$154*Assumptions!$D$80</f>
        <v>69.5555239518636</v>
      </c>
      <c r="Y51" s="37" t="n">
        <f aca="false">Y31*Pricing!$C$6*Assumptions!$C$154*Assumptions!$D$80</f>
        <v>77.4026806135484</v>
      </c>
      <c r="Z51" s="37" t="n">
        <f aca="false">Z31*Pricing!$C$6*Assumptions!$C$154*Assumptions!$D$80</f>
        <v>85.5463867920742</v>
      </c>
      <c r="AA51" s="37" t="n">
        <f aca="false">AA31*Pricing!$C$6*Assumptions!$C$154*Assumptions!$D$80</f>
        <v>93.9762632543516</v>
      </c>
      <c r="AB51" s="37" t="n">
        <f aca="false">AB31*Pricing!$C$6*Assumptions!$C$154*Assumptions!$D$80</f>
        <v>102.682294040449</v>
      </c>
      <c r="AC51" s="37" t="n">
        <f aca="false">AC31*Pricing!$C$6*Assumptions!$C$154*Assumptions!$D$80</f>
        <v>111.654813749034</v>
      </c>
      <c r="AD51" s="37" t="n">
        <f aca="false">AD31*Pricing!$C$6*Assumptions!$C$154*Assumptions!$D$80</f>
        <v>120.884495267817</v>
      </c>
      <c r="AE51" s="37" t="n">
        <f aca="false">AE31*Pricing!$C$6*Assumptions!$C$154*Assumptions!$D$80</f>
        <v>130.362337933444</v>
      </c>
      <c r="AF51" s="37" t="n">
        <f aca="false">AF31*Pricing!$C$6*Assumptions!$C$154*Assumptions!$D$80</f>
        <v>140.079656105773</v>
      </c>
      <c r="AG51" s="37" t="n">
        <f aca="false">AG31*Pricing!$C$6*Assumptions!$C$154*Assumptions!$D$80</f>
        <v>150.028068142071</v>
      </c>
      <c r="AH51" s="37" t="n">
        <f aca="false">AH31*Pricing!$C$6*Assumptions!$C$154*Assumptions!$D$80</f>
        <v>160.199485757099</v>
      </c>
      <c r="AI51" s="37" t="n">
        <f aca="false">AI31*Pricing!$C$6*Assumptions!$C$154*Assumptions!$D$80</f>
        <v>170.5861037556</v>
      </c>
      <c r="AJ51" s="37" t="n">
        <f aca="false">AJ31*Pricing!$C$6*Assumptions!$C$154*Assumptions!$D$80</f>
        <v>181.180390124154</v>
      </c>
      <c r="AK51" s="37" t="n">
        <f aca="false">AK31*Pricing!$C$6*Assumptions!$C$154*Assumptions!$D$80</f>
        <v>191.975076469809</v>
      </c>
      <c r="AL51" s="37" t="n">
        <f aca="false">AL31*Pricing!$C$6*Assumptions!$C$154*Assumptions!$D$80</f>
        <v>202.963148793366</v>
      </c>
    </row>
    <row r="52" customFormat="false" ht="15" hidden="false" customHeight="false" outlineLevel="0" collapsed="false">
      <c r="A52" s="9" t="s">
        <v>596</v>
      </c>
      <c r="B52" s="2" t="s">
        <v>105</v>
      </c>
      <c r="C52" s="37" t="n">
        <f aca="false">C32*Pricing!$D$6*Assumptions!$C$154*Assumptions!$D$81</f>
        <v>0</v>
      </c>
      <c r="D52" s="37" t="n">
        <f aca="false">D32*Pricing!$D$6*Assumptions!$C$154*Assumptions!$D$81</f>
        <v>0</v>
      </c>
      <c r="E52" s="37" t="n">
        <f aca="false">E32*Pricing!$D$6*Assumptions!$C$154*Assumptions!$D$81</f>
        <v>0</v>
      </c>
      <c r="F52" s="37" t="n">
        <f aca="false">F32*Pricing!$D$6*Assumptions!$C$154*Assumptions!$D$81</f>
        <v>0</v>
      </c>
      <c r="G52" s="37" t="n">
        <f aca="false">G32*Pricing!$D$6*Assumptions!$C$154*Assumptions!$D$81</f>
        <v>0</v>
      </c>
      <c r="H52" s="37" t="n">
        <f aca="false">H32*Pricing!$D$6*Assumptions!$C$154*Assumptions!$D$81</f>
        <v>0</v>
      </c>
      <c r="I52" s="37" t="n">
        <f aca="false">I32*Pricing!$D$6*Assumptions!$C$154*Assumptions!$D$81</f>
        <v>0</v>
      </c>
      <c r="J52" s="37" t="n">
        <f aca="false">J32*Pricing!$D$6*Assumptions!$C$154*Assumptions!$D$81</f>
        <v>0</v>
      </c>
      <c r="K52" s="37" t="n">
        <f aca="false">K32*Pricing!$D$6*Assumptions!$C$154*Assumptions!$D$81</f>
        <v>0</v>
      </c>
      <c r="L52" s="37" t="n">
        <f aca="false">L32*Pricing!$D$6*Assumptions!$C$154*Assumptions!$D$81</f>
        <v>0</v>
      </c>
      <c r="M52" s="37" t="n">
        <f aca="false">M32*Pricing!$D$6*Assumptions!$C$154*Assumptions!$D$81</f>
        <v>0</v>
      </c>
      <c r="N52" s="37" t="n">
        <f aca="false">N32*Pricing!$D$6*Assumptions!$C$154*Assumptions!$D$81</f>
        <v>2.664</v>
      </c>
      <c r="O52" s="37" t="n">
        <f aca="false">O32*Pricing!$D$6*Assumptions!$C$154*Assumptions!$D$81</f>
        <v>5.68764</v>
      </c>
      <c r="P52" s="37" t="n">
        <f aca="false">P32*Pricing!$D$6*Assumptions!$C$154*Assumptions!$D$81</f>
        <v>9.0655254</v>
      </c>
      <c r="Q52" s="37" t="n">
        <f aca="false">Q32*Pricing!$D$6*Assumptions!$C$154*Assumptions!$D$81</f>
        <v>12.792342519</v>
      </c>
      <c r="R52" s="37" t="n">
        <f aca="false">R32*Pricing!$D$6*Assumptions!$C$154*Assumptions!$D$81</f>
        <v>16.862857381215</v>
      </c>
      <c r="S52" s="37" t="n">
        <f aca="false">S32*Pricing!$D$6*Assumptions!$C$154*Assumptions!$D$81</f>
        <v>21.2719145204968</v>
      </c>
      <c r="T52" s="37" t="n">
        <f aca="false">T32*Pricing!$D$6*Assumptions!$C$154*Assumptions!$D$81</f>
        <v>26.0144358026893</v>
      </c>
      <c r="U52" s="37" t="n">
        <f aca="false">U32*Pricing!$D$6*Assumptions!$C$154*Assumptions!$D$81</f>
        <v>31.085419265649</v>
      </c>
      <c r="V52" s="37" t="n">
        <f aca="false">V32*Pricing!$D$6*Assumptions!$C$154*Assumptions!$D$81</f>
        <v>36.4799379766642</v>
      </c>
      <c r="W52" s="37" t="n">
        <f aca="false">W32*Pricing!$D$6*Assumptions!$C$154*Assumptions!$D$81</f>
        <v>42.1931389070143</v>
      </c>
      <c r="X52" s="37" t="n">
        <f aca="false">X32*Pricing!$D$6*Assumptions!$C$154*Assumptions!$D$81</f>
        <v>48.2202418234091</v>
      </c>
      <c r="Y52" s="37" t="n">
        <f aca="false">Y32*Pricing!$D$6*Assumptions!$C$154*Assumptions!$D$81</f>
        <v>54.5565381960579</v>
      </c>
      <c r="Z52" s="37" t="n">
        <f aca="false">Z32*Pricing!$D$6*Assumptions!$C$154*Assumptions!$D$81</f>
        <v>61.1973901231171</v>
      </c>
      <c r="AA52" s="37" t="n">
        <f aca="false">AA32*Pricing!$D$6*Assumptions!$C$154*Assumptions!$D$81</f>
        <v>68.1382292712703</v>
      </c>
      <c r="AB52" s="37" t="n">
        <f aca="false">AB32*Pricing!$D$6*Assumptions!$C$154*Assumptions!$D$81</f>
        <v>75.3745558322013</v>
      </c>
      <c r="AC52" s="37" t="n">
        <f aca="false">AC32*Pricing!$D$6*Assumptions!$C$154*Assumptions!$D$81</f>
        <v>82.9019374947182</v>
      </c>
      <c r="AD52" s="37" t="n">
        <f aca="false">AD32*Pricing!$D$6*Assumptions!$C$154*Assumptions!$D$81</f>
        <v>90.7160084322975</v>
      </c>
      <c r="AE52" s="37" t="n">
        <f aca="false">AE32*Pricing!$D$6*Assumptions!$C$154*Assumptions!$D$81</f>
        <v>98.812468305813</v>
      </c>
      <c r="AF52" s="37" t="n">
        <f aca="false">AF32*Pricing!$D$6*Assumptions!$C$154*Assumptions!$D$81</f>
        <v>107.187081281226</v>
      </c>
      <c r="AG52" s="37" t="n">
        <f aca="false">AG32*Pricing!$D$6*Assumptions!$C$154*Assumptions!$D$81</f>
        <v>115.835675062007</v>
      </c>
      <c r="AH52" s="37" t="n">
        <f aca="false">AH32*Pricing!$D$6*Assumptions!$C$154*Assumptions!$D$81</f>
        <v>124.754139936077</v>
      </c>
      <c r="AI52" s="37" t="n">
        <f aca="false">AI32*Pricing!$D$6*Assumptions!$C$154*Assumptions!$D$81</f>
        <v>133.938427837036</v>
      </c>
      <c r="AJ52" s="37" t="n">
        <f aca="false">AJ32*Pricing!$D$6*Assumptions!$C$154*Assumptions!$D$81</f>
        <v>143.384551419481</v>
      </c>
      <c r="AK52" s="37" t="n">
        <f aca="false">AK32*Pricing!$D$6*Assumptions!$C$154*Assumptions!$D$81</f>
        <v>153.088583148188</v>
      </c>
      <c r="AL52" s="37" t="n">
        <f aca="false">AL32*Pricing!$D$6*Assumptions!$C$154*Assumptions!$D$81</f>
        <v>163.046654400966</v>
      </c>
    </row>
    <row r="53" customFormat="false" ht="15" hidden="false" customHeight="false" outlineLevel="0" collapsed="false">
      <c r="A53" s="9" t="s">
        <v>597</v>
      </c>
      <c r="B53" s="2" t="s">
        <v>105</v>
      </c>
      <c r="C53" s="37" t="n">
        <f aca="false">C33*Pricing!$E$6*Assumptions!$C$154*Assumptions!$D$82</f>
        <v>0</v>
      </c>
      <c r="D53" s="37" t="n">
        <f aca="false">D33*Pricing!$E$6*Assumptions!$C$154*Assumptions!$D$82</f>
        <v>0</v>
      </c>
      <c r="E53" s="37" t="n">
        <f aca="false">E33*Pricing!$E$6*Assumptions!$C$154*Assumptions!$D$82</f>
        <v>0</v>
      </c>
      <c r="F53" s="37" t="n">
        <f aca="false">F33*Pricing!$E$6*Assumptions!$C$154*Assumptions!$D$82</f>
        <v>0</v>
      </c>
      <c r="G53" s="37" t="n">
        <f aca="false">G33*Pricing!$E$6*Assumptions!$C$154*Assumptions!$D$82</f>
        <v>0</v>
      </c>
      <c r="H53" s="37" t="n">
        <f aca="false">H33*Pricing!$E$6*Assumptions!$C$154*Assumptions!$D$82</f>
        <v>0</v>
      </c>
      <c r="I53" s="37" t="n">
        <f aca="false">I33*Pricing!$E$6*Assumptions!$C$154*Assumptions!$D$82</f>
        <v>0</v>
      </c>
      <c r="J53" s="37" t="n">
        <f aca="false">J33*Pricing!$E$6*Assumptions!$C$154*Assumptions!$D$82</f>
        <v>0</v>
      </c>
      <c r="K53" s="37" t="n">
        <f aca="false">K33*Pricing!$E$6*Assumptions!$C$154*Assumptions!$D$82</f>
        <v>0</v>
      </c>
      <c r="L53" s="37" t="n">
        <f aca="false">L33*Pricing!$E$6*Assumptions!$C$154*Assumptions!$D$82</f>
        <v>0</v>
      </c>
      <c r="M53" s="37" t="n">
        <f aca="false">M33*Pricing!$E$6*Assumptions!$C$154*Assumptions!$D$82</f>
        <v>0</v>
      </c>
      <c r="N53" s="37" t="n">
        <f aca="false">N33*Pricing!$E$6*Assumptions!$C$154*Assumptions!$D$82</f>
        <v>0</v>
      </c>
      <c r="O53" s="37" t="n">
        <f aca="false">O33*Pricing!$E$6*Assumptions!$C$154*Assumptions!$D$82</f>
        <v>0</v>
      </c>
      <c r="P53" s="37" t="n">
        <f aca="false">P33*Pricing!$E$6*Assumptions!$C$154*Assumptions!$D$82</f>
        <v>0</v>
      </c>
      <c r="Q53" s="37" t="n">
        <f aca="false">Q33*Pricing!$E$6*Assumptions!$C$154*Assumptions!$D$82</f>
        <v>0</v>
      </c>
      <c r="R53" s="37" t="n">
        <f aca="false">R33*Pricing!$E$6*Assumptions!$C$154*Assumptions!$D$82</f>
        <v>0</v>
      </c>
      <c r="S53" s="37" t="n">
        <f aca="false">S33*Pricing!$E$6*Assumptions!$C$154*Assumptions!$D$82</f>
        <v>0</v>
      </c>
      <c r="T53" s="37" t="n">
        <f aca="false">T33*Pricing!$E$6*Assumptions!$C$154*Assumptions!$D$82</f>
        <v>4.685</v>
      </c>
      <c r="U53" s="37" t="n">
        <f aca="false">U33*Pricing!$E$6*Assumptions!$C$154*Assumptions!$D$82</f>
        <v>9.69795</v>
      </c>
      <c r="V53" s="37" t="n">
        <f aca="false">V33*Pricing!$E$6*Assumptions!$C$154*Assumptions!$D$82</f>
        <v>15.0355705</v>
      </c>
      <c r="W53" s="37" t="n">
        <f aca="false">W33*Pricing!$E$6*Assumptions!$C$154*Assumptions!$D$82</f>
        <v>20.694614795</v>
      </c>
      <c r="X53" s="37" t="n">
        <f aca="false">X33*Pricing!$E$6*Assumptions!$C$154*Assumptions!$D$82</f>
        <v>26.67186864705</v>
      </c>
      <c r="Y53" s="37" t="n">
        <f aca="false">Y33*Pricing!$E$6*Assumptions!$C$154*Assumptions!$D$82</f>
        <v>32.9641499605795</v>
      </c>
      <c r="Z53" s="37" t="n">
        <f aca="false">Z33*Pricing!$E$6*Assumptions!$C$154*Assumptions!$D$82</f>
        <v>39.5683084609737</v>
      </c>
      <c r="AA53" s="37" t="n">
        <f aca="false">AA33*Pricing!$E$6*Assumptions!$C$154*Assumptions!$D$82</f>
        <v>46.481225376364</v>
      </c>
      <c r="AB53" s="37" t="n">
        <f aca="false">AB33*Pricing!$E$6*Assumptions!$C$154*Assumptions!$D$82</f>
        <v>53.6998131226003</v>
      </c>
      <c r="AC53" s="37" t="n">
        <f aca="false">AC33*Pricing!$E$6*Assumptions!$C$154*Assumptions!$D$82</f>
        <v>61.2210149913743</v>
      </c>
      <c r="AD53" s="37" t="n">
        <f aca="false">AD33*Pricing!$E$6*Assumptions!$C$154*Assumptions!$D$82</f>
        <v>69.0418048414606</v>
      </c>
      <c r="AE53" s="37" t="n">
        <f aca="false">AE33*Pricing!$E$6*Assumptions!$C$154*Assumptions!$D$82</f>
        <v>77.159186793046</v>
      </c>
      <c r="AF53" s="37" t="n">
        <f aca="false">AF33*Pricing!$E$6*Assumptions!$C$154*Assumptions!$D$82</f>
        <v>85.5701949251155</v>
      </c>
      <c r="AG53" s="37" t="n">
        <f aca="false">AG33*Pricing!$E$6*Assumptions!$C$154*Assumptions!$D$82</f>
        <v>94.2718929758644</v>
      </c>
      <c r="AH53" s="37" t="n">
        <f aca="false">AH33*Pricing!$E$6*Assumptions!$C$154*Assumptions!$D$82</f>
        <v>103.261374046106</v>
      </c>
      <c r="AI53" s="37" t="n">
        <f aca="false">AI33*Pricing!$E$6*Assumptions!$C$154*Assumptions!$D$82</f>
        <v>112.535760305645</v>
      </c>
      <c r="AJ53" s="37" t="n">
        <f aca="false">AJ33*Pricing!$E$6*Assumptions!$C$154*Assumptions!$D$82</f>
        <v>122.092202702588</v>
      </c>
      <c r="AK53" s="37" t="n">
        <f aca="false">AK33*Pricing!$E$6*Assumptions!$C$154*Assumptions!$D$82</f>
        <v>131.927880675562</v>
      </c>
      <c r="AL53" s="37" t="n">
        <f aca="false">AL33*Pricing!$E$6*Assumptions!$C$154*Assumptions!$D$82</f>
        <v>142.040001868807</v>
      </c>
    </row>
    <row r="54" customFormat="false" ht="15" hidden="false" customHeight="false" outlineLevel="0" collapsed="false">
      <c r="A54" s="9" t="s">
        <v>598</v>
      </c>
      <c r="B54" s="2" t="s">
        <v>105</v>
      </c>
      <c r="C54" s="37" t="n">
        <f aca="false">C22*Assumptions!$D$83*Assumptions!$C$155</f>
        <v>0</v>
      </c>
      <c r="D54" s="37" t="n">
        <f aca="false">D22*Assumptions!$D$83*Assumptions!$C$155</f>
        <v>0</v>
      </c>
      <c r="E54" s="37" t="n">
        <f aca="false">E22*Assumptions!$D$83*Assumptions!$C$155</f>
        <v>0</v>
      </c>
      <c r="F54" s="37" t="n">
        <f aca="false">F22*Assumptions!$D$83*Assumptions!$C$155</f>
        <v>0</v>
      </c>
      <c r="G54" s="37" t="n">
        <f aca="false">G22*Assumptions!$D$83*Assumptions!$C$155</f>
        <v>0</v>
      </c>
      <c r="H54" s="37" t="n">
        <f aca="false">H22*Assumptions!$D$83*Assumptions!$C$155</f>
        <v>0</v>
      </c>
      <c r="I54" s="37" t="n">
        <f aca="false">I22*Assumptions!$D$83*Assumptions!$C$155</f>
        <v>0</v>
      </c>
      <c r="J54" s="37" t="n">
        <f aca="false">J22*Assumptions!$D$83*Assumptions!$C$155</f>
        <v>0</v>
      </c>
      <c r="K54" s="37" t="n">
        <f aca="false">K22*Assumptions!$D$83*Assumptions!$C$155</f>
        <v>0</v>
      </c>
      <c r="L54" s="37" t="n">
        <f aca="false">L22*Assumptions!$D$83*Assumptions!$C$155</f>
        <v>0</v>
      </c>
      <c r="M54" s="37" t="n">
        <f aca="false">M22*Assumptions!$D$83*Assumptions!$C$155</f>
        <v>0</v>
      </c>
      <c r="N54" s="37" t="n">
        <f aca="false">N22*Assumptions!$D$83*Assumptions!$C$155</f>
        <v>0</v>
      </c>
      <c r="O54" s="37" t="n">
        <f aca="false">O22*Assumptions!$D$83*Assumptions!$C$155</f>
        <v>0</v>
      </c>
      <c r="P54" s="37" t="n">
        <f aca="false">P22*Assumptions!$D$83*Assumptions!$C$155</f>
        <v>0</v>
      </c>
      <c r="Q54" s="37" t="n">
        <f aca="false">Q22*Assumptions!$D$83*Assumptions!$C$155</f>
        <v>0</v>
      </c>
      <c r="R54" s="37" t="n">
        <f aca="false">R22*Assumptions!$D$83*Assumptions!$C$155</f>
        <v>0</v>
      </c>
      <c r="S54" s="37" t="n">
        <f aca="false">S22*Assumptions!$D$83*Assumptions!$C$155</f>
        <v>0</v>
      </c>
      <c r="T54" s="37" t="n">
        <f aca="false">T22*Assumptions!$D$83*Assumptions!$C$155</f>
        <v>0</v>
      </c>
      <c r="U54" s="37" t="n">
        <f aca="false">U22*Assumptions!$D$83*Assumptions!$C$155</f>
        <v>0</v>
      </c>
      <c r="V54" s="37" t="n">
        <f aca="false">V22*Assumptions!$D$83*Assumptions!$C$155</f>
        <v>0</v>
      </c>
      <c r="W54" s="37" t="n">
        <f aca="false">W22*Assumptions!$D$83*Assumptions!$C$155</f>
        <v>0</v>
      </c>
      <c r="X54" s="37" t="n">
        <f aca="false">X22*Assumptions!$D$83*Assumptions!$C$155</f>
        <v>0</v>
      </c>
      <c r="Y54" s="37" t="n">
        <f aca="false">Y22*Assumptions!$D$83*Assumptions!$C$155</f>
        <v>0</v>
      </c>
      <c r="Z54" s="37" t="n">
        <f aca="false">Z22*Assumptions!$D$83*Assumptions!$C$155</f>
        <v>0</v>
      </c>
      <c r="AA54" s="37" t="n">
        <f aca="false">AA22*Assumptions!$D$83*Assumptions!$C$155</f>
        <v>0</v>
      </c>
      <c r="AB54" s="37" t="n">
        <f aca="false">AB22*Assumptions!$D$83*Assumptions!$C$155</f>
        <v>0</v>
      </c>
      <c r="AC54" s="37" t="n">
        <f aca="false">AC22*Assumptions!$D$83*Assumptions!$C$155</f>
        <v>0</v>
      </c>
      <c r="AD54" s="37" t="n">
        <f aca="false">AD22*Assumptions!$D$83*Assumptions!$C$155</f>
        <v>0</v>
      </c>
      <c r="AE54" s="37" t="n">
        <f aca="false">AE22*Assumptions!$D$83*Assumptions!$C$155</f>
        <v>0</v>
      </c>
      <c r="AF54" s="37" t="n">
        <f aca="false">AF22*Assumptions!$D$83*Assumptions!$C$155</f>
        <v>0</v>
      </c>
      <c r="AG54" s="37" t="n">
        <f aca="false">AG22*Assumptions!$D$83*Assumptions!$C$155</f>
        <v>0</v>
      </c>
      <c r="AH54" s="37" t="n">
        <f aca="false">AH22*Assumptions!$D$83*Assumptions!$C$155</f>
        <v>0</v>
      </c>
      <c r="AI54" s="37" t="n">
        <f aca="false">AI22*Assumptions!$D$83*Assumptions!$C$155</f>
        <v>0</v>
      </c>
      <c r="AJ54" s="37" t="n">
        <f aca="false">AJ22*Assumptions!$D$83*Assumptions!$C$155</f>
        <v>0</v>
      </c>
      <c r="AK54" s="37" t="n">
        <f aca="false">AK22*Assumptions!$D$83*Assumptions!$C$155</f>
        <v>0</v>
      </c>
      <c r="AL54" s="37" t="n">
        <f aca="false">AL22*Assumptions!$D$83*Assumptions!$C$155</f>
        <v>0</v>
      </c>
    </row>
    <row r="55" customFormat="false" ht="15" hidden="false" customHeight="false" outlineLevel="0" collapsed="false">
      <c r="A55" s="9" t="s">
        <v>599</v>
      </c>
      <c r="B55" s="2" t="s">
        <v>105</v>
      </c>
      <c r="C55" s="37" t="n">
        <f aca="false">C23*Assumptions!$D$84*Assumptions!$C$155</f>
        <v>0</v>
      </c>
      <c r="D55" s="37" t="n">
        <f aca="false">D23*Assumptions!$D$84*Assumptions!$C$155</f>
        <v>0</v>
      </c>
      <c r="E55" s="37" t="n">
        <f aca="false">E23*Assumptions!$D$84*Assumptions!$C$155</f>
        <v>0</v>
      </c>
      <c r="F55" s="37" t="n">
        <f aca="false">F23*Assumptions!$D$84*Assumptions!$C$155</f>
        <v>0</v>
      </c>
      <c r="G55" s="37" t="n">
        <f aca="false">G23*Assumptions!$D$84*Assumptions!$C$155</f>
        <v>0</v>
      </c>
      <c r="H55" s="37" t="n">
        <f aca="false">H23*Assumptions!$D$84*Assumptions!$C$155</f>
        <v>0</v>
      </c>
      <c r="I55" s="37" t="n">
        <f aca="false">I23*Assumptions!$D$84*Assumptions!$C$155</f>
        <v>0</v>
      </c>
      <c r="J55" s="37" t="n">
        <f aca="false">J23*Assumptions!$D$84*Assumptions!$C$155</f>
        <v>0</v>
      </c>
      <c r="K55" s="37" t="n">
        <f aca="false">K23*Assumptions!$D$84*Assumptions!$C$155</f>
        <v>0</v>
      </c>
      <c r="L55" s="37" t="n">
        <f aca="false">L23*Assumptions!$D$84*Assumptions!$C$155</f>
        <v>50</v>
      </c>
      <c r="M55" s="37" t="n">
        <f aca="false">M23*Assumptions!$D$84*Assumptions!$C$155</f>
        <v>60</v>
      </c>
      <c r="N55" s="37" t="n">
        <f aca="false">N23*Assumptions!$D$84*Assumptions!$C$155</f>
        <v>70</v>
      </c>
      <c r="O55" s="37" t="n">
        <f aca="false">O23*Assumptions!$D$84*Assumptions!$C$155</f>
        <v>80</v>
      </c>
      <c r="P55" s="37" t="n">
        <f aca="false">P23*Assumptions!$D$84*Assumptions!$C$155</f>
        <v>90</v>
      </c>
      <c r="Q55" s="37" t="n">
        <f aca="false">Q23*Assumptions!$D$84*Assumptions!$C$155</f>
        <v>100</v>
      </c>
      <c r="R55" s="37" t="n">
        <f aca="false">R23*Assumptions!$D$84*Assumptions!$C$155</f>
        <v>110</v>
      </c>
      <c r="S55" s="37" t="n">
        <f aca="false">S23*Assumptions!$D$84*Assumptions!$C$155</f>
        <v>120</v>
      </c>
      <c r="T55" s="37" t="n">
        <f aca="false">T23*Assumptions!$D$84*Assumptions!$C$155</f>
        <v>130</v>
      </c>
      <c r="U55" s="37" t="n">
        <f aca="false">U23*Assumptions!$D$84*Assumptions!$C$155</f>
        <v>140</v>
      </c>
      <c r="V55" s="37" t="n">
        <f aca="false">V23*Assumptions!$D$84*Assumptions!$C$155</f>
        <v>150</v>
      </c>
      <c r="W55" s="37" t="n">
        <f aca="false">W23*Assumptions!$D$84*Assumptions!$C$155</f>
        <v>160</v>
      </c>
      <c r="X55" s="37" t="n">
        <f aca="false">X23*Assumptions!$D$84*Assumptions!$C$155</f>
        <v>170</v>
      </c>
      <c r="Y55" s="37" t="n">
        <f aca="false">Y23*Assumptions!$D$84*Assumptions!$C$155</f>
        <v>180</v>
      </c>
      <c r="Z55" s="37" t="n">
        <f aca="false">Z23*Assumptions!$D$84*Assumptions!$C$155</f>
        <v>190</v>
      </c>
      <c r="AA55" s="37" t="n">
        <f aca="false">AA23*Assumptions!$D$84*Assumptions!$C$155</f>
        <v>200</v>
      </c>
      <c r="AB55" s="37" t="n">
        <f aca="false">AB23*Assumptions!$D$84*Assumptions!$C$155</f>
        <v>210</v>
      </c>
      <c r="AC55" s="37" t="n">
        <f aca="false">AC23*Assumptions!$D$84*Assumptions!$C$155</f>
        <v>220</v>
      </c>
      <c r="AD55" s="37" t="n">
        <f aca="false">AD23*Assumptions!$D$84*Assumptions!$C$155</f>
        <v>230</v>
      </c>
      <c r="AE55" s="37" t="n">
        <f aca="false">AE23*Assumptions!$D$84*Assumptions!$C$155</f>
        <v>240</v>
      </c>
      <c r="AF55" s="37" t="n">
        <f aca="false">AF23*Assumptions!$D$84*Assumptions!$C$155</f>
        <v>250</v>
      </c>
      <c r="AG55" s="37" t="n">
        <f aca="false">AG23*Assumptions!$D$84*Assumptions!$C$155</f>
        <v>260</v>
      </c>
      <c r="AH55" s="37" t="n">
        <f aca="false">AH23*Assumptions!$D$84*Assumptions!$C$155</f>
        <v>270</v>
      </c>
      <c r="AI55" s="37" t="n">
        <f aca="false">AI23*Assumptions!$D$84*Assumptions!$C$155</f>
        <v>280</v>
      </c>
      <c r="AJ55" s="37" t="n">
        <f aca="false">AJ23*Assumptions!$D$84*Assumptions!$C$155</f>
        <v>290</v>
      </c>
      <c r="AK55" s="37" t="n">
        <f aca="false">AK23*Assumptions!$D$84*Assumptions!$C$155</f>
        <v>300</v>
      </c>
      <c r="AL55" s="37" t="n">
        <f aca="false">AL23*Assumptions!$D$84*Assumptions!$C$155</f>
        <v>310</v>
      </c>
    </row>
    <row r="56" customFormat="false" ht="15" hidden="false" customHeight="false" outlineLevel="0" collapsed="false">
      <c r="A56" s="9" t="s">
        <v>600</v>
      </c>
      <c r="B56" s="2" t="s">
        <v>105</v>
      </c>
      <c r="C56" s="37" t="n">
        <f aca="false">C24*Assumptions!$D$85*Assumptions!$C$155</f>
        <v>0</v>
      </c>
      <c r="D56" s="37" t="n">
        <f aca="false">D24*Assumptions!$D$85*Assumptions!$C$155</f>
        <v>0</v>
      </c>
      <c r="E56" s="37" t="n">
        <f aca="false">E24*Assumptions!$D$85*Assumptions!$C$155</f>
        <v>0</v>
      </c>
      <c r="F56" s="37" t="n">
        <f aca="false">F24*Assumptions!$D$85*Assumptions!$C$155</f>
        <v>0</v>
      </c>
      <c r="G56" s="37" t="n">
        <f aca="false">G24*Assumptions!$D$85*Assumptions!$C$155</f>
        <v>0</v>
      </c>
      <c r="H56" s="37" t="n">
        <f aca="false">H24*Assumptions!$D$85*Assumptions!$C$155</f>
        <v>0</v>
      </c>
      <c r="I56" s="37" t="n">
        <f aca="false">I24*Assumptions!$D$85*Assumptions!$C$155</f>
        <v>0</v>
      </c>
      <c r="J56" s="37" t="n">
        <f aca="false">J24*Assumptions!$D$85*Assumptions!$C$155</f>
        <v>0</v>
      </c>
      <c r="K56" s="37" t="n">
        <f aca="false">K24*Assumptions!$D$85*Assumptions!$C$155</f>
        <v>0</v>
      </c>
      <c r="L56" s="37" t="n">
        <f aca="false">L24*Assumptions!$D$85*Assumptions!$C$155</f>
        <v>0</v>
      </c>
      <c r="M56" s="37" t="n">
        <f aca="false">M24*Assumptions!$D$85*Assumptions!$C$155</f>
        <v>0</v>
      </c>
      <c r="N56" s="37" t="n">
        <f aca="false">N24*Assumptions!$D$85*Assumptions!$C$155</f>
        <v>75</v>
      </c>
      <c r="O56" s="37" t="n">
        <f aca="false">O24*Assumptions!$D$85*Assumptions!$C$155</f>
        <v>86.25</v>
      </c>
      <c r="P56" s="37" t="n">
        <f aca="false">P24*Assumptions!$D$85*Assumptions!$C$155</f>
        <v>97.5</v>
      </c>
      <c r="Q56" s="37" t="n">
        <f aca="false">Q24*Assumptions!$D$85*Assumptions!$C$155</f>
        <v>108.75</v>
      </c>
      <c r="R56" s="37" t="n">
        <f aca="false">R24*Assumptions!$D$85*Assumptions!$C$155</f>
        <v>120</v>
      </c>
      <c r="S56" s="37" t="n">
        <f aca="false">S24*Assumptions!$D$85*Assumptions!$C$155</f>
        <v>131.25</v>
      </c>
      <c r="T56" s="37" t="n">
        <f aca="false">T24*Assumptions!$D$85*Assumptions!$C$155</f>
        <v>142.5</v>
      </c>
      <c r="U56" s="37" t="n">
        <f aca="false">U24*Assumptions!$D$85*Assumptions!$C$155</f>
        <v>153.75</v>
      </c>
      <c r="V56" s="37" t="n">
        <f aca="false">V24*Assumptions!$D$85*Assumptions!$C$155</f>
        <v>165</v>
      </c>
      <c r="W56" s="37" t="n">
        <f aca="false">W24*Assumptions!$D$85*Assumptions!$C$155</f>
        <v>176.25</v>
      </c>
      <c r="X56" s="37" t="n">
        <f aca="false">X24*Assumptions!$D$85*Assumptions!$C$155</f>
        <v>187.5</v>
      </c>
      <c r="Y56" s="37" t="n">
        <f aca="false">Y24*Assumptions!$D$85*Assumptions!$C$155</f>
        <v>198.75</v>
      </c>
      <c r="Z56" s="37" t="n">
        <f aca="false">Z24*Assumptions!$D$85*Assumptions!$C$155</f>
        <v>210</v>
      </c>
      <c r="AA56" s="37" t="n">
        <f aca="false">AA24*Assumptions!$D$85*Assumptions!$C$155</f>
        <v>221.25</v>
      </c>
      <c r="AB56" s="37" t="n">
        <f aca="false">AB24*Assumptions!$D$85*Assumptions!$C$155</f>
        <v>232.5</v>
      </c>
      <c r="AC56" s="37" t="n">
        <f aca="false">AC24*Assumptions!$D$85*Assumptions!$C$155</f>
        <v>243.75</v>
      </c>
      <c r="AD56" s="37" t="n">
        <f aca="false">AD24*Assumptions!$D$85*Assumptions!$C$155</f>
        <v>255</v>
      </c>
      <c r="AE56" s="37" t="n">
        <f aca="false">AE24*Assumptions!$D$85*Assumptions!$C$155</f>
        <v>266.25</v>
      </c>
      <c r="AF56" s="37" t="n">
        <f aca="false">AF24*Assumptions!$D$85*Assumptions!$C$155</f>
        <v>277.5</v>
      </c>
      <c r="AG56" s="37" t="n">
        <f aca="false">AG24*Assumptions!$D$85*Assumptions!$C$155</f>
        <v>288.75</v>
      </c>
      <c r="AH56" s="37" t="n">
        <f aca="false">AH24*Assumptions!$D$85*Assumptions!$C$155</f>
        <v>300</v>
      </c>
      <c r="AI56" s="37" t="n">
        <f aca="false">AI24*Assumptions!$D$85*Assumptions!$C$155</f>
        <v>311.25</v>
      </c>
      <c r="AJ56" s="37" t="n">
        <f aca="false">AJ24*Assumptions!$D$85*Assumptions!$C$155</f>
        <v>322.5</v>
      </c>
      <c r="AK56" s="37" t="n">
        <f aca="false">AK24*Assumptions!$D$85*Assumptions!$C$155</f>
        <v>333.75</v>
      </c>
      <c r="AL56" s="37" t="n">
        <f aca="false">AL24*Assumptions!$D$85*Assumptions!$C$155</f>
        <v>345</v>
      </c>
    </row>
    <row r="57" customFormat="false" ht="15" hidden="false" customHeight="false" outlineLevel="0" collapsed="false">
      <c r="A57" s="9" t="s">
        <v>601</v>
      </c>
      <c r="B57" s="2" t="s">
        <v>105</v>
      </c>
      <c r="C57" s="37" t="n">
        <f aca="false">C25*Assumptions!$D$86*Assumptions!$C$155</f>
        <v>0</v>
      </c>
      <c r="D57" s="37" t="n">
        <f aca="false">D25*Assumptions!$D$86*Assumptions!$C$155</f>
        <v>0</v>
      </c>
      <c r="E57" s="37" t="n">
        <f aca="false">E25*Assumptions!$D$86*Assumptions!$C$155</f>
        <v>0</v>
      </c>
      <c r="F57" s="37" t="n">
        <f aca="false">F25*Assumptions!$D$86*Assumptions!$C$155</f>
        <v>0</v>
      </c>
      <c r="G57" s="37" t="n">
        <f aca="false">G25*Assumptions!$D$86*Assumptions!$C$155</f>
        <v>0</v>
      </c>
      <c r="H57" s="37" t="n">
        <f aca="false">H25*Assumptions!$D$86*Assumptions!$C$155</f>
        <v>0</v>
      </c>
      <c r="I57" s="37" t="n">
        <f aca="false">I25*Assumptions!$D$86*Assumptions!$C$155</f>
        <v>0</v>
      </c>
      <c r="J57" s="37" t="n">
        <f aca="false">J25*Assumptions!$D$86*Assumptions!$C$155</f>
        <v>0</v>
      </c>
      <c r="K57" s="37" t="n">
        <f aca="false">K25*Assumptions!$D$86*Assumptions!$C$155</f>
        <v>0</v>
      </c>
      <c r="L57" s="37" t="n">
        <f aca="false">L25*Assumptions!$D$86*Assumptions!$C$155</f>
        <v>0</v>
      </c>
      <c r="M57" s="37" t="n">
        <f aca="false">M25*Assumptions!$D$86*Assumptions!$C$155</f>
        <v>0</v>
      </c>
      <c r="N57" s="37" t="n">
        <f aca="false">N25*Assumptions!$D$86*Assumptions!$C$155</f>
        <v>0</v>
      </c>
      <c r="O57" s="37" t="n">
        <f aca="false">O25*Assumptions!$D$86*Assumptions!$C$155</f>
        <v>0</v>
      </c>
      <c r="P57" s="37" t="n">
        <f aca="false">P25*Assumptions!$D$86*Assumptions!$C$155</f>
        <v>0</v>
      </c>
      <c r="Q57" s="37" t="n">
        <f aca="false">Q25*Assumptions!$D$86*Assumptions!$C$155</f>
        <v>0</v>
      </c>
      <c r="R57" s="37" t="n">
        <f aca="false">R25*Assumptions!$D$86*Assumptions!$C$155</f>
        <v>0</v>
      </c>
      <c r="S57" s="37" t="n">
        <f aca="false">S25*Assumptions!$D$86*Assumptions!$C$155</f>
        <v>0</v>
      </c>
      <c r="T57" s="37" t="n">
        <f aca="false">T25*Assumptions!$D$86*Assumptions!$C$155</f>
        <v>187.5</v>
      </c>
      <c r="U57" s="37" t="n">
        <f aca="false">U25*Assumptions!$D$86*Assumptions!$C$155</f>
        <v>202.5</v>
      </c>
      <c r="V57" s="37" t="n">
        <f aca="false">V25*Assumptions!$D$86*Assumptions!$C$155</f>
        <v>217.5</v>
      </c>
      <c r="W57" s="37" t="n">
        <f aca="false">W25*Assumptions!$D$86*Assumptions!$C$155</f>
        <v>232.5</v>
      </c>
      <c r="X57" s="37" t="n">
        <f aca="false">X25*Assumptions!$D$86*Assumptions!$C$155</f>
        <v>247.5</v>
      </c>
      <c r="Y57" s="37" t="n">
        <f aca="false">Y25*Assumptions!$D$86*Assumptions!$C$155</f>
        <v>262.5</v>
      </c>
      <c r="Z57" s="37" t="n">
        <f aca="false">Z25*Assumptions!$D$86*Assumptions!$C$155</f>
        <v>277.5</v>
      </c>
      <c r="AA57" s="37" t="n">
        <f aca="false">AA25*Assumptions!$D$86*Assumptions!$C$155</f>
        <v>292.5</v>
      </c>
      <c r="AB57" s="37" t="n">
        <f aca="false">AB25*Assumptions!$D$86*Assumptions!$C$155</f>
        <v>307.5</v>
      </c>
      <c r="AC57" s="37" t="n">
        <f aca="false">AC25*Assumptions!$D$86*Assumptions!$C$155</f>
        <v>322.5</v>
      </c>
      <c r="AD57" s="37" t="n">
        <f aca="false">AD25*Assumptions!$D$86*Assumptions!$C$155</f>
        <v>337.5</v>
      </c>
      <c r="AE57" s="37" t="n">
        <f aca="false">AE25*Assumptions!$D$86*Assumptions!$C$155</f>
        <v>352.5</v>
      </c>
      <c r="AF57" s="37" t="n">
        <f aca="false">AF25*Assumptions!$D$86*Assumptions!$C$155</f>
        <v>367.5</v>
      </c>
      <c r="AG57" s="37" t="n">
        <f aca="false">AG25*Assumptions!$D$86*Assumptions!$C$155</f>
        <v>382.5</v>
      </c>
      <c r="AH57" s="37" t="n">
        <f aca="false">AH25*Assumptions!$D$86*Assumptions!$C$155</f>
        <v>397.5</v>
      </c>
      <c r="AI57" s="37" t="n">
        <f aca="false">AI25*Assumptions!$D$86*Assumptions!$C$155</f>
        <v>412.5</v>
      </c>
      <c r="AJ57" s="37" t="n">
        <f aca="false">AJ25*Assumptions!$D$86*Assumptions!$C$155</f>
        <v>427.5</v>
      </c>
      <c r="AK57" s="37" t="n">
        <f aca="false">AK25*Assumptions!$D$86*Assumptions!$C$155</f>
        <v>442.5</v>
      </c>
      <c r="AL57" s="37" t="n">
        <f aca="false">AL25*Assumptions!$D$86*Assumptions!$C$155</f>
        <v>457.5</v>
      </c>
    </row>
    <row r="58" customFormat="false" ht="15" hidden="false" customHeight="false" outlineLevel="0" collapsed="false">
      <c r="A58" s="9" t="s">
        <v>602</v>
      </c>
      <c r="B58" s="2" t="s">
        <v>603</v>
      </c>
      <c r="C58" s="41" t="n">
        <f aca="false">C32*Assumptions!$C$156/12</f>
        <v>0</v>
      </c>
      <c r="D58" s="41" t="n">
        <f aca="false">D32*Assumptions!$C$156/12</f>
        <v>0</v>
      </c>
      <c r="E58" s="41" t="n">
        <f aca="false">E32*Assumptions!$C$156/12</f>
        <v>0</v>
      </c>
      <c r="F58" s="41" t="n">
        <f aca="false">F32*Assumptions!$C$156/12</f>
        <v>0</v>
      </c>
      <c r="G58" s="41" t="n">
        <f aca="false">G32*Assumptions!$C$156/12</f>
        <v>0</v>
      </c>
      <c r="H58" s="41" t="n">
        <f aca="false">H32*Assumptions!$C$156/12</f>
        <v>0</v>
      </c>
      <c r="I58" s="41" t="n">
        <f aca="false">I32*Assumptions!$C$156/12</f>
        <v>0</v>
      </c>
      <c r="J58" s="41" t="n">
        <f aca="false">J32*Assumptions!$C$156/12</f>
        <v>0</v>
      </c>
      <c r="K58" s="41" t="n">
        <f aca="false">K32*Assumptions!$C$156/12</f>
        <v>0</v>
      </c>
      <c r="L58" s="41" t="n">
        <f aca="false">L32*Assumptions!$C$156/12</f>
        <v>0</v>
      </c>
      <c r="M58" s="41" t="n">
        <f aca="false">M32*Assumptions!$C$156/12</f>
        <v>0</v>
      </c>
      <c r="N58" s="41" t="n">
        <f aca="false">N32*Assumptions!$C$156/12</f>
        <v>0.00416666666666667</v>
      </c>
      <c r="O58" s="41" t="n">
        <f aca="false">O32*Assumptions!$C$156/12</f>
        <v>0.00889583333333333</v>
      </c>
      <c r="P58" s="41" t="n">
        <f aca="false">P32*Assumptions!$C$156/12</f>
        <v>0.0141790625</v>
      </c>
      <c r="Q58" s="41" t="n">
        <f aca="false">Q32*Assumptions!$C$156/12</f>
        <v>0.0200080432291667</v>
      </c>
      <c r="R58" s="41" t="n">
        <f aca="false">R32*Assumptions!$C$156/12</f>
        <v>0.0263745892473958</v>
      </c>
      <c r="S58" s="41" t="n">
        <f aca="false">S32*Assumptions!$C$156/12</f>
        <v>0.0332706370753516</v>
      </c>
      <c r="T58" s="41" t="n">
        <f aca="false">T32*Assumptions!$C$156/12</f>
        <v>0.040688244185888</v>
      </c>
      <c r="U58" s="41" t="n">
        <f aca="false">U32*Assumptions!$C$156/12</f>
        <v>0.0486195871897663</v>
      </c>
      <c r="V58" s="41" t="n">
        <f aca="false">V32*Assumptions!$C$156/12</f>
        <v>0.0570569600485865</v>
      </c>
      <c r="W58" s="41" t="n">
        <f aca="false">W32*Assumptions!$C$156/12</f>
        <v>0.0659927723145243</v>
      </c>
      <c r="X58" s="41" t="n">
        <f aca="false">X32*Assumptions!$C$156/12</f>
        <v>0.0754195473964731</v>
      </c>
      <c r="Y58" s="41" t="n">
        <f aca="false">Y32*Assumptions!$C$156/12</f>
        <v>0.0853299208521927</v>
      </c>
      <c r="Z58" s="41" t="n">
        <f aca="false">Z32*Assumptions!$C$156/12</f>
        <v>0.0957166387060765</v>
      </c>
      <c r="AA58" s="41" t="n">
        <f aca="false">AA32*Assumptions!$C$156/12</f>
        <v>0.106572555792152</v>
      </c>
      <c r="AB58" s="41" t="n">
        <f aca="false">AB32*Assumptions!$C$156/12</f>
        <v>0.117890634121936</v>
      </c>
      <c r="AC58" s="41" t="n">
        <f aca="false">AC32*Assumptions!$C$156/12</f>
        <v>0.129663941276774</v>
      </c>
      <c r="AD58" s="41" t="n">
        <f aca="false">AD32*Assumptions!$C$156/12</f>
        <v>0.141885648824289</v>
      </c>
      <c r="AE58" s="41" t="n">
        <f aca="false">AE32*Assumptions!$C$156/12</f>
        <v>0.154549030758591</v>
      </c>
      <c r="AF58" s="41" t="n">
        <f aca="false">AF32*Assumptions!$C$156/12</f>
        <v>0.167647461963879</v>
      </c>
      <c r="AG58" s="41" t="n">
        <f aca="false">AG32*Assumptions!$C$156/12</f>
        <v>0.181174416701088</v>
      </c>
      <c r="AH58" s="41" t="n">
        <f aca="false">AH32*Assumptions!$C$156/12</f>
        <v>0.195123467117238</v>
      </c>
      <c r="AI58" s="41" t="n">
        <f aca="false">AI32*Assumptions!$C$156/12</f>
        <v>0.209488281777146</v>
      </c>
      <c r="AJ58" s="41" t="n">
        <f aca="false">AJ32*Assumptions!$C$156/12</f>
        <v>0.224262624217156</v>
      </c>
      <c r="AK58" s="41" t="n">
        <f aca="false">AK32*Assumptions!$C$156/12</f>
        <v>0.239440351520565</v>
      </c>
      <c r="AL58" s="41" t="n">
        <f aca="false">AL32*Assumptions!$C$156/12</f>
        <v>0.255015412914423</v>
      </c>
    </row>
    <row r="59" customFormat="false" ht="15" hidden="false" customHeight="false" outlineLevel="0" collapsed="false">
      <c r="A59" s="9" t="s">
        <v>604</v>
      </c>
      <c r="B59" s="2" t="s">
        <v>105</v>
      </c>
      <c r="C59" s="37" t="n">
        <f aca="false">C58*Assumptions!$D$48*Assumptions!$D$87</f>
        <v>0</v>
      </c>
      <c r="D59" s="37" t="n">
        <f aca="false">D58*Assumptions!$D$48*Assumptions!$D$87</f>
        <v>0</v>
      </c>
      <c r="E59" s="37" t="n">
        <f aca="false">E58*Assumptions!$D$48*Assumptions!$D$87</f>
        <v>0</v>
      </c>
      <c r="F59" s="37" t="n">
        <f aca="false">F58*Assumptions!$D$48*Assumptions!$D$87</f>
        <v>0</v>
      </c>
      <c r="G59" s="37" t="n">
        <f aca="false">G58*Assumptions!$D$48*Assumptions!$D$87</f>
        <v>0</v>
      </c>
      <c r="H59" s="37" t="n">
        <f aca="false">H58*Assumptions!$D$48*Assumptions!$D$87</f>
        <v>0</v>
      </c>
      <c r="I59" s="37" t="n">
        <f aca="false">I58*Assumptions!$D$48*Assumptions!$D$87</f>
        <v>0</v>
      </c>
      <c r="J59" s="37" t="n">
        <f aca="false">J58*Assumptions!$D$48*Assumptions!$D$87</f>
        <v>0</v>
      </c>
      <c r="K59" s="37" t="n">
        <f aca="false">K58*Assumptions!$D$48*Assumptions!$D$87</f>
        <v>0</v>
      </c>
      <c r="L59" s="37" t="n">
        <f aca="false">L58*Assumptions!$D$48*Assumptions!$D$87</f>
        <v>0</v>
      </c>
      <c r="M59" s="37" t="n">
        <f aca="false">M58*Assumptions!$D$48*Assumptions!$D$87</f>
        <v>0</v>
      </c>
      <c r="N59" s="37" t="n">
        <f aca="false">N58*Assumptions!$D$48*Assumptions!$D$87</f>
        <v>8.75</v>
      </c>
      <c r="O59" s="37" t="n">
        <f aca="false">O58*Assumptions!$D$48*Assumptions!$D$87</f>
        <v>18.68125</v>
      </c>
      <c r="P59" s="37" t="n">
        <f aca="false">P58*Assumptions!$D$48*Assumptions!$D$87</f>
        <v>29.77603125</v>
      </c>
      <c r="Q59" s="37" t="n">
        <f aca="false">Q58*Assumptions!$D$48*Assumptions!$D$87</f>
        <v>42.01689078125</v>
      </c>
      <c r="R59" s="37" t="n">
        <f aca="false">R58*Assumptions!$D$48*Assumptions!$D$87</f>
        <v>55.3866374195313</v>
      </c>
      <c r="S59" s="37" t="n">
        <f aca="false">S58*Assumptions!$D$48*Assumptions!$D$87</f>
        <v>69.8683378582383</v>
      </c>
      <c r="T59" s="37" t="n">
        <f aca="false">T58*Assumptions!$D$48*Assumptions!$D$87</f>
        <v>85.4453127903647</v>
      </c>
      <c r="U59" s="37" t="n">
        <f aca="false">U58*Assumptions!$D$48*Assumptions!$D$87</f>
        <v>102.101133098509</v>
      </c>
      <c r="V59" s="37" t="n">
        <f aca="false">V58*Assumptions!$D$48*Assumptions!$D$87</f>
        <v>119.819616102032</v>
      </c>
      <c r="W59" s="37" t="n">
        <f aca="false">W58*Assumptions!$D$48*Assumptions!$D$87</f>
        <v>138.584821860501</v>
      </c>
      <c r="X59" s="37" t="n">
        <f aca="false">X58*Assumptions!$D$48*Assumptions!$D$87</f>
        <v>158.381049532594</v>
      </c>
      <c r="Y59" s="37" t="n">
        <f aca="false">Y58*Assumptions!$D$48*Assumptions!$D$87</f>
        <v>179.192833789605</v>
      </c>
      <c r="Z59" s="37" t="n">
        <f aca="false">Z58*Assumptions!$D$48*Assumptions!$D$87</f>
        <v>201.004941282761</v>
      </c>
      <c r="AA59" s="37" t="n">
        <f aca="false">AA58*Assumptions!$D$48*Assumptions!$D$87</f>
        <v>223.802367163519</v>
      </c>
      <c r="AB59" s="37" t="n">
        <f aca="false">AB58*Assumptions!$D$48*Assumptions!$D$87</f>
        <v>247.570331656066</v>
      </c>
      <c r="AC59" s="37" t="n">
        <f aca="false">AC58*Assumptions!$D$48*Assumptions!$D$87</f>
        <v>272.294276681225</v>
      </c>
      <c r="AD59" s="37" t="n">
        <f aca="false">AD58*Assumptions!$D$48*Assumptions!$D$87</f>
        <v>297.959862531007</v>
      </c>
      <c r="AE59" s="37" t="n">
        <f aca="false">AE58*Assumptions!$D$48*Assumptions!$D$87</f>
        <v>324.552964593042</v>
      </c>
      <c r="AF59" s="37" t="n">
        <f aca="false">AF58*Assumptions!$D$48*Assumptions!$D$87</f>
        <v>352.059670124146</v>
      </c>
      <c r="AG59" s="37" t="n">
        <f aca="false">AG58*Assumptions!$D$48*Assumptions!$D$87</f>
        <v>380.466275072284</v>
      </c>
      <c r="AH59" s="37" t="n">
        <f aca="false">AH58*Assumptions!$D$48*Assumptions!$D$87</f>
        <v>409.7592809462</v>
      </c>
      <c r="AI59" s="37" t="n">
        <f aca="false">AI58*Assumptions!$D$48*Assumptions!$D$87</f>
        <v>439.925391732007</v>
      </c>
      <c r="AJ59" s="37" t="n">
        <f aca="false">AJ58*Assumptions!$D$48*Assumptions!$D$87</f>
        <v>470.951510856027</v>
      </c>
      <c r="AK59" s="37" t="n">
        <f aca="false">AK58*Assumptions!$D$48*Assumptions!$D$87</f>
        <v>502.824738193186</v>
      </c>
      <c r="AL59" s="37" t="n">
        <f aca="false">AL58*Assumptions!$D$48*Assumptions!$D$87</f>
        <v>535.532367120289</v>
      </c>
    </row>
    <row r="60" customFormat="false" ht="15" hidden="false" customHeight="false" outlineLevel="0" collapsed="false">
      <c r="A60" s="9" t="s">
        <v>605</v>
      </c>
      <c r="B60" s="2" t="s">
        <v>105</v>
      </c>
      <c r="C60" s="37" t="n">
        <f aca="false">C43</f>
        <v>0</v>
      </c>
      <c r="D60" s="37" t="n">
        <f aca="false">D43</f>
        <v>0</v>
      </c>
      <c r="E60" s="37" t="n">
        <f aca="false">E43</f>
        <v>0</v>
      </c>
      <c r="F60" s="37" t="n">
        <f aca="false">F43</f>
        <v>0</v>
      </c>
      <c r="G60" s="37" t="n">
        <f aca="false">G43</f>
        <v>0</v>
      </c>
      <c r="H60" s="37" t="n">
        <f aca="false">H43</f>
        <v>0</v>
      </c>
      <c r="I60" s="37" t="n">
        <f aca="false">I43</f>
        <v>0</v>
      </c>
      <c r="J60" s="37" t="n">
        <f aca="false">J43</f>
        <v>0</v>
      </c>
      <c r="K60" s="37" t="n">
        <f aca="false">K43</f>
        <v>101.32</v>
      </c>
      <c r="L60" s="37" t="n">
        <f aca="false">L43</f>
        <v>293.2153606</v>
      </c>
      <c r="M60" s="37" t="n">
        <f aca="false">M43</f>
        <v>508.777979642373</v>
      </c>
      <c r="N60" s="37" t="n">
        <f aca="false">N43</f>
        <v>874.540485286417</v>
      </c>
      <c r="O60" s="37" t="n">
        <f aca="false">O43</f>
        <v>1279.9422713718</v>
      </c>
      <c r="P60" s="37" t="n">
        <f aca="false">P43</f>
        <v>1723.97130112299</v>
      </c>
      <c r="Q60" s="37" t="n">
        <f aca="false">Q43</f>
        <v>2205.64884076414</v>
      </c>
      <c r="R60" s="37" t="n">
        <f aca="false">R43</f>
        <v>2724.02821866579</v>
      </c>
      <c r="S60" s="37" t="n">
        <f aca="false">S43</f>
        <v>3278.19363339329</v>
      </c>
      <c r="T60" s="37" t="n">
        <f aca="false">T43</f>
        <v>4042.25900867089</v>
      </c>
      <c r="U60" s="37" t="n">
        <f aca="false">U43</f>
        <v>4853.48314335809</v>
      </c>
      <c r="V60" s="37" t="n">
        <f aca="false">V43</f>
        <v>5710.96991755081</v>
      </c>
      <c r="W60" s="37" t="n">
        <f aca="false">W43</f>
        <v>6613.85009874292</v>
      </c>
      <c r="X60" s="37" t="n">
        <f aca="false">X43</f>
        <v>7561.28036449995</v>
      </c>
      <c r="Y60" s="37" t="n">
        <f aca="false">Y43</f>
        <v>8552.44236329478</v>
      </c>
      <c r="Z60" s="37" t="n">
        <f aca="false">Z43</f>
        <v>9586.54181196395</v>
      </c>
      <c r="AA60" s="37" t="n">
        <f aca="false">AA43</f>
        <v>10662.8076283068</v>
      </c>
      <c r="AB60" s="37" t="n">
        <f aca="false">AB43</f>
        <v>11780.4910974103</v>
      </c>
      <c r="AC60" s="37" t="n">
        <f aca="false">AC43</f>
        <v>12938.8650703423</v>
      </c>
      <c r="AD60" s="37" t="n">
        <f aca="false">AD43</f>
        <v>14137.2231939081</v>
      </c>
      <c r="AE60" s="37" t="n">
        <f aca="false">AE43</f>
        <v>15374.8791702251</v>
      </c>
      <c r="AF60" s="37" t="n">
        <f aca="false">AF43</f>
        <v>16651.1660449139</v>
      </c>
      <c r="AG60" s="37" t="n">
        <f aca="false">AG43</f>
        <v>17965.4355227609</v>
      </c>
      <c r="AH60" s="37" t="n">
        <f aca="false">AH43</f>
        <v>19317.0573097492</v>
      </c>
      <c r="AI60" s="37" t="n">
        <f aca="false">AI43</f>
        <v>20705.4184804016</v>
      </c>
      <c r="AJ60" s="37" t="n">
        <f aca="false">AJ43</f>
        <v>22129.9228694249</v>
      </c>
      <c r="AK60" s="37" t="n">
        <f aca="false">AK43</f>
        <v>23589.9904866817</v>
      </c>
      <c r="AL60" s="37" t="n">
        <f aca="false">AL43</f>
        <v>25085.0569545599</v>
      </c>
    </row>
    <row r="61" customFormat="false" ht="15" hidden="false" customHeight="false" outlineLevel="0" collapsed="false">
      <c r="A61" s="9" t="s">
        <v>606</v>
      </c>
      <c r="B61" s="2" t="s">
        <v>105</v>
      </c>
      <c r="C61" s="37" t="n">
        <f aca="false">C50+C51+C52+C53</f>
        <v>0</v>
      </c>
      <c r="D61" s="37" t="n">
        <f aca="false">D50+D51+D52+D53</f>
        <v>0</v>
      </c>
      <c r="E61" s="37" t="n">
        <f aca="false">E50+E51+E52+E53</f>
        <v>0</v>
      </c>
      <c r="F61" s="37" t="n">
        <f aca="false">F50+F51+F52+F53</f>
        <v>0</v>
      </c>
      <c r="G61" s="37" t="n">
        <f aca="false">G50+G51+G52+G53</f>
        <v>0</v>
      </c>
      <c r="H61" s="37" t="n">
        <f aca="false">H50+H51+H52+H53</f>
        <v>0</v>
      </c>
      <c r="I61" s="37" t="n">
        <f aca="false">I50+I51+I52+I53</f>
        <v>0</v>
      </c>
      <c r="J61" s="37" t="n">
        <f aca="false">J50+J51+J52+J53</f>
        <v>0</v>
      </c>
      <c r="K61" s="37" t="n">
        <f aca="false">K50+K51+K52+K53</f>
        <v>3.328</v>
      </c>
      <c r="L61" s="37" t="n">
        <f aca="false">L50+L51+L52+L53</f>
        <v>9.86144</v>
      </c>
      <c r="M61" s="37" t="n">
        <f aca="false">M50+M51+M52+M53</f>
        <v>17.1998352</v>
      </c>
      <c r="N61" s="37" t="n">
        <f aca="false">N50+N51+N52+N53</f>
        <v>27.975675016</v>
      </c>
      <c r="O61" s="37" t="n">
        <f aca="false">O50+O51+O52+O53</f>
        <v>39.85434190628</v>
      </c>
      <c r="P61" s="37" t="n">
        <f aca="false">P50+P51+P52+P53</f>
        <v>52.8013861571874</v>
      </c>
      <c r="Q61" s="37" t="n">
        <f aca="false">Q50+Q51+Q52+Q53</f>
        <v>66.7835928635198</v>
      </c>
      <c r="R61" s="37" t="n">
        <f aca="false">R50+R51+R52+R53</f>
        <v>81.7689341653881</v>
      </c>
      <c r="S61" s="37" t="n">
        <f aca="false">S50+S51+S52+S53</f>
        <v>97.7265234098582</v>
      </c>
      <c r="T61" s="37" t="n">
        <f aca="false">T50+T51+T52+T53</f>
        <v>119.311571157889</v>
      </c>
      <c r="U61" s="37" t="n">
        <f aca="false">U50+U51+U52+U53</f>
        <v>142.138292960419</v>
      </c>
      <c r="V61" s="37" t="n">
        <f aca="false">V50+V51+V52+V53</f>
        <v>166.175689330655</v>
      </c>
      <c r="W61" s="37" t="n">
        <f aca="false">W50+W51+W52+W53</f>
        <v>191.393769137668</v>
      </c>
      <c r="X61" s="37" t="n">
        <f aca="false">X50+X51+X52+X53</f>
        <v>217.763511936398</v>
      </c>
      <c r="Y61" s="37" t="n">
        <f aca="false">Y50+Y51+Y52+Y53</f>
        <v>245.256831796128</v>
      </c>
      <c r="Z61" s="37" t="n">
        <f aca="false">Z50+Z51+Z52+Z53</f>
        <v>273.84654256594</v>
      </c>
      <c r="AA61" s="37" t="n">
        <f aca="false">AA50+AA51+AA52+AA53</f>
        <v>303.506324518221</v>
      </c>
      <c r="AB61" s="37" t="n">
        <f aca="false">AB50+AB51+AB52+AB53</f>
        <v>334.210692313755</v>
      </c>
      <c r="AC61" s="37" t="n">
        <f aca="false">AC50+AC51+AC52+AC53</f>
        <v>365.934964234298</v>
      </c>
      <c r="AD61" s="37" t="n">
        <f aca="false">AD50+AD51+AD52+AD53</f>
        <v>398.655232630784</v>
      </c>
      <c r="AE61" s="37" t="n">
        <f aca="false">AE50+AE51+AE52+AE53</f>
        <v>432.348335537497</v>
      </c>
      <c r="AF61" s="37" t="n">
        <f aca="false">AF50+AF51+AF52+AF53</f>
        <v>466.991829404575</v>
      </c>
      <c r="AG61" s="37" t="n">
        <f aca="false">AG50+AG51+AG52+AG53</f>
        <v>502.563962903243</v>
      </c>
      <c r="AH61" s="37" t="n">
        <f aca="false">AH50+AH51+AH52+AH53</f>
        <v>539.043651760033</v>
      </c>
      <c r="AI61" s="37" t="n">
        <f aca="false">AI50+AI51+AI52+AI53</f>
        <v>576.410454578099</v>
      </c>
      <c r="AJ61" s="37" t="n">
        <f aca="false">AJ50+AJ51+AJ52+AJ53</f>
        <v>614.644549605449</v>
      </c>
      <c r="AK61" s="37" t="n">
        <f aca="false">AK50+AK51+AK52+AK53</f>
        <v>653.72671241162</v>
      </c>
      <c r="AL61" s="37" t="n">
        <f aca="false">AL50+AL51+AL52+AL53</f>
        <v>693.638294435886</v>
      </c>
    </row>
    <row r="62" customFormat="false" ht="15" hidden="false" customHeight="false" outlineLevel="0" collapsed="false">
      <c r="A62" s="9" t="s">
        <v>607</v>
      </c>
      <c r="B62" s="2" t="s">
        <v>105</v>
      </c>
      <c r="C62" s="37" t="n">
        <f aca="false">C54+C55+C56+C57+C59</f>
        <v>0</v>
      </c>
      <c r="D62" s="37" t="n">
        <f aca="false">D54+D55+D56+D57+D59</f>
        <v>0</v>
      </c>
      <c r="E62" s="37" t="n">
        <f aca="false">E54+E55+E56+E57+E59</f>
        <v>0</v>
      </c>
      <c r="F62" s="37" t="n">
        <f aca="false">F54+F55+F56+F57+F59</f>
        <v>0</v>
      </c>
      <c r="G62" s="37" t="n">
        <f aca="false">G54+G55+G56+G57+G59</f>
        <v>0</v>
      </c>
      <c r="H62" s="37" t="n">
        <f aca="false">H54+H55+H56+H57+H59</f>
        <v>0</v>
      </c>
      <c r="I62" s="37" t="n">
        <f aca="false">I54+I55+I56+I57+I59</f>
        <v>0</v>
      </c>
      <c r="J62" s="37" t="n">
        <f aca="false">J54+J55+J56+J57+J59</f>
        <v>0</v>
      </c>
      <c r="K62" s="37" t="n">
        <f aca="false">K54+K55+K56+K57+K59</f>
        <v>0</v>
      </c>
      <c r="L62" s="37" t="n">
        <f aca="false">L54+L55+L56+L57+L59</f>
        <v>50</v>
      </c>
      <c r="M62" s="37" t="n">
        <f aca="false">M54+M55+M56+M57+M59</f>
        <v>60</v>
      </c>
      <c r="N62" s="37" t="n">
        <f aca="false">N54+N55+N56+N57+N59</f>
        <v>153.75</v>
      </c>
      <c r="O62" s="37" t="n">
        <f aca="false">O54+O55+O56+O57+O59</f>
        <v>184.93125</v>
      </c>
      <c r="P62" s="37" t="n">
        <f aca="false">P54+P55+P56+P57+P59</f>
        <v>217.27603125</v>
      </c>
      <c r="Q62" s="37" t="n">
        <f aca="false">Q54+Q55+Q56+Q57+Q59</f>
        <v>250.76689078125</v>
      </c>
      <c r="R62" s="37" t="n">
        <f aca="false">R54+R55+R56+R57+R59</f>
        <v>285.386637419531</v>
      </c>
      <c r="S62" s="37" t="n">
        <f aca="false">S54+S55+S56+S57+S59</f>
        <v>321.118337858238</v>
      </c>
      <c r="T62" s="37" t="n">
        <f aca="false">T54+T55+T56+T57+T59</f>
        <v>545.445312790365</v>
      </c>
      <c r="U62" s="37" t="n">
        <f aca="false">U54+U55+U56+U57+U59</f>
        <v>598.351133098509</v>
      </c>
      <c r="V62" s="37" t="n">
        <f aca="false">V54+V55+V56+V57+V59</f>
        <v>652.319616102032</v>
      </c>
      <c r="W62" s="37" t="n">
        <f aca="false">W54+W55+W56+W57+W59</f>
        <v>707.334821860501</v>
      </c>
      <c r="X62" s="37" t="n">
        <f aca="false">X54+X55+X56+X57+X59</f>
        <v>763.381049532594</v>
      </c>
      <c r="Y62" s="37" t="n">
        <f aca="false">Y54+Y55+Y56+Y57+Y59</f>
        <v>820.442833789605</v>
      </c>
      <c r="Z62" s="37" t="n">
        <f aca="false">Z54+Z55+Z56+Z57+Z59</f>
        <v>878.504941282761</v>
      </c>
      <c r="AA62" s="37" t="n">
        <f aca="false">AA54+AA55+AA56+AA57+AA59</f>
        <v>937.552367163519</v>
      </c>
      <c r="AB62" s="37" t="n">
        <f aca="false">AB54+AB55+AB56+AB57+AB59</f>
        <v>997.570331656066</v>
      </c>
      <c r="AC62" s="37" t="n">
        <f aca="false">AC54+AC55+AC56+AC57+AC59</f>
        <v>1058.54427668123</v>
      </c>
      <c r="AD62" s="37" t="n">
        <f aca="false">AD54+AD55+AD56+AD57+AD59</f>
        <v>1120.45986253101</v>
      </c>
      <c r="AE62" s="37" t="n">
        <f aca="false">AE54+AE55+AE56+AE57+AE59</f>
        <v>1183.30296459304</v>
      </c>
      <c r="AF62" s="37" t="n">
        <f aca="false">AF54+AF55+AF56+AF57+AF59</f>
        <v>1247.05967012415</v>
      </c>
      <c r="AG62" s="37" t="n">
        <f aca="false">AG54+AG55+AG56+AG57+AG59</f>
        <v>1311.71627507228</v>
      </c>
      <c r="AH62" s="37" t="n">
        <f aca="false">AH54+AH55+AH56+AH57+AH59</f>
        <v>1377.2592809462</v>
      </c>
      <c r="AI62" s="37" t="n">
        <f aca="false">AI54+AI55+AI56+AI57+AI59</f>
        <v>1443.67539173201</v>
      </c>
      <c r="AJ62" s="37" t="n">
        <f aca="false">AJ54+AJ55+AJ56+AJ57+AJ59</f>
        <v>1510.95151085603</v>
      </c>
      <c r="AK62" s="37" t="n">
        <f aca="false">AK54+AK55+AK56+AK57+AK59</f>
        <v>1579.07473819319</v>
      </c>
      <c r="AL62" s="37" t="n">
        <f aca="false">AL54+AL55+AL56+AL57+AL59</f>
        <v>1648.03236712029</v>
      </c>
    </row>
    <row r="63" customFormat="false" ht="15" hidden="false" customHeight="false" outlineLevel="0" collapsed="false">
      <c r="A63" s="3" t="s">
        <v>608</v>
      </c>
      <c r="B63" s="2" t="s">
        <v>105</v>
      </c>
      <c r="C63" s="45" t="n">
        <f aca="false">C60+C61+C62</f>
        <v>0</v>
      </c>
      <c r="D63" s="45" t="n">
        <f aca="false">D60+D61+D62</f>
        <v>0</v>
      </c>
      <c r="E63" s="45" t="n">
        <f aca="false">E60+E61+E62</f>
        <v>0</v>
      </c>
      <c r="F63" s="45" t="n">
        <f aca="false">F60+F61+F62</f>
        <v>0</v>
      </c>
      <c r="G63" s="45" t="n">
        <f aca="false">G60+G61+G62</f>
        <v>0</v>
      </c>
      <c r="H63" s="45" t="n">
        <f aca="false">H60+H61+H62</f>
        <v>0</v>
      </c>
      <c r="I63" s="45" t="n">
        <f aca="false">I60+I61+I62</f>
        <v>0</v>
      </c>
      <c r="J63" s="45" t="n">
        <f aca="false">J60+J61+J62</f>
        <v>0</v>
      </c>
      <c r="K63" s="45" t="n">
        <f aca="false">K60+K61+K62</f>
        <v>104.648</v>
      </c>
      <c r="L63" s="45" t="n">
        <f aca="false">L60+L61+L62</f>
        <v>353.0768006</v>
      </c>
      <c r="M63" s="45" t="n">
        <f aca="false">M60+M61+M62</f>
        <v>585.977814842373</v>
      </c>
      <c r="N63" s="45" t="n">
        <f aca="false">N60+N61+N62</f>
        <v>1056.26616030242</v>
      </c>
      <c r="O63" s="45" t="n">
        <f aca="false">O60+O61+O62</f>
        <v>1504.72786327808</v>
      </c>
      <c r="P63" s="45" t="n">
        <f aca="false">P60+P61+P62</f>
        <v>1994.04871853018</v>
      </c>
      <c r="Q63" s="45" t="n">
        <f aca="false">Q60+Q61+Q62</f>
        <v>2523.19932440891</v>
      </c>
      <c r="R63" s="45" t="n">
        <f aca="false">R60+R61+R62</f>
        <v>3091.18379025071</v>
      </c>
      <c r="S63" s="45" t="n">
        <f aca="false">S60+S61+S62</f>
        <v>3697.03849466138</v>
      </c>
      <c r="T63" s="45" t="n">
        <f aca="false">T60+T61+T62</f>
        <v>4707.01589261914</v>
      </c>
      <c r="U63" s="45" t="n">
        <f aca="false">U60+U61+U62</f>
        <v>5593.97256941702</v>
      </c>
      <c r="V63" s="45" t="n">
        <f aca="false">V60+V61+V62</f>
        <v>6529.4652229835</v>
      </c>
      <c r="W63" s="45" t="n">
        <f aca="false">W60+W61+W62</f>
        <v>7512.57868974109</v>
      </c>
      <c r="X63" s="45" t="n">
        <f aca="false">X60+X61+X62</f>
        <v>8542.42492596894</v>
      </c>
      <c r="Y63" s="45" t="n">
        <f aca="false">Y60+Y61+Y62</f>
        <v>9618.14202888051</v>
      </c>
      <c r="Z63" s="45" t="n">
        <f aca="false">Z60+Z61+Z62</f>
        <v>10738.8932958127</v>
      </c>
      <c r="AA63" s="45" t="n">
        <f aca="false">AA60+AA61+AA62</f>
        <v>11903.8663199885</v>
      </c>
      <c r="AB63" s="45" t="n">
        <f aca="false">AB60+AB61+AB62</f>
        <v>13112.2721213802</v>
      </c>
      <c r="AC63" s="45" t="n">
        <f aca="false">AC60+AC61+AC62</f>
        <v>14363.3443112578</v>
      </c>
      <c r="AD63" s="45" t="n">
        <f aca="false">AD60+AD61+AD62</f>
        <v>15656.3382890699</v>
      </c>
      <c r="AE63" s="45" t="n">
        <f aca="false">AE60+AE61+AE62</f>
        <v>16990.5304703556</v>
      </c>
      <c r="AF63" s="45" t="n">
        <f aca="false">AF60+AF61+AF62</f>
        <v>18365.2175444426</v>
      </c>
      <c r="AG63" s="45" t="n">
        <f aca="false">AG60+AG61+AG62</f>
        <v>19779.7157607365</v>
      </c>
      <c r="AH63" s="45" t="n">
        <f aca="false">AH60+AH61+AH62</f>
        <v>21233.3602424554</v>
      </c>
      <c r="AI63" s="45" t="n">
        <f aca="false">AI60+AI61+AI62</f>
        <v>22725.5043267117</v>
      </c>
      <c r="AJ63" s="45" t="n">
        <f aca="false">AJ60+AJ61+AJ62</f>
        <v>24255.5189298864</v>
      </c>
      <c r="AK63" s="45" t="n">
        <f aca="false">AK60+AK61+AK62</f>
        <v>25822.7919372865</v>
      </c>
      <c r="AL63" s="45" t="n">
        <f aca="false">AL60+AL61+AL62</f>
        <v>27426.7276161161</v>
      </c>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customFormat="false" ht="15" hidden="false" customHeight="false" outlineLevel="0" collapsed="false">
      <c r="A65" s="5" t="s">
        <v>609</v>
      </c>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row>
    <row r="66" customFormat="false" ht="15" hidden="false" customHeight="false" outlineLevel="0" collapsed="false">
      <c r="A66" s="9" t="s">
        <v>610</v>
      </c>
      <c r="B66" s="2" t="s">
        <v>105</v>
      </c>
      <c r="C66" s="37" t="n">
        <f aca="false">C30*Pricing!$B$6*Assumptions!$C$153*CHOOSE(Assumptions!$C$121,Pricing!$B$20,Pricing!$B$30,Pricing!$B$40)</f>
        <v>0</v>
      </c>
      <c r="D66" s="37" t="n">
        <f aca="false">D30*Pricing!$B$6*Assumptions!$C$153*CHOOSE(Assumptions!$C$121,Pricing!$B$20,Pricing!$B$30,Pricing!$B$40)</f>
        <v>0</v>
      </c>
      <c r="E66" s="37" t="n">
        <f aca="false">E30*Pricing!$B$6*Assumptions!$C$153*CHOOSE(Assumptions!$C$121,Pricing!$B$20,Pricing!$B$30,Pricing!$B$40)</f>
        <v>0</v>
      </c>
      <c r="F66" s="37" t="n">
        <f aca="false">F30*Pricing!$B$6*Assumptions!$C$153*CHOOSE(Assumptions!$C$121,Pricing!$B$20,Pricing!$B$30,Pricing!$B$40)</f>
        <v>0</v>
      </c>
      <c r="G66" s="37" t="n">
        <f aca="false">G30*Pricing!$B$6*Assumptions!$C$153*CHOOSE(Assumptions!$C$121,Pricing!$B$20,Pricing!$B$30,Pricing!$B$40)</f>
        <v>0</v>
      </c>
      <c r="H66" s="37" t="n">
        <f aca="false">H30*Pricing!$B$6*Assumptions!$C$153*CHOOSE(Assumptions!$C$121,Pricing!$B$20,Pricing!$B$30,Pricing!$B$40)</f>
        <v>0</v>
      </c>
      <c r="I66" s="37" t="n">
        <f aca="false">I30*Pricing!$B$6*Assumptions!$C$153*CHOOSE(Assumptions!$C$121,Pricing!$B$20,Pricing!$B$30,Pricing!$B$40)</f>
        <v>0</v>
      </c>
      <c r="J66" s="37" t="n">
        <f aca="false">J30*Pricing!$B$6*Assumptions!$C$153*CHOOSE(Assumptions!$C$121,Pricing!$B$20,Pricing!$B$30,Pricing!$B$40)</f>
        <v>0</v>
      </c>
      <c r="K66" s="37" t="n">
        <f aca="false">K30*Pricing!$B$6*Assumptions!$C$153*CHOOSE(Assumptions!$C$121,Pricing!$B$20,Pricing!$B$30,Pricing!$B$40)</f>
        <v>64.642798</v>
      </c>
      <c r="L66" s="37" t="n">
        <f aca="false">L30*Pricing!$B$6*Assumptions!$C$153*CHOOSE(Assumptions!$C$121,Pricing!$B$20,Pricing!$B$30,Pricing!$B$40)</f>
        <v>136.07308979</v>
      </c>
      <c r="M66" s="37" t="n">
        <f aca="false">M30*Pricing!$B$6*Assumptions!$C$153*CHOOSE(Assumptions!$C$121,Pricing!$B$20,Pricing!$B$30,Pricing!$B$40)</f>
        <v>213.98543814945</v>
      </c>
      <c r="N66" s="37" t="n">
        <f aca="false">N30*Pricing!$B$6*Assumptions!$C$153*CHOOSE(Assumptions!$C$121,Pricing!$B$20,Pricing!$B$30,Pricing!$B$40)</f>
        <v>298.088150532725</v>
      </c>
      <c r="O66" s="37" t="n">
        <f aca="false">O30*Pricing!$B$6*Assumptions!$C$153*CHOOSE(Assumptions!$C$121,Pricing!$B$20,Pricing!$B$30,Pricing!$B$40)</f>
        <v>388.102660558752</v>
      </c>
      <c r="P66" s="37" t="n">
        <f aca="false">P30*Pricing!$B$6*Assumptions!$C$153*CHOOSE(Assumptions!$C$121,Pricing!$B$20,Pricing!$B$30,Pricing!$B$40)</f>
        <v>483.762937333608</v>
      </c>
      <c r="Q66" s="37" t="n">
        <f aca="false">Q30*Pricing!$B$6*Assumptions!$C$153*CHOOSE(Assumptions!$C$121,Pricing!$B$20,Pricing!$B$30,Pricing!$B$40)</f>
        <v>584.814921353596</v>
      </c>
      <c r="R66" s="37" t="n">
        <f aca="false">R30*Pricing!$B$6*Assumptions!$C$153*CHOOSE(Assumptions!$C$121,Pricing!$B$20,Pricing!$B$30,Pricing!$B$40)</f>
        <v>691.015985792684</v>
      </c>
      <c r="S66" s="37" t="n">
        <f aca="false">S30*Pricing!$B$6*Assumptions!$C$153*CHOOSE(Assumptions!$C$121,Pricing!$B$20,Pricing!$B$30,Pricing!$B$40)</f>
        <v>802.134422032013</v>
      </c>
      <c r="T66" s="37" t="n">
        <f aca="false">T30*Pricing!$B$6*Assumptions!$C$153*CHOOSE(Assumptions!$C$121,Pricing!$B$20,Pricing!$B$30,Pricing!$B$40)</f>
        <v>917.948948340573</v>
      </c>
      <c r="U66" s="37" t="n">
        <f aca="false">U30*Pricing!$B$6*Assumptions!$C$153*CHOOSE(Assumptions!$C$121,Pricing!$B$20,Pricing!$B$30,Pricing!$B$40)</f>
        <v>1038.24824066525</v>
      </c>
      <c r="V66" s="37" t="n">
        <f aca="false">V30*Pricing!$B$6*Assumptions!$C$153*CHOOSE(Assumptions!$C$121,Pricing!$B$20,Pricing!$B$30,Pricing!$B$40)</f>
        <v>1162.83048453531</v>
      </c>
      <c r="W66" s="37" t="n">
        <f aca="false">W30*Pricing!$B$6*Assumptions!$C$153*CHOOSE(Assumptions!$C$121,Pricing!$B$20,Pricing!$B$30,Pricing!$B$40)</f>
        <v>1291.50294713122</v>
      </c>
      <c r="X66" s="37" t="n">
        <f aca="false">X30*Pricing!$B$6*Assumptions!$C$153*CHOOSE(Assumptions!$C$121,Pricing!$B$20,Pricing!$B$30,Pricing!$B$40)</f>
        <v>1424.08156861032</v>
      </c>
      <c r="Y66" s="37" t="n">
        <f aca="false">Y30*Pricing!$B$6*Assumptions!$C$153*CHOOSE(Assumptions!$C$121,Pricing!$B$20,Pricing!$B$30,Pricing!$B$40)</f>
        <v>1560.39057182285</v>
      </c>
      <c r="Z66" s="37" t="n">
        <f aca="false">Z30*Pricing!$B$6*Assumptions!$C$153*CHOOSE(Assumptions!$C$121,Pricing!$B$20,Pricing!$B$30,Pricing!$B$40)</f>
        <v>1700.26208959082</v>
      </c>
      <c r="AA66" s="37" t="n">
        <f aca="false">AA30*Pricing!$B$6*Assumptions!$C$153*CHOOSE(Assumptions!$C$121,Pricing!$B$20,Pricing!$B$30,Pricing!$B$40)</f>
        <v>1843.53580875924</v>
      </c>
      <c r="AB66" s="37" t="n">
        <f aca="false">AB30*Pricing!$B$6*Assumptions!$C$153*CHOOSE(Assumptions!$C$121,Pricing!$B$20,Pricing!$B$30,Pricing!$B$40)</f>
        <v>1990.05863026507</v>
      </c>
      <c r="AC66" s="37" t="n">
        <f aca="false">AC30*Pricing!$B$6*Assumptions!$C$153*CHOOSE(Assumptions!$C$121,Pricing!$B$20,Pricing!$B$30,Pricing!$B$40)</f>
        <v>2139.68434450314</v>
      </c>
      <c r="AD66" s="37" t="n">
        <f aca="false">AD30*Pricing!$B$6*Assumptions!$C$153*CHOOSE(Assumptions!$C$121,Pricing!$B$20,Pricing!$B$30,Pricing!$B$40)</f>
        <v>2292.2733213005</v>
      </c>
      <c r="AE66" s="37" t="n">
        <f aca="false">AE30*Pricing!$B$6*Assumptions!$C$153*CHOOSE(Assumptions!$C$121,Pricing!$B$20,Pricing!$B$30,Pricing!$B$40)</f>
        <v>2447.69221384198</v>
      </c>
      <c r="AF66" s="37" t="n">
        <f aca="false">AF30*Pricing!$B$6*Assumptions!$C$153*CHOOSE(Assumptions!$C$121,Pricing!$B$20,Pricing!$B$30,Pricing!$B$40)</f>
        <v>2605.81367591909</v>
      </c>
      <c r="AG66" s="37" t="n">
        <f aca="false">AG30*Pricing!$B$6*Assumptions!$C$153*CHOOSE(Assumptions!$C$121,Pricing!$B$20,Pricing!$B$30,Pricing!$B$40)</f>
        <v>2766.51609190273</v>
      </c>
      <c r="AH66" s="37" t="n">
        <f aca="false">AH30*Pricing!$B$6*Assumptions!$C$153*CHOOSE(Assumptions!$C$121,Pricing!$B$20,Pricing!$B$30,Pricing!$B$40)</f>
        <v>2929.68331886711</v>
      </c>
      <c r="AI66" s="37" t="n">
        <f aca="false">AI30*Pricing!$B$6*Assumptions!$C$153*CHOOSE(Assumptions!$C$121,Pricing!$B$20,Pricing!$B$30,Pricing!$B$40)</f>
        <v>3095.20444031809</v>
      </c>
      <c r="AJ66" s="37" t="n">
        <f aca="false">AJ30*Pricing!$B$6*Assumptions!$C$153*CHOOSE(Assumptions!$C$121,Pricing!$B$20,Pricing!$B$30,Pricing!$B$40)</f>
        <v>3262.97353100377</v>
      </c>
      <c r="AK66" s="37" t="n">
        <f aca="false">AK30*Pricing!$B$6*Assumptions!$C$153*CHOOSE(Assumptions!$C$121,Pricing!$B$20,Pricing!$B$30,Pricing!$B$40)</f>
        <v>3432.8894323086</v>
      </c>
      <c r="AL66" s="37" t="n">
        <f aca="false">AL30*Pricing!$B$6*Assumptions!$C$153*CHOOSE(Assumptions!$C$121,Pricing!$B$20,Pricing!$B$30,Pricing!$B$40)</f>
        <v>3604.85553775472</v>
      </c>
    </row>
    <row r="67" customFormat="false" ht="15" hidden="false" customHeight="false" outlineLevel="0" collapsed="false">
      <c r="A67" s="9" t="s">
        <v>611</v>
      </c>
      <c r="B67" s="2" t="s">
        <v>105</v>
      </c>
      <c r="C67" s="37" t="n">
        <f aca="false">C31*Pricing!$C$6*Assumptions!$C$153*CHOOSE(Assumptions!$C$121,Pricing!$C$20,Pricing!$C$30,Pricing!$C$40)</f>
        <v>0</v>
      </c>
      <c r="D67" s="37" t="n">
        <f aca="false">D31*Pricing!$C$6*Assumptions!$C$153*CHOOSE(Assumptions!$C$121,Pricing!$C$20,Pricing!$C$30,Pricing!$C$40)</f>
        <v>0</v>
      </c>
      <c r="E67" s="37" t="n">
        <f aca="false">E31*Pricing!$C$6*Assumptions!$C$153*CHOOSE(Assumptions!$C$121,Pricing!$C$20,Pricing!$C$30,Pricing!$C$40)</f>
        <v>0</v>
      </c>
      <c r="F67" s="37" t="n">
        <f aca="false">F31*Pricing!$C$6*Assumptions!$C$153*CHOOSE(Assumptions!$C$121,Pricing!$C$20,Pricing!$C$30,Pricing!$C$40)</f>
        <v>0</v>
      </c>
      <c r="G67" s="37" t="n">
        <f aca="false">G31*Pricing!$C$6*Assumptions!$C$153*CHOOSE(Assumptions!$C$121,Pricing!$C$20,Pricing!$C$30,Pricing!$C$40)</f>
        <v>0</v>
      </c>
      <c r="H67" s="37" t="n">
        <f aca="false">H31*Pricing!$C$6*Assumptions!$C$153*CHOOSE(Assumptions!$C$121,Pricing!$C$20,Pricing!$C$30,Pricing!$C$40)</f>
        <v>0</v>
      </c>
      <c r="I67" s="37" t="n">
        <f aca="false">I31*Pricing!$C$6*Assumptions!$C$153*CHOOSE(Assumptions!$C$121,Pricing!$C$20,Pricing!$C$30,Pricing!$C$40)</f>
        <v>0</v>
      </c>
      <c r="J67" s="37" t="n">
        <f aca="false">J31*Pricing!$C$6*Assumptions!$C$153*CHOOSE(Assumptions!$C$121,Pricing!$C$20,Pricing!$C$30,Pricing!$C$40)</f>
        <v>0</v>
      </c>
      <c r="K67" s="37" t="n">
        <f aca="false">K31*Pricing!$C$6*Assumptions!$C$153*CHOOSE(Assumptions!$C$121,Pricing!$C$20,Pricing!$C$30,Pricing!$C$40)</f>
        <v>0</v>
      </c>
      <c r="L67" s="37" t="n">
        <f aca="false">L31*Pricing!$C$6*Assumptions!$C$153*CHOOSE(Assumptions!$C$121,Pricing!$C$20,Pricing!$C$30,Pricing!$C$40)</f>
        <v>61.8200669166667</v>
      </c>
      <c r="M67" s="37" t="n">
        <f aca="false">M31*Pricing!$C$6*Assumptions!$C$153*CHOOSE(Assumptions!$C$121,Pricing!$C$20,Pricing!$C$30,Pricing!$C$40)</f>
        <v>133.840444874583</v>
      </c>
      <c r="N67" s="37" t="n">
        <f aca="false">N31*Pricing!$C$6*Assumptions!$C$153*CHOOSE(Assumptions!$C$121,Pricing!$C$20,Pricing!$C$30,Pricing!$C$40)</f>
        <v>215.704122987306</v>
      </c>
      <c r="O67" s="37" t="n">
        <f aca="false">O31*Pricing!$C$6*Assumptions!$C$153*CHOOSE(Assumptions!$C$121,Pricing!$C$20,Pricing!$C$30,Pricing!$C$40)</f>
        <v>307.066585749417</v>
      </c>
      <c r="P67" s="37" t="n">
        <f aca="false">P31*Pricing!$C$6*Assumptions!$C$153*CHOOSE(Assumptions!$C$121,Pricing!$C$20,Pricing!$C$30,Pricing!$C$40)</f>
        <v>407.595375698188</v>
      </c>
      <c r="Q67" s="37" t="n">
        <f aca="false">Q31*Pricing!$C$6*Assumptions!$C$153*CHOOSE(Assumptions!$C$121,Pricing!$C$20,Pricing!$C$30,Pricing!$C$40)</f>
        <v>516.969671382084</v>
      </c>
      <c r="R67" s="37" t="n">
        <f aca="false">R31*Pricing!$C$6*Assumptions!$C$153*CHOOSE(Assumptions!$C$121,Pricing!$C$20,Pricing!$C$30,Pricing!$C$40)</f>
        <v>634.879880100378</v>
      </c>
      <c r="S67" s="37" t="n">
        <f aca="false">S31*Pricing!$C$6*Assumptions!$C$153*CHOOSE(Assumptions!$C$121,Pricing!$C$20,Pricing!$C$30,Pricing!$C$40)</f>
        <v>761.027244896865</v>
      </c>
      <c r="T67" s="37" t="n">
        <f aca="false">T31*Pricing!$C$6*Assumptions!$C$153*CHOOSE(Assumptions!$C$121,Pricing!$C$20,Pricing!$C$30,Pricing!$C$40)</f>
        <v>895.123465308808</v>
      </c>
      <c r="U67" s="37" t="n">
        <f aca="false">U31*Pricing!$C$6*Assumptions!$C$153*CHOOSE(Assumptions!$C$121,Pricing!$C$20,Pricing!$C$30,Pricing!$C$40)</f>
        <v>1036.89033138967</v>
      </c>
      <c r="V67" s="37" t="n">
        <f aca="false">V31*Pricing!$C$6*Assumptions!$C$153*CHOOSE(Assumptions!$C$121,Pricing!$C$20,Pricing!$C$30,Pricing!$C$40)</f>
        <v>1186.05937054103</v>
      </c>
      <c r="W67" s="37" t="n">
        <f aca="false">W31*Pricing!$C$6*Assumptions!$C$153*CHOOSE(Assumptions!$C$121,Pricing!$C$20,Pricing!$C$30,Pricing!$C$40)</f>
        <v>1342.37150670543</v>
      </c>
      <c r="X67" s="37" t="n">
        <f aca="false">X31*Pricing!$C$6*Assumptions!$C$153*CHOOSE(Assumptions!$C$121,Pricing!$C$20,Pricing!$C$30,Pricing!$C$40)</f>
        <v>1505.5767314874</v>
      </c>
      <c r="Y67" s="37" t="n">
        <f aca="false">Y31*Pricing!$C$6*Assumptions!$C$153*CHOOSE(Assumptions!$C$121,Pricing!$C$20,Pricing!$C$30,Pricing!$C$40)</f>
        <v>1675.43378678534</v>
      </c>
      <c r="Z67" s="37" t="n">
        <f aca="false">Z31*Pricing!$C$6*Assumptions!$C$153*CHOOSE(Assumptions!$C$121,Pricing!$C$20,Pricing!$C$30,Pricing!$C$40)</f>
        <v>1851.70985853119</v>
      </c>
      <c r="AA67" s="37" t="n">
        <f aca="false">AA31*Pricing!$C$6*Assumptions!$C$153*CHOOSE(Assumptions!$C$121,Pricing!$C$20,Pricing!$C$30,Pricing!$C$40)</f>
        <v>2034.18028114926</v>
      </c>
      <c r="AB67" s="37" t="n">
        <f aca="false">AB31*Pricing!$C$6*Assumptions!$C$153*CHOOSE(Assumptions!$C$121,Pricing!$C$20,Pricing!$C$30,Pricing!$C$40)</f>
        <v>2222.62825235904</v>
      </c>
      <c r="AC67" s="37" t="n">
        <f aca="false">AC31*Pricing!$C$6*Assumptions!$C$153*CHOOSE(Assumptions!$C$121,Pricing!$C$20,Pricing!$C$30,Pricing!$C$40)</f>
        <v>2416.84455795981</v>
      </c>
      <c r="AD67" s="37" t="n">
        <f aca="false">AD31*Pricing!$C$6*Assumptions!$C$153*CHOOSE(Assumptions!$C$121,Pricing!$C$20,Pricing!$C$30,Pricing!$C$40)</f>
        <v>2616.62730624788</v>
      </c>
      <c r="AE67" s="37" t="n">
        <f aca="false">AE31*Pricing!$C$6*Assumptions!$C$153*CHOOSE(Assumptions!$C$121,Pricing!$C$20,Pricing!$C$30,Pricing!$C$40)</f>
        <v>2821.78167172921</v>
      </c>
      <c r="AF67" s="37" t="n">
        <f aca="false">AF31*Pricing!$C$6*Assumptions!$C$153*CHOOSE(Assumptions!$C$121,Pricing!$C$20,Pricing!$C$30,Pricing!$C$40)</f>
        <v>3032.11964780202</v>
      </c>
      <c r="AG67" s="37" t="n">
        <f aca="false">AG31*Pricing!$C$6*Assumptions!$C$153*CHOOSE(Assumptions!$C$121,Pricing!$C$20,Pricing!$C$30,Pricing!$C$40)</f>
        <v>3247.45980809561</v>
      </c>
      <c r="AH67" s="37" t="n">
        <f aca="false">AH31*Pricing!$C$6*Assumptions!$C$153*CHOOSE(Assumptions!$C$121,Pricing!$C$20,Pricing!$C$30,Pricing!$C$40)</f>
        <v>3467.62707616227</v>
      </c>
      <c r="AI67" s="37" t="n">
        <f aca="false">AI31*Pricing!$C$6*Assumptions!$C$153*CHOOSE(Assumptions!$C$121,Pricing!$C$20,Pricing!$C$30,Pricing!$C$40)</f>
        <v>3692.45250322992</v>
      </c>
      <c r="AJ67" s="37" t="n">
        <f aca="false">AJ31*Pricing!$C$6*Assumptions!$C$153*CHOOSE(Assumptions!$C$121,Pricing!$C$20,Pricing!$C$30,Pricing!$C$40)</f>
        <v>3921.77305373354</v>
      </c>
      <c r="AK67" s="37" t="n">
        <f aca="false">AK31*Pricing!$C$6*Assumptions!$C$153*CHOOSE(Assumptions!$C$121,Pricing!$C$20,Pricing!$C$30,Pricing!$C$40)</f>
        <v>4155.43139835287</v>
      </c>
      <c r="AL67" s="37" t="n">
        <f aca="false">AL31*Pricing!$C$6*Assumptions!$C$153*CHOOSE(Assumptions!$C$121,Pricing!$C$20,Pricing!$C$30,Pricing!$C$40)</f>
        <v>4393.27571429385</v>
      </c>
    </row>
    <row r="68" customFormat="false" ht="15" hidden="false" customHeight="false" outlineLevel="0" collapsed="false">
      <c r="A68" s="9" t="s">
        <v>612</v>
      </c>
      <c r="B68" s="2" t="s">
        <v>105</v>
      </c>
      <c r="C68" s="37" t="n">
        <f aca="false">C32*Pricing!$D$6*Assumptions!$C$153*CHOOSE(Assumptions!$C$121,Pricing!$D$20,Pricing!$D$30,Pricing!$D$40)</f>
        <v>0</v>
      </c>
      <c r="D68" s="37" t="n">
        <f aca="false">D32*Pricing!$D$6*Assumptions!$C$153*CHOOSE(Assumptions!$C$121,Pricing!$D$20,Pricing!$D$30,Pricing!$D$40)</f>
        <v>0</v>
      </c>
      <c r="E68" s="37" t="n">
        <f aca="false">E32*Pricing!$D$6*Assumptions!$C$153*CHOOSE(Assumptions!$C$121,Pricing!$D$20,Pricing!$D$30,Pricing!$D$40)</f>
        <v>0</v>
      </c>
      <c r="F68" s="37" t="n">
        <f aca="false">F32*Pricing!$D$6*Assumptions!$C$153*CHOOSE(Assumptions!$C$121,Pricing!$D$20,Pricing!$D$30,Pricing!$D$40)</f>
        <v>0</v>
      </c>
      <c r="G68" s="37" t="n">
        <f aca="false">G32*Pricing!$D$6*Assumptions!$C$153*CHOOSE(Assumptions!$C$121,Pricing!$D$20,Pricing!$D$30,Pricing!$D$40)</f>
        <v>0</v>
      </c>
      <c r="H68" s="37" t="n">
        <f aca="false">H32*Pricing!$D$6*Assumptions!$C$153*CHOOSE(Assumptions!$C$121,Pricing!$D$20,Pricing!$D$30,Pricing!$D$40)</f>
        <v>0</v>
      </c>
      <c r="I68" s="37" t="n">
        <f aca="false">I32*Pricing!$D$6*Assumptions!$C$153*CHOOSE(Assumptions!$C$121,Pricing!$D$20,Pricing!$D$30,Pricing!$D$40)</f>
        <v>0</v>
      </c>
      <c r="J68" s="37" t="n">
        <f aca="false">J32*Pricing!$D$6*Assumptions!$C$153*CHOOSE(Assumptions!$C$121,Pricing!$D$20,Pricing!$D$30,Pricing!$D$40)</f>
        <v>0</v>
      </c>
      <c r="K68" s="37" t="n">
        <f aca="false">K32*Pricing!$D$6*Assumptions!$C$153*CHOOSE(Assumptions!$C$121,Pricing!$D$20,Pricing!$D$30,Pricing!$D$40)</f>
        <v>0</v>
      </c>
      <c r="L68" s="37" t="n">
        <f aca="false">L32*Pricing!$D$6*Assumptions!$C$153*CHOOSE(Assumptions!$C$121,Pricing!$D$20,Pricing!$D$30,Pricing!$D$40)</f>
        <v>0</v>
      </c>
      <c r="M68" s="37" t="n">
        <f aca="false">M32*Pricing!$D$6*Assumptions!$C$153*CHOOSE(Assumptions!$C$121,Pricing!$D$20,Pricing!$D$30,Pricing!$D$40)</f>
        <v>0</v>
      </c>
      <c r="N68" s="37" t="n">
        <f aca="false">N32*Pricing!$D$6*Assumptions!$C$153*CHOOSE(Assumptions!$C$121,Pricing!$D$20,Pricing!$D$30,Pricing!$D$40)</f>
        <v>57.8662514583334</v>
      </c>
      <c r="O68" s="37" t="n">
        <f aca="false">O32*Pricing!$D$6*Assumptions!$C$153*CHOOSE(Assumptions!$C$121,Pricing!$D$20,Pricing!$D$30,Pricing!$D$40)</f>
        <v>123.544446863542</v>
      </c>
      <c r="P68" s="37" t="n">
        <f aca="false">P32*Pricing!$D$6*Assumptions!$C$153*CHOOSE(Assumptions!$C$121,Pricing!$D$20,Pricing!$D$30,Pricing!$D$40)</f>
        <v>196.917407056422</v>
      </c>
      <c r="Q68" s="37" t="n">
        <f aca="false">Q32*Pricing!$D$6*Assumptions!$C$153*CHOOSE(Assumptions!$C$121,Pricing!$D$20,Pricing!$D$30,Pricing!$D$40)</f>
        <v>277.869710565159</v>
      </c>
      <c r="R68" s="37" t="n">
        <f aca="false">R32*Pricing!$D$6*Assumptions!$C$153*CHOOSE(Assumptions!$C$121,Pricing!$D$20,Pricing!$D$30,Pricing!$D$40)</f>
        <v>366.287667240015</v>
      </c>
      <c r="S68" s="37" t="n">
        <f aca="false">S32*Pricing!$D$6*Assumptions!$C$153*CHOOSE(Assumptions!$C$121,Pricing!$D$20,Pricing!$D$30,Pricing!$D$40)</f>
        <v>462.059292283498</v>
      </c>
      <c r="T68" s="37" t="n">
        <f aca="false">T32*Pricing!$D$6*Assumptions!$C$153*CHOOSE(Assumptions!$C$121,Pricing!$D$20,Pricing!$D$30,Pricing!$D$40)</f>
        <v>565.074280670079</v>
      </c>
      <c r="U68" s="37" t="n">
        <f aca="false">U32*Pricing!$D$6*Assumptions!$C$153*CHOOSE(Assumptions!$C$121,Pricing!$D$20,Pricing!$D$30,Pricing!$D$40)</f>
        <v>675.223981949611</v>
      </c>
      <c r="V68" s="37" t="n">
        <f aca="false">V32*Pricing!$D$6*Assumptions!$C$153*CHOOSE(Assumptions!$C$121,Pricing!$D$20,Pricing!$D$30,Pricing!$D$40)</f>
        <v>792.4013754287</v>
      </c>
      <c r="W68" s="37" t="n">
        <f aca="false">W32*Pricing!$D$6*Assumptions!$C$153*CHOOSE(Assumptions!$C$121,Pricing!$D$20,Pricing!$D$30,Pricing!$D$40)</f>
        <v>916.501045724353</v>
      </c>
      <c r="X68" s="37" t="n">
        <f aca="false">X32*Pricing!$D$6*Assumptions!$C$153*CHOOSE(Assumptions!$C$121,Pricing!$D$20,Pricing!$D$30,Pricing!$D$40)</f>
        <v>1047.41915868432</v>
      </c>
      <c r="Y68" s="37" t="n">
        <f aca="false">Y32*Pricing!$D$6*Assumptions!$C$153*CHOOSE(Assumptions!$C$121,Pricing!$D$20,Pricing!$D$30,Pricing!$D$40)</f>
        <v>1185.05343766864</v>
      </c>
      <c r="Z68" s="37" t="n">
        <f aca="false">Z32*Pricing!$D$6*Assumptions!$C$153*CHOOSE(Assumptions!$C$121,Pricing!$D$20,Pricing!$D$30,Pricing!$D$40)</f>
        <v>1329.30314018694</v>
      </c>
      <c r="AA68" s="37" t="n">
        <f aca="false">AA32*Pricing!$D$6*Assumptions!$C$153*CHOOSE(Assumptions!$C$121,Pricing!$D$20,Pricing!$D$30,Pricing!$D$40)</f>
        <v>1480.06903488622</v>
      </c>
      <c r="AB68" s="37" t="n">
        <f aca="false">AB32*Pricing!$D$6*Assumptions!$C$153*CHOOSE(Assumptions!$C$121,Pricing!$D$20,Pricing!$D$30,Pricing!$D$40)</f>
        <v>1637.25337888376</v>
      </c>
      <c r="AC68" s="37" t="n">
        <f aca="false">AC32*Pricing!$D$6*Assumptions!$C$153*CHOOSE(Assumptions!$C$121,Pricing!$D$20,Pricing!$D$30,Pricing!$D$40)</f>
        <v>1800.75989544009</v>
      </c>
      <c r="AD68" s="37" t="n">
        <f aca="false">AD32*Pricing!$D$6*Assumptions!$C$153*CHOOSE(Assumptions!$C$121,Pricing!$D$20,Pricing!$D$30,Pricing!$D$40)</f>
        <v>1970.49375196682</v>
      </c>
      <c r="AE68" s="37" t="n">
        <f aca="false">AE32*Pricing!$D$6*Assumptions!$C$153*CHOOSE(Assumptions!$C$121,Pricing!$D$20,Pricing!$D$30,Pricing!$D$40)</f>
        <v>2146.3615383644</v>
      </c>
      <c r="AF68" s="37" t="n">
        <f aca="false">AF32*Pricing!$D$6*Assumptions!$C$153*CHOOSE(Assumptions!$C$121,Pricing!$D$20,Pricing!$D$30,Pricing!$D$40)</f>
        <v>2328.27124568477</v>
      </c>
      <c r="AG68" s="37" t="n">
        <f aca="false">AG32*Pricing!$D$6*Assumptions!$C$153*CHOOSE(Assumptions!$C$121,Pricing!$D$20,Pricing!$D$30,Pricing!$D$40)</f>
        <v>2516.13224511408</v>
      </c>
      <c r="AH68" s="37" t="n">
        <f aca="false">AH32*Pricing!$D$6*Assumptions!$C$153*CHOOSE(Assumptions!$C$121,Pricing!$D$20,Pricing!$D$30,Pricing!$D$40)</f>
        <v>2709.8552672707</v>
      </c>
      <c r="AI68" s="37" t="n">
        <f aca="false">AI32*Pricing!$D$6*Assumptions!$C$153*CHOOSE(Assumptions!$C$121,Pricing!$D$20,Pricing!$D$30,Pricing!$D$40)</f>
        <v>2909.35238181373</v>
      </c>
      <c r="AJ68" s="37" t="n">
        <f aca="false">AJ32*Pricing!$D$6*Assumptions!$C$153*CHOOSE(Assumptions!$C$121,Pricing!$D$20,Pricing!$D$30,Pricing!$D$40)</f>
        <v>3114.53697735735</v>
      </c>
      <c r="AK68" s="37" t="n">
        <f aca="false">AK32*Pricing!$D$6*Assumptions!$C$153*CHOOSE(Assumptions!$C$121,Pricing!$D$20,Pricing!$D$30,Pricing!$D$40)</f>
        <v>3325.32374168658</v>
      </c>
      <c r="AL68" s="37" t="n">
        <f aca="false">AL32*Pricing!$D$6*Assumptions!$C$153*CHOOSE(Assumptions!$C$121,Pricing!$D$20,Pricing!$D$30,Pricing!$D$40)</f>
        <v>3541.62864226961</v>
      </c>
    </row>
    <row r="69" customFormat="false" ht="15" hidden="false" customHeight="false" outlineLevel="0" collapsed="false">
      <c r="A69" s="9" t="s">
        <v>613</v>
      </c>
      <c r="B69" s="2" t="s">
        <v>105</v>
      </c>
      <c r="C69" s="37" t="n">
        <f aca="false">C33*Pricing!$E$6*Assumptions!$C$153*CHOOSE(Assumptions!$C$121,Pricing!$E$20,Pricing!$E$30,Pricing!$E$40)</f>
        <v>0</v>
      </c>
      <c r="D69" s="37" t="n">
        <f aca="false">D33*Pricing!$E$6*Assumptions!$C$153*CHOOSE(Assumptions!$C$121,Pricing!$E$20,Pricing!$E$30,Pricing!$E$40)</f>
        <v>0</v>
      </c>
      <c r="E69" s="37" t="n">
        <f aca="false">E33*Pricing!$E$6*Assumptions!$C$153*CHOOSE(Assumptions!$C$121,Pricing!$E$20,Pricing!$E$30,Pricing!$E$40)</f>
        <v>0</v>
      </c>
      <c r="F69" s="37" t="n">
        <f aca="false">F33*Pricing!$E$6*Assumptions!$C$153*CHOOSE(Assumptions!$C$121,Pricing!$E$20,Pricing!$E$30,Pricing!$E$40)</f>
        <v>0</v>
      </c>
      <c r="G69" s="37" t="n">
        <f aca="false">G33*Pricing!$E$6*Assumptions!$C$153*CHOOSE(Assumptions!$C$121,Pricing!$E$20,Pricing!$E$30,Pricing!$E$40)</f>
        <v>0</v>
      </c>
      <c r="H69" s="37" t="n">
        <f aca="false">H33*Pricing!$E$6*Assumptions!$C$153*CHOOSE(Assumptions!$C$121,Pricing!$E$20,Pricing!$E$30,Pricing!$E$40)</f>
        <v>0</v>
      </c>
      <c r="I69" s="37" t="n">
        <f aca="false">I33*Pricing!$E$6*Assumptions!$C$153*CHOOSE(Assumptions!$C$121,Pricing!$E$20,Pricing!$E$30,Pricing!$E$40)</f>
        <v>0</v>
      </c>
      <c r="J69" s="37" t="n">
        <f aca="false">J33*Pricing!$E$6*Assumptions!$C$153*CHOOSE(Assumptions!$C$121,Pricing!$E$20,Pricing!$E$30,Pricing!$E$40)</f>
        <v>0</v>
      </c>
      <c r="K69" s="37" t="n">
        <f aca="false">K33*Pricing!$E$6*Assumptions!$C$153*CHOOSE(Assumptions!$C$121,Pricing!$E$20,Pricing!$E$30,Pricing!$E$40)</f>
        <v>0</v>
      </c>
      <c r="L69" s="37" t="n">
        <f aca="false">L33*Pricing!$E$6*Assumptions!$C$153*CHOOSE(Assumptions!$C$121,Pricing!$E$20,Pricing!$E$30,Pricing!$E$40)</f>
        <v>0</v>
      </c>
      <c r="M69" s="37" t="n">
        <f aca="false">M33*Pricing!$E$6*Assumptions!$C$153*CHOOSE(Assumptions!$C$121,Pricing!$E$20,Pricing!$E$30,Pricing!$E$40)</f>
        <v>0</v>
      </c>
      <c r="N69" s="37" t="n">
        <f aca="false">N33*Pricing!$E$6*Assumptions!$C$153*CHOOSE(Assumptions!$C$121,Pricing!$E$20,Pricing!$E$30,Pricing!$E$40)</f>
        <v>0</v>
      </c>
      <c r="O69" s="37" t="n">
        <f aca="false">O33*Pricing!$E$6*Assumptions!$C$153*CHOOSE(Assumptions!$C$121,Pricing!$E$20,Pricing!$E$30,Pricing!$E$40)</f>
        <v>0</v>
      </c>
      <c r="P69" s="37" t="n">
        <f aca="false">P33*Pricing!$E$6*Assumptions!$C$153*CHOOSE(Assumptions!$C$121,Pricing!$E$20,Pricing!$E$30,Pricing!$E$40)</f>
        <v>0</v>
      </c>
      <c r="Q69" s="37" t="n">
        <f aca="false">Q33*Pricing!$E$6*Assumptions!$C$153*CHOOSE(Assumptions!$C$121,Pricing!$E$20,Pricing!$E$30,Pricing!$E$40)</f>
        <v>0</v>
      </c>
      <c r="R69" s="37" t="n">
        <f aca="false">R33*Pricing!$E$6*Assumptions!$C$153*CHOOSE(Assumptions!$C$121,Pricing!$E$20,Pricing!$E$30,Pricing!$E$40)</f>
        <v>0</v>
      </c>
      <c r="S69" s="37" t="n">
        <f aca="false">S33*Pricing!$E$6*Assumptions!$C$153*CHOOSE(Assumptions!$C$121,Pricing!$E$20,Pricing!$E$30,Pricing!$E$40)</f>
        <v>0</v>
      </c>
      <c r="T69" s="37" t="n">
        <f aca="false">T33*Pricing!$E$6*Assumptions!$C$153*CHOOSE(Assumptions!$C$121,Pricing!$E$20,Pricing!$E$30,Pricing!$E$40)</f>
        <v>122.695883645833</v>
      </c>
      <c r="U69" s="37" t="n">
        <f aca="false">U33*Pricing!$E$6*Assumptions!$C$153*CHOOSE(Assumptions!$C$121,Pricing!$E$20,Pricing!$E$30,Pricing!$E$40)</f>
        <v>253.980479146875</v>
      </c>
      <c r="V69" s="37" t="n">
        <f aca="false">V33*Pricing!$E$6*Assumptions!$C$153*CHOOSE(Assumptions!$C$121,Pricing!$E$20,Pricing!$E$30,Pricing!$E$40)</f>
        <v>393.767899384573</v>
      </c>
      <c r="W69" s="37" t="n">
        <f aca="false">W33*Pricing!$E$6*Assumptions!$C$153*CHOOSE(Assumptions!$C$121,Pricing!$E$20,Pricing!$E$30,Pricing!$E$40)</f>
        <v>541.97311611156</v>
      </c>
      <c r="X69" s="37" t="n">
        <f aca="false">X33*Pricing!$E$6*Assumptions!$C$153*CHOOSE(Assumptions!$C$121,Pricing!$E$20,Pricing!$E$30,Pricing!$E$40)</f>
        <v>698.511951362945</v>
      </c>
      <c r="Y69" s="37" t="n">
        <f aca="false">Y33*Pricing!$E$6*Assumptions!$C$153*CHOOSE(Assumptions!$C$121,Pricing!$E$20,Pricing!$E$30,Pricing!$E$40)</f>
        <v>863.301068953482</v>
      </c>
      <c r="Z69" s="37" t="n">
        <f aca="false">Z33*Pricing!$E$6*Assumptions!$C$153*CHOOSE(Assumptions!$C$121,Pricing!$E$20,Pricing!$E$30,Pricing!$E$40)</f>
        <v>1036.25796605978</v>
      </c>
      <c r="AA69" s="37" t="n">
        <f aca="false">AA33*Pricing!$E$6*Assumptions!$C$153*CHOOSE(Assumptions!$C$121,Pricing!$E$20,Pricing!$E$30,Pricing!$E$40)</f>
        <v>1217.30096488668</v>
      </c>
      <c r="AB69" s="37" t="n">
        <f aca="false">AB33*Pricing!$E$6*Assumptions!$C$153*CHOOSE(Assumptions!$C$121,Pricing!$E$20,Pricing!$E$30,Pricing!$E$40)</f>
        <v>1406.34920441698</v>
      </c>
      <c r="AC69" s="37" t="n">
        <f aca="false">AC33*Pricing!$E$6*Assumptions!$C$153*CHOOSE(Assumptions!$C$121,Pricing!$E$20,Pricing!$E$30,Pricing!$E$40)</f>
        <v>1603.32263224365</v>
      </c>
      <c r="AD69" s="37" t="n">
        <f aca="false">AD33*Pricing!$E$6*Assumptions!$C$153*CHOOSE(Assumptions!$C$121,Pricing!$E$20,Pricing!$E$30,Pricing!$E$40)</f>
        <v>1808.14199648371</v>
      </c>
      <c r="AE69" s="37" t="n">
        <f aca="false">AE33*Pricing!$E$6*Assumptions!$C$153*CHOOSE(Assumptions!$C$121,Pricing!$E$20,Pricing!$E$30,Pricing!$E$40)</f>
        <v>2020.72883777304</v>
      </c>
      <c r="AF69" s="37" t="n">
        <f aca="false">AF33*Pricing!$E$6*Assumptions!$C$153*CHOOSE(Assumptions!$C$121,Pricing!$E$20,Pricing!$E$30,Pricing!$E$40)</f>
        <v>2241.00548134114</v>
      </c>
      <c r="AG69" s="37" t="n">
        <f aca="false">AG33*Pricing!$E$6*Assumptions!$C$153*CHOOSE(Assumptions!$C$121,Pricing!$E$20,Pricing!$E$30,Pricing!$E$40)</f>
        <v>2468.89502916523</v>
      </c>
      <c r="AH69" s="37" t="n">
        <f aca="false">AH33*Pricing!$E$6*Assumptions!$C$153*CHOOSE(Assumptions!$C$121,Pricing!$E$20,Pricing!$E$30,Pricing!$E$40)</f>
        <v>2704.32135220275</v>
      </c>
      <c r="AI69" s="37" t="n">
        <f aca="false">AI33*Pricing!$E$6*Assumptions!$C$153*CHOOSE(Assumptions!$C$121,Pricing!$E$20,Pricing!$E$30,Pricing!$E$40)</f>
        <v>2947.20908270155</v>
      </c>
      <c r="AJ69" s="37" t="n">
        <f aca="false">AJ33*Pricing!$E$6*Assumptions!$C$153*CHOOSE(Assumptions!$C$121,Pricing!$E$20,Pricing!$E$30,Pricing!$E$40)</f>
        <v>3197.48360658704</v>
      </c>
      <c r="AK69" s="37" t="n">
        <f aca="false">AK33*Pricing!$E$6*Assumptions!$C$153*CHOOSE(Assumptions!$C$121,Pricing!$E$20,Pricing!$E$30,Pricing!$E$40)</f>
        <v>3455.07105592533</v>
      </c>
      <c r="AL69" s="37" t="n">
        <f aca="false">AL33*Pricing!$E$6*Assumptions!$C$153*CHOOSE(Assumptions!$C$121,Pricing!$E$20,Pricing!$E$30,Pricing!$E$40)</f>
        <v>3719.89830146191</v>
      </c>
    </row>
    <row r="70" customFormat="false" ht="15" hidden="false" customHeight="false" outlineLevel="0" collapsed="false">
      <c r="A70" s="9" t="s">
        <v>614</v>
      </c>
      <c r="B70" s="2" t="s">
        <v>105</v>
      </c>
      <c r="C70" s="37" t="n">
        <f aca="false">C30*Pricing!$B$6*Assumptions!$C$154*CHOOSE(Assumptions!$C$121,Pricing!$B$20,Pricing!$B$30,Pricing!$B$40)+C31*Pricing!$C$6*Assumptions!$C$154*CHOOSE(Assumptions!$C$121,Pricing!$C$20,Pricing!$C$30,Pricing!$C$40)+C32*Pricing!$D$6*Assumptions!$C$154*CHOOSE(Assumptions!$C$121,Pricing!$D$20,Pricing!$D$30,Pricing!$D$40)+C33*Pricing!$E$6*Assumptions!$C$154*CHOOSE(Assumptions!$C$121,Pricing!$E$20,Pricing!$E$30,Pricing!$E$40)</f>
        <v>0</v>
      </c>
      <c r="D70" s="37" t="n">
        <f aca="false">D30*Pricing!$B$6*Assumptions!$C$154*CHOOSE(Assumptions!$C$121,Pricing!$B$20,Pricing!$B$30,Pricing!$B$40)+D31*Pricing!$C$6*Assumptions!$C$154*CHOOSE(Assumptions!$C$121,Pricing!$C$20,Pricing!$C$30,Pricing!$C$40)+D32*Pricing!$D$6*Assumptions!$C$154*CHOOSE(Assumptions!$C$121,Pricing!$D$20,Pricing!$D$30,Pricing!$D$40)+D33*Pricing!$E$6*Assumptions!$C$154*CHOOSE(Assumptions!$C$121,Pricing!$E$20,Pricing!$E$30,Pricing!$E$40)</f>
        <v>0</v>
      </c>
      <c r="E70" s="37" t="n">
        <f aca="false">E30*Pricing!$B$6*Assumptions!$C$154*CHOOSE(Assumptions!$C$121,Pricing!$B$20,Pricing!$B$30,Pricing!$B$40)+E31*Pricing!$C$6*Assumptions!$C$154*CHOOSE(Assumptions!$C$121,Pricing!$C$20,Pricing!$C$30,Pricing!$C$40)+E32*Pricing!$D$6*Assumptions!$C$154*CHOOSE(Assumptions!$C$121,Pricing!$D$20,Pricing!$D$30,Pricing!$D$40)+E33*Pricing!$E$6*Assumptions!$C$154*CHOOSE(Assumptions!$C$121,Pricing!$E$20,Pricing!$E$30,Pricing!$E$40)</f>
        <v>0</v>
      </c>
      <c r="F70" s="37" t="n">
        <f aca="false">F30*Pricing!$B$6*Assumptions!$C$154*CHOOSE(Assumptions!$C$121,Pricing!$B$20,Pricing!$B$30,Pricing!$B$40)+F31*Pricing!$C$6*Assumptions!$C$154*CHOOSE(Assumptions!$C$121,Pricing!$C$20,Pricing!$C$30,Pricing!$C$40)+F32*Pricing!$D$6*Assumptions!$C$154*CHOOSE(Assumptions!$C$121,Pricing!$D$20,Pricing!$D$30,Pricing!$D$40)+F33*Pricing!$E$6*Assumptions!$C$154*CHOOSE(Assumptions!$C$121,Pricing!$E$20,Pricing!$E$30,Pricing!$E$40)</f>
        <v>0</v>
      </c>
      <c r="G70" s="37" t="n">
        <f aca="false">G30*Pricing!$B$6*Assumptions!$C$154*CHOOSE(Assumptions!$C$121,Pricing!$B$20,Pricing!$B$30,Pricing!$B$40)+G31*Pricing!$C$6*Assumptions!$C$154*CHOOSE(Assumptions!$C$121,Pricing!$C$20,Pricing!$C$30,Pricing!$C$40)+G32*Pricing!$D$6*Assumptions!$C$154*CHOOSE(Assumptions!$C$121,Pricing!$D$20,Pricing!$D$30,Pricing!$D$40)+G33*Pricing!$E$6*Assumptions!$C$154*CHOOSE(Assumptions!$C$121,Pricing!$E$20,Pricing!$E$30,Pricing!$E$40)</f>
        <v>0</v>
      </c>
      <c r="H70" s="37" t="n">
        <f aca="false">H30*Pricing!$B$6*Assumptions!$C$154*CHOOSE(Assumptions!$C$121,Pricing!$B$20,Pricing!$B$30,Pricing!$B$40)+H31*Pricing!$C$6*Assumptions!$C$154*CHOOSE(Assumptions!$C$121,Pricing!$C$20,Pricing!$C$30,Pricing!$C$40)+H32*Pricing!$D$6*Assumptions!$C$154*CHOOSE(Assumptions!$C$121,Pricing!$D$20,Pricing!$D$30,Pricing!$D$40)+H33*Pricing!$E$6*Assumptions!$C$154*CHOOSE(Assumptions!$C$121,Pricing!$E$20,Pricing!$E$30,Pricing!$E$40)</f>
        <v>0</v>
      </c>
      <c r="I70" s="37" t="n">
        <f aca="false">I30*Pricing!$B$6*Assumptions!$C$154*CHOOSE(Assumptions!$C$121,Pricing!$B$20,Pricing!$B$30,Pricing!$B$40)+I31*Pricing!$C$6*Assumptions!$C$154*CHOOSE(Assumptions!$C$121,Pricing!$C$20,Pricing!$C$30,Pricing!$C$40)+I32*Pricing!$D$6*Assumptions!$C$154*CHOOSE(Assumptions!$C$121,Pricing!$D$20,Pricing!$D$30,Pricing!$D$40)+I33*Pricing!$E$6*Assumptions!$C$154*CHOOSE(Assumptions!$C$121,Pricing!$E$20,Pricing!$E$30,Pricing!$E$40)</f>
        <v>0</v>
      </c>
      <c r="J70" s="37" t="n">
        <f aca="false">J30*Pricing!$B$6*Assumptions!$C$154*CHOOSE(Assumptions!$C$121,Pricing!$B$20,Pricing!$B$30,Pricing!$B$40)+J31*Pricing!$C$6*Assumptions!$C$154*CHOOSE(Assumptions!$C$121,Pricing!$C$20,Pricing!$C$30,Pricing!$C$40)+J32*Pricing!$D$6*Assumptions!$C$154*CHOOSE(Assumptions!$C$121,Pricing!$D$20,Pricing!$D$30,Pricing!$D$40)+J33*Pricing!$E$6*Assumptions!$C$154*CHOOSE(Assumptions!$C$121,Pricing!$E$20,Pricing!$E$30,Pricing!$E$40)</f>
        <v>0</v>
      </c>
      <c r="K70" s="37" t="n">
        <f aca="false">K30*Pricing!$B$6*Assumptions!$C$154*CHOOSE(Assumptions!$C$121,Pricing!$B$20,Pricing!$B$30,Pricing!$B$40)+K31*Pricing!$C$6*Assumptions!$C$154*CHOOSE(Assumptions!$C$121,Pricing!$C$20,Pricing!$C$30,Pricing!$C$40)+K32*Pricing!$D$6*Assumptions!$C$154*CHOOSE(Assumptions!$C$121,Pricing!$D$20,Pricing!$D$30,Pricing!$D$40)+K33*Pricing!$E$6*Assumptions!$C$154*CHOOSE(Assumptions!$C$121,Pricing!$E$20,Pricing!$E$30,Pricing!$E$40)</f>
        <v>1.72380794666667</v>
      </c>
      <c r="L70" s="37" t="n">
        <f aca="false">L30*Pricing!$B$6*Assumptions!$C$154*CHOOSE(Assumptions!$C$121,Pricing!$B$20,Pricing!$B$30,Pricing!$B$40)+L31*Pricing!$C$6*Assumptions!$C$154*CHOOSE(Assumptions!$C$121,Pricing!$C$20,Pricing!$C$30,Pricing!$C$40)+L32*Pricing!$D$6*Assumptions!$C$154*CHOOSE(Assumptions!$C$121,Pricing!$D$20,Pricing!$D$30,Pricing!$D$40)+L33*Pricing!$E$6*Assumptions!$C$154*CHOOSE(Assumptions!$C$121,Pricing!$E$20,Pricing!$E$30,Pricing!$E$40)</f>
        <v>5.27715084551111</v>
      </c>
      <c r="M70" s="37" t="n">
        <f aca="false">M30*Pricing!$B$6*Assumptions!$C$154*CHOOSE(Assumptions!$C$121,Pricing!$B$20,Pricing!$B$30,Pricing!$B$40)+M31*Pricing!$C$6*Assumptions!$C$154*CHOOSE(Assumptions!$C$121,Pricing!$C$20,Pricing!$C$30,Pricing!$C$40)+M32*Pricing!$D$6*Assumptions!$C$154*CHOOSE(Assumptions!$C$121,Pricing!$D$20,Pricing!$D$30,Pricing!$D$40)+M33*Pricing!$E$6*Assumptions!$C$154*CHOOSE(Assumptions!$C$121,Pricing!$E$20,Pricing!$E$30,Pricing!$E$40)</f>
        <v>9.27535688064089</v>
      </c>
      <c r="N70" s="37" t="n">
        <f aca="false">N30*Pricing!$B$6*Assumptions!$C$154*CHOOSE(Assumptions!$C$121,Pricing!$B$20,Pricing!$B$30,Pricing!$B$40)+N31*Pricing!$C$6*Assumptions!$C$154*CHOOSE(Assumptions!$C$121,Pricing!$C$20,Pricing!$C$30,Pricing!$C$40)+N32*Pricing!$D$6*Assumptions!$C$154*CHOOSE(Assumptions!$C$121,Pricing!$D$20,Pricing!$D$30,Pricing!$D$40)+N33*Pricing!$E$6*Assumptions!$C$154*CHOOSE(Assumptions!$C$121,Pricing!$E$20,Pricing!$E$30,Pricing!$E$40)</f>
        <v>15.2442273327564</v>
      </c>
      <c r="O70" s="37" t="n">
        <f aca="false">O30*Pricing!$B$6*Assumptions!$C$154*CHOOSE(Assumptions!$C$121,Pricing!$B$20,Pricing!$B$30,Pricing!$B$40)+O31*Pricing!$C$6*Assumptions!$C$154*CHOOSE(Assumptions!$C$121,Pricing!$C$20,Pricing!$C$30,Pricing!$C$40)+O32*Pricing!$D$6*Assumptions!$C$154*CHOOSE(Assumptions!$C$121,Pricing!$D$20,Pricing!$D$30,Pricing!$D$40)+O33*Pricing!$E$6*Assumptions!$C$154*CHOOSE(Assumptions!$C$121,Pricing!$E$20,Pricing!$E$30,Pricing!$E$40)</f>
        <v>21.8323651512456</v>
      </c>
      <c r="P70" s="37" t="n">
        <f aca="false">P30*Pricing!$B$6*Assumptions!$C$154*CHOOSE(Assumptions!$C$121,Pricing!$B$20,Pricing!$B$30,Pricing!$B$40)+P31*Pricing!$C$6*Assumptions!$C$154*CHOOSE(Assumptions!$C$121,Pricing!$C$20,Pricing!$C$30,Pricing!$C$40)+P32*Pricing!$D$6*Assumptions!$C$154*CHOOSE(Assumptions!$C$121,Pricing!$D$20,Pricing!$D$30,Pricing!$D$40)+P33*Pricing!$E$6*Assumptions!$C$154*CHOOSE(Assumptions!$C$121,Pricing!$E$20,Pricing!$E$30,Pricing!$E$40)</f>
        <v>29.0206858690191</v>
      </c>
      <c r="Q70" s="37" t="n">
        <f aca="false">Q30*Pricing!$B$6*Assumptions!$C$154*CHOOSE(Assumptions!$C$121,Pricing!$B$20,Pricing!$B$30,Pricing!$B$40)+Q31*Pricing!$C$6*Assumptions!$C$154*CHOOSE(Assumptions!$C$121,Pricing!$C$20,Pricing!$C$30,Pricing!$C$40)+Q32*Pricing!$D$6*Assumptions!$C$154*CHOOSE(Assumptions!$C$121,Pricing!$D$20,Pricing!$D$30,Pricing!$D$40)+Q33*Pricing!$E$6*Assumptions!$C$154*CHOOSE(Assumptions!$C$121,Pricing!$E$20,Pricing!$E$30,Pricing!$E$40)</f>
        <v>36.7907814213557</v>
      </c>
      <c r="R70" s="37" t="n">
        <f aca="false">R30*Pricing!$B$6*Assumptions!$C$154*CHOOSE(Assumptions!$C$121,Pricing!$B$20,Pricing!$B$30,Pricing!$B$40)+R31*Pricing!$C$6*Assumptions!$C$154*CHOOSE(Assumptions!$C$121,Pricing!$C$20,Pricing!$C$30,Pricing!$C$40)+R32*Pricing!$D$6*Assumptions!$C$154*CHOOSE(Assumptions!$C$121,Pricing!$D$20,Pricing!$D$30,Pricing!$D$40)+R33*Pricing!$E$6*Assumptions!$C$154*CHOOSE(Assumptions!$C$121,Pricing!$E$20,Pricing!$E$30,Pricing!$E$40)</f>
        <v>45.1248942168821</v>
      </c>
      <c r="S70" s="37" t="n">
        <f aca="false">S30*Pricing!$B$6*Assumptions!$C$154*CHOOSE(Assumptions!$C$121,Pricing!$B$20,Pricing!$B$30,Pricing!$B$40)+S31*Pricing!$C$6*Assumptions!$C$154*CHOOSE(Assumptions!$C$121,Pricing!$C$20,Pricing!$C$30,Pricing!$C$40)+S32*Pricing!$D$6*Assumptions!$C$154*CHOOSE(Assumptions!$C$121,Pricing!$D$20,Pricing!$D$30,Pricing!$D$40)+S33*Pricing!$E$6*Assumptions!$C$154*CHOOSE(Assumptions!$C$121,Pricing!$E$20,Pricing!$E$30,Pricing!$E$40)</f>
        <v>54.0058922456634</v>
      </c>
      <c r="T70" s="37" t="n">
        <f aca="false">T30*Pricing!$B$6*Assumptions!$C$154*CHOOSE(Assumptions!$C$121,Pricing!$B$20,Pricing!$B$30,Pricing!$B$40)+T31*Pricing!$C$6*Assumptions!$C$154*CHOOSE(Assumptions!$C$121,Pricing!$C$20,Pricing!$C$30,Pricing!$C$40)+T32*Pricing!$D$6*Assumptions!$C$154*CHOOSE(Assumptions!$C$121,Pricing!$D$20,Pricing!$D$30,Pricing!$D$40)+T33*Pricing!$E$6*Assumptions!$C$154*CHOOSE(Assumptions!$C$121,Pricing!$E$20,Pricing!$E$30,Pricing!$E$40)</f>
        <v>66.6891354124078</v>
      </c>
      <c r="U70" s="37" t="n">
        <f aca="false">U30*Pricing!$B$6*Assumptions!$C$154*CHOOSE(Assumptions!$C$121,Pricing!$B$20,Pricing!$B$30,Pricing!$B$40)+U31*Pricing!$C$6*Assumptions!$C$154*CHOOSE(Assumptions!$C$121,Pricing!$C$20,Pricing!$C$30,Pricing!$C$40)+U32*Pricing!$D$6*Assumptions!$C$154*CHOOSE(Assumptions!$C$121,Pricing!$D$20,Pricing!$D$30,Pricing!$D$40)+U33*Pricing!$E$6*Assumptions!$C$154*CHOOSE(Assumptions!$C$121,Pricing!$E$20,Pricing!$E$30,Pricing!$E$40)</f>
        <v>80.1158142173706</v>
      </c>
      <c r="V70" s="37" t="n">
        <f aca="false">V30*Pricing!$B$6*Assumptions!$C$154*CHOOSE(Assumptions!$C$121,Pricing!$B$20,Pricing!$B$30,Pricing!$B$40)+V31*Pricing!$C$6*Assumptions!$C$154*CHOOSE(Assumptions!$C$121,Pricing!$C$20,Pricing!$C$30,Pricing!$C$40)+V32*Pricing!$D$6*Assumptions!$C$154*CHOOSE(Assumptions!$C$121,Pricing!$D$20,Pricing!$D$30,Pricing!$D$40)+V33*Pricing!$E$6*Assumptions!$C$154*CHOOSE(Assumptions!$C$121,Pricing!$E$20,Pricing!$E$30,Pricing!$E$40)</f>
        <v>94.268243463723</v>
      </c>
      <c r="W70" s="37" t="n">
        <f aca="false">W30*Pricing!$B$6*Assumptions!$C$154*CHOOSE(Assumptions!$C$121,Pricing!$B$20,Pricing!$B$30,Pricing!$B$40)+W31*Pricing!$C$6*Assumptions!$C$154*CHOOSE(Assumptions!$C$121,Pricing!$C$20,Pricing!$C$30,Pricing!$C$40)+W32*Pricing!$D$6*Assumptions!$C$154*CHOOSE(Assumptions!$C$121,Pricing!$D$20,Pricing!$D$30,Pricing!$D$40)+W33*Pricing!$E$6*Assumptions!$C$154*CHOOSE(Assumptions!$C$121,Pricing!$E$20,Pricing!$E$30,Pricing!$E$40)</f>
        <v>109.129296417935</v>
      </c>
      <c r="X70" s="37" t="n">
        <f aca="false">X30*Pricing!$B$6*Assumptions!$C$154*CHOOSE(Assumptions!$C$121,Pricing!$B$20,Pricing!$B$30,Pricing!$B$40)+X31*Pricing!$C$6*Assumptions!$C$154*CHOOSE(Assumptions!$C$121,Pricing!$C$20,Pricing!$C$30,Pricing!$C$40)+X32*Pricing!$D$6*Assumptions!$C$154*CHOOSE(Assumptions!$C$121,Pricing!$D$20,Pricing!$D$30,Pricing!$D$40)+X33*Pricing!$E$6*Assumptions!$C$154*CHOOSE(Assumptions!$C$121,Pricing!$E$20,Pricing!$E$30,Pricing!$E$40)</f>
        <v>124.682384270533</v>
      </c>
      <c r="Y70" s="37" t="n">
        <f aca="false">Y30*Pricing!$B$6*Assumptions!$C$154*CHOOSE(Assumptions!$C$121,Pricing!$B$20,Pricing!$B$30,Pricing!$B$40)+Y31*Pricing!$C$6*Assumptions!$C$154*CHOOSE(Assumptions!$C$121,Pricing!$C$20,Pricing!$C$30,Pricing!$C$40)+Y32*Pricing!$D$6*Assumptions!$C$154*CHOOSE(Assumptions!$C$121,Pricing!$D$20,Pricing!$D$30,Pricing!$D$40)+Y33*Pricing!$E$6*Assumptions!$C$154*CHOOSE(Assumptions!$C$121,Pricing!$E$20,Pricing!$E$30,Pricing!$E$40)</f>
        <v>140.911436406142</v>
      </c>
      <c r="Z70" s="37" t="n">
        <f aca="false">Z30*Pricing!$B$6*Assumptions!$C$154*CHOOSE(Assumptions!$C$121,Pricing!$B$20,Pricing!$B$30,Pricing!$B$40)+Z31*Pricing!$C$6*Assumptions!$C$154*CHOOSE(Assumptions!$C$121,Pricing!$C$20,Pricing!$C$30,Pricing!$C$40)+Z32*Pricing!$D$6*Assumptions!$C$154*CHOOSE(Assumptions!$C$121,Pricing!$D$20,Pricing!$D$30,Pricing!$D$40)+Z33*Pricing!$E$6*Assumptions!$C$154*CHOOSE(Assumptions!$C$121,Pricing!$E$20,Pricing!$E$30,Pricing!$E$40)</f>
        <v>157.800881449833</v>
      </c>
      <c r="AA70" s="37" t="n">
        <f aca="false">AA30*Pricing!$B$6*Assumptions!$C$154*CHOOSE(Assumptions!$C$121,Pricing!$B$20,Pricing!$B$30,Pricing!$B$40)+AA31*Pricing!$C$6*Assumptions!$C$154*CHOOSE(Assumptions!$C$121,Pricing!$C$20,Pricing!$C$30,Pricing!$C$40)+AA32*Pricing!$D$6*Assumptions!$C$154*CHOOSE(Assumptions!$C$121,Pricing!$D$20,Pricing!$D$30,Pricing!$D$40)+AA33*Pricing!$E$6*Assumptions!$C$154*CHOOSE(Assumptions!$C$121,Pricing!$E$20,Pricing!$E$30,Pricing!$E$40)</f>
        <v>175.335629058171</v>
      </c>
      <c r="AB70" s="37" t="n">
        <f aca="false">AB30*Pricing!$B$6*Assumptions!$C$154*CHOOSE(Assumptions!$C$121,Pricing!$B$20,Pricing!$B$30,Pricing!$B$40)+AB31*Pricing!$C$6*Assumptions!$C$154*CHOOSE(Assumptions!$C$121,Pricing!$C$20,Pricing!$C$30,Pricing!$C$40)+AB32*Pricing!$D$6*Assumptions!$C$154*CHOOSE(Assumptions!$C$121,Pricing!$D$20,Pricing!$D$30,Pricing!$D$40)+AB33*Pricing!$E$6*Assumptions!$C$154*CHOOSE(Assumptions!$C$121,Pricing!$E$20,Pricing!$E$30,Pricing!$E$40)</f>
        <v>193.501052424663</v>
      </c>
      <c r="AC70" s="37" t="n">
        <f aca="false">AC30*Pricing!$B$6*Assumptions!$C$154*CHOOSE(Assumptions!$C$121,Pricing!$B$20,Pricing!$B$30,Pricing!$B$40)+AC31*Pricing!$C$6*Assumptions!$C$154*CHOOSE(Assumptions!$C$121,Pricing!$C$20,Pricing!$C$30,Pricing!$C$40)+AC32*Pricing!$D$6*Assumptions!$C$154*CHOOSE(Assumptions!$C$121,Pricing!$D$20,Pricing!$D$30,Pricing!$D$40)+AC33*Pricing!$E$6*Assumptions!$C$154*CHOOSE(Assumptions!$C$121,Pricing!$E$20,Pricing!$E$30,Pricing!$E$40)</f>
        <v>212.282971470578</v>
      </c>
      <c r="AD70" s="37" t="n">
        <f aca="false">AD30*Pricing!$B$6*Assumptions!$C$154*CHOOSE(Assumptions!$C$121,Pricing!$B$20,Pricing!$B$30,Pricing!$B$40)+AD31*Pricing!$C$6*Assumptions!$C$154*CHOOSE(Assumptions!$C$121,Pricing!$C$20,Pricing!$C$30,Pricing!$C$40)+AD32*Pricing!$D$6*Assumptions!$C$154*CHOOSE(Assumptions!$C$121,Pricing!$D$20,Pricing!$D$30,Pricing!$D$40)+AD33*Pricing!$E$6*Assumptions!$C$154*CHOOSE(Assumptions!$C$121,Pricing!$E$20,Pricing!$E$30,Pricing!$E$40)</f>
        <v>231.667636693304</v>
      </c>
      <c r="AE70" s="37" t="n">
        <f aca="false">AE30*Pricing!$B$6*Assumptions!$C$154*CHOOSE(Assumptions!$C$121,Pricing!$B$20,Pricing!$B$30,Pricing!$B$40)+AE31*Pricing!$C$6*Assumptions!$C$154*CHOOSE(Assumptions!$C$121,Pricing!$C$20,Pricing!$C$30,Pricing!$C$40)+AE32*Pricing!$D$6*Assumptions!$C$154*CHOOSE(Assumptions!$C$121,Pricing!$D$20,Pricing!$D$30,Pricing!$D$40)+AE33*Pricing!$E$6*Assumptions!$C$154*CHOOSE(Assumptions!$C$121,Pricing!$E$20,Pricing!$E$30,Pricing!$E$40)</f>
        <v>251.641713645563</v>
      </c>
      <c r="AF70" s="37" t="n">
        <f aca="false">AF30*Pricing!$B$6*Assumptions!$C$154*CHOOSE(Assumptions!$C$121,Pricing!$B$20,Pricing!$B$30,Pricing!$B$40)+AF31*Pricing!$C$6*Assumptions!$C$154*CHOOSE(Assumptions!$C$121,Pricing!$C$20,Pricing!$C$30,Pricing!$C$40)+AF32*Pricing!$D$6*Assumptions!$C$154*CHOOSE(Assumptions!$C$121,Pricing!$D$20,Pricing!$D$30,Pricing!$D$40)+AF33*Pricing!$E$6*Assumptions!$C$154*CHOOSE(Assumptions!$C$121,Pricing!$E$20,Pricing!$E$30,Pricing!$E$40)</f>
        <v>272.19226801992</v>
      </c>
      <c r="AG70" s="37" t="n">
        <f aca="false">AG30*Pricing!$B$6*Assumptions!$C$154*CHOOSE(Assumptions!$C$121,Pricing!$B$20,Pricing!$B$30,Pricing!$B$40)+AG31*Pricing!$C$6*Assumptions!$C$154*CHOOSE(Assumptions!$C$121,Pricing!$C$20,Pricing!$C$30,Pricing!$C$40)+AG32*Pricing!$D$6*Assumptions!$C$154*CHOOSE(Assumptions!$C$121,Pricing!$D$20,Pricing!$D$30,Pricing!$D$40)+AG33*Pricing!$E$6*Assumptions!$C$154*CHOOSE(Assumptions!$C$121,Pricing!$E$20,Pricing!$E$30,Pricing!$E$40)</f>
        <v>293.306751314071</v>
      </c>
      <c r="AH70" s="37" t="n">
        <f aca="false">AH30*Pricing!$B$6*Assumptions!$C$154*CHOOSE(Assumptions!$C$121,Pricing!$B$20,Pricing!$B$30,Pricing!$B$40)+AH31*Pricing!$C$6*Assumptions!$C$154*CHOOSE(Assumptions!$C$121,Pricing!$C$20,Pricing!$C$30,Pricing!$C$40)+AH32*Pricing!$D$6*Assumptions!$C$154*CHOOSE(Assumptions!$C$121,Pricing!$D$20,Pricing!$D$30,Pricing!$D$40)+AH33*Pricing!$E$6*Assumptions!$C$154*CHOOSE(Assumptions!$C$121,Pricing!$E$20,Pricing!$E$30,Pricing!$E$40)</f>
        <v>314.972987053409</v>
      </c>
      <c r="AI70" s="37" t="n">
        <f aca="false">AI30*Pricing!$B$6*Assumptions!$C$154*CHOOSE(Assumptions!$C$121,Pricing!$B$20,Pricing!$B$30,Pricing!$B$40)+AI31*Pricing!$C$6*Assumptions!$C$154*CHOOSE(Assumptions!$C$121,Pricing!$C$20,Pricing!$C$30,Pricing!$C$40)+AI32*Pricing!$D$6*Assumptions!$C$154*CHOOSE(Assumptions!$C$121,Pricing!$D$20,Pricing!$D$30,Pricing!$D$40)+AI33*Pricing!$E$6*Assumptions!$C$154*CHOOSE(Assumptions!$C$121,Pricing!$E$20,Pricing!$E$30,Pricing!$E$40)</f>
        <v>337.179157548354</v>
      </c>
      <c r="AJ70" s="37" t="n">
        <f aca="false">AJ30*Pricing!$B$6*Assumptions!$C$154*CHOOSE(Assumptions!$C$121,Pricing!$B$20,Pricing!$B$30,Pricing!$B$40)+AJ31*Pricing!$C$6*Assumptions!$C$154*CHOOSE(Assumptions!$C$121,Pricing!$C$20,Pricing!$C$30,Pricing!$C$40)+AJ32*Pricing!$D$6*Assumptions!$C$154*CHOOSE(Assumptions!$C$121,Pricing!$D$20,Pricing!$D$30,Pricing!$D$40)+AJ33*Pricing!$E$6*Assumptions!$C$154*CHOOSE(Assumptions!$C$121,Pricing!$E$20,Pricing!$E$30,Pricing!$E$40)</f>
        <v>359.913791164845</v>
      </c>
      <c r="AK70" s="37" t="n">
        <f aca="false">AK30*Pricing!$B$6*Assumptions!$C$154*CHOOSE(Assumptions!$C$121,Pricing!$B$20,Pricing!$B$30,Pricing!$B$40)+AK31*Pricing!$C$6*Assumptions!$C$154*CHOOSE(Assumptions!$C$121,Pricing!$C$20,Pricing!$C$30,Pricing!$C$40)+AK32*Pricing!$D$6*Assumptions!$C$154*CHOOSE(Assumptions!$C$121,Pricing!$D$20,Pricing!$D$30,Pricing!$D$40)+AK33*Pricing!$E$6*Assumptions!$C$154*CHOOSE(Assumptions!$C$121,Pricing!$E$20,Pricing!$E$30,Pricing!$E$40)</f>
        <v>383.16575008729</v>
      </c>
      <c r="AL70" s="37" t="n">
        <f aca="false">AL30*Pricing!$B$6*Assumptions!$C$154*CHOOSE(Assumptions!$C$121,Pricing!$B$20,Pricing!$B$30,Pricing!$B$40)+AL31*Pricing!$C$6*Assumptions!$C$154*CHOOSE(Assumptions!$C$121,Pricing!$C$20,Pricing!$C$30,Pricing!$C$40)+AL32*Pricing!$D$6*Assumptions!$C$154*CHOOSE(Assumptions!$C$121,Pricing!$D$20,Pricing!$D$30,Pricing!$D$40)+AL33*Pricing!$E$6*Assumptions!$C$154*CHOOSE(Assumptions!$C$121,Pricing!$E$20,Pricing!$E$30,Pricing!$E$40)</f>
        <v>406.924218554136</v>
      </c>
    </row>
    <row r="71" customFormat="false" ht="15" hidden="false" customHeight="false" outlineLevel="0" collapsed="false">
      <c r="A71" s="9" t="s">
        <v>615</v>
      </c>
      <c r="B71" s="2" t="s">
        <v>105</v>
      </c>
      <c r="C71" s="37" t="n">
        <f aca="false">C30*Assumptions!$D$88*CHOOSE(Assumptions!$C$121,Unit_Costs!$Q$16,Unit_Costs!$Q$30,Unit_Costs!$Q$44)+C31*Assumptions!$D$89*CHOOSE(Assumptions!$C$121,Unit_Costs!$Q$16,Unit_Costs!$Q$30,Unit_Costs!$Q$44)+C32*Assumptions!$D$90*CHOOSE(Assumptions!$C$121,Unit_Costs!$Q$16,Unit_Costs!$Q$30,Unit_Costs!$Q$44)+C33*Assumptions!$D$91*CHOOSE(Assumptions!$C$121,Unit_Costs!$Q$16,Unit_Costs!$Q$30,Unit_Costs!$Q$44)</f>
        <v>0</v>
      </c>
      <c r="D71" s="37" t="n">
        <f aca="false">D30*Assumptions!$D$88*CHOOSE(Assumptions!$C$121,Unit_Costs!$Q$16,Unit_Costs!$Q$30,Unit_Costs!$Q$44)+D31*Assumptions!$D$89*CHOOSE(Assumptions!$C$121,Unit_Costs!$Q$16,Unit_Costs!$Q$30,Unit_Costs!$Q$44)+D32*Assumptions!$D$90*CHOOSE(Assumptions!$C$121,Unit_Costs!$Q$16,Unit_Costs!$Q$30,Unit_Costs!$Q$44)+D33*Assumptions!$D$91*CHOOSE(Assumptions!$C$121,Unit_Costs!$Q$16,Unit_Costs!$Q$30,Unit_Costs!$Q$44)</f>
        <v>0</v>
      </c>
      <c r="E71" s="37" t="n">
        <f aca="false">E30*Assumptions!$D$88*CHOOSE(Assumptions!$C$121,Unit_Costs!$Q$16,Unit_Costs!$Q$30,Unit_Costs!$Q$44)+E31*Assumptions!$D$89*CHOOSE(Assumptions!$C$121,Unit_Costs!$Q$16,Unit_Costs!$Q$30,Unit_Costs!$Q$44)+E32*Assumptions!$D$90*CHOOSE(Assumptions!$C$121,Unit_Costs!$Q$16,Unit_Costs!$Q$30,Unit_Costs!$Q$44)+E33*Assumptions!$D$91*CHOOSE(Assumptions!$C$121,Unit_Costs!$Q$16,Unit_Costs!$Q$30,Unit_Costs!$Q$44)</f>
        <v>0</v>
      </c>
      <c r="F71" s="37" t="n">
        <f aca="false">F30*Assumptions!$D$88*CHOOSE(Assumptions!$C$121,Unit_Costs!$Q$16,Unit_Costs!$Q$30,Unit_Costs!$Q$44)+F31*Assumptions!$D$89*CHOOSE(Assumptions!$C$121,Unit_Costs!$Q$16,Unit_Costs!$Q$30,Unit_Costs!$Q$44)+F32*Assumptions!$D$90*CHOOSE(Assumptions!$C$121,Unit_Costs!$Q$16,Unit_Costs!$Q$30,Unit_Costs!$Q$44)+F33*Assumptions!$D$91*CHOOSE(Assumptions!$C$121,Unit_Costs!$Q$16,Unit_Costs!$Q$30,Unit_Costs!$Q$44)</f>
        <v>0</v>
      </c>
      <c r="G71" s="37" t="n">
        <f aca="false">G30*Assumptions!$D$88*CHOOSE(Assumptions!$C$121,Unit_Costs!$Q$16,Unit_Costs!$Q$30,Unit_Costs!$Q$44)+G31*Assumptions!$D$89*CHOOSE(Assumptions!$C$121,Unit_Costs!$Q$16,Unit_Costs!$Q$30,Unit_Costs!$Q$44)+G32*Assumptions!$D$90*CHOOSE(Assumptions!$C$121,Unit_Costs!$Q$16,Unit_Costs!$Q$30,Unit_Costs!$Q$44)+G33*Assumptions!$D$91*CHOOSE(Assumptions!$C$121,Unit_Costs!$Q$16,Unit_Costs!$Q$30,Unit_Costs!$Q$44)</f>
        <v>0</v>
      </c>
      <c r="H71" s="37" t="n">
        <f aca="false">H30*Assumptions!$D$88*CHOOSE(Assumptions!$C$121,Unit_Costs!$Q$16,Unit_Costs!$Q$30,Unit_Costs!$Q$44)+H31*Assumptions!$D$89*CHOOSE(Assumptions!$C$121,Unit_Costs!$Q$16,Unit_Costs!$Q$30,Unit_Costs!$Q$44)+H32*Assumptions!$D$90*CHOOSE(Assumptions!$C$121,Unit_Costs!$Q$16,Unit_Costs!$Q$30,Unit_Costs!$Q$44)+H33*Assumptions!$D$91*CHOOSE(Assumptions!$C$121,Unit_Costs!$Q$16,Unit_Costs!$Q$30,Unit_Costs!$Q$44)</f>
        <v>0</v>
      </c>
      <c r="I71" s="37" t="n">
        <f aca="false">I30*Assumptions!$D$88*CHOOSE(Assumptions!$C$121,Unit_Costs!$Q$16,Unit_Costs!$Q$30,Unit_Costs!$Q$44)+I31*Assumptions!$D$89*CHOOSE(Assumptions!$C$121,Unit_Costs!$Q$16,Unit_Costs!$Q$30,Unit_Costs!$Q$44)+I32*Assumptions!$D$90*CHOOSE(Assumptions!$C$121,Unit_Costs!$Q$16,Unit_Costs!$Q$30,Unit_Costs!$Q$44)+I33*Assumptions!$D$91*CHOOSE(Assumptions!$C$121,Unit_Costs!$Q$16,Unit_Costs!$Q$30,Unit_Costs!$Q$44)</f>
        <v>0</v>
      </c>
      <c r="J71" s="37" t="n">
        <f aca="false">J30*Assumptions!$D$88*CHOOSE(Assumptions!$C$121,Unit_Costs!$Q$16,Unit_Costs!$Q$30,Unit_Costs!$Q$44)+J31*Assumptions!$D$89*CHOOSE(Assumptions!$C$121,Unit_Costs!$Q$16,Unit_Costs!$Q$30,Unit_Costs!$Q$44)+J32*Assumptions!$D$90*CHOOSE(Assumptions!$C$121,Unit_Costs!$Q$16,Unit_Costs!$Q$30,Unit_Costs!$Q$44)+J33*Assumptions!$D$91*CHOOSE(Assumptions!$C$121,Unit_Costs!$Q$16,Unit_Costs!$Q$30,Unit_Costs!$Q$44)</f>
        <v>0</v>
      </c>
      <c r="K71" s="37" t="n">
        <f aca="false">K30*Assumptions!$D$88*CHOOSE(Assumptions!$C$121,Unit_Costs!$Q$16,Unit_Costs!$Q$30,Unit_Costs!$Q$44)+K31*Assumptions!$D$89*CHOOSE(Assumptions!$C$121,Unit_Costs!$Q$16,Unit_Costs!$Q$30,Unit_Costs!$Q$44)+K32*Assumptions!$D$90*CHOOSE(Assumptions!$C$121,Unit_Costs!$Q$16,Unit_Costs!$Q$30,Unit_Costs!$Q$44)+K33*Assumptions!$D$91*CHOOSE(Assumptions!$C$121,Unit_Costs!$Q$16,Unit_Costs!$Q$30,Unit_Costs!$Q$44)</f>
        <v>11.405332</v>
      </c>
      <c r="L71" s="37" t="n">
        <f aca="false">L30*Assumptions!$D$88*CHOOSE(Assumptions!$C$121,Unit_Costs!$Q$16,Unit_Costs!$Q$30,Unit_Costs!$Q$44)+L31*Assumptions!$D$89*CHOOSE(Assumptions!$C$121,Unit_Costs!$Q$16,Unit_Costs!$Q$30,Unit_Costs!$Q$44)+L32*Assumptions!$D$90*CHOOSE(Assumptions!$C$121,Unit_Costs!$Q$16,Unit_Costs!$Q$30,Unit_Costs!$Q$44)+L33*Assumptions!$D$91*CHOOSE(Assumptions!$C$121,Unit_Costs!$Q$16,Unit_Costs!$Q$30,Unit_Costs!$Q$44)</f>
        <v>38.26488886</v>
      </c>
      <c r="M71" s="37" t="n">
        <f aca="false">M30*Assumptions!$D$88*CHOOSE(Assumptions!$C$121,Unit_Costs!$Q$16,Unit_Costs!$Q$30,Unit_Costs!$Q$44)+M31*Assumptions!$D$89*CHOOSE(Assumptions!$C$121,Unit_Costs!$Q$16,Unit_Costs!$Q$30,Unit_Costs!$Q$44)+M32*Assumptions!$D$90*CHOOSE(Assumptions!$C$121,Unit_Costs!$Q$16,Unit_Costs!$Q$30,Unit_Costs!$Q$44)+M33*Assumptions!$D$91*CHOOSE(Assumptions!$C$121,Unit_Costs!$Q$16,Unit_Costs!$Q$30,Unit_Costs!$Q$44)</f>
        <v>68.6204651113</v>
      </c>
      <c r="N71" s="37" t="n">
        <f aca="false">N30*Assumptions!$D$88*CHOOSE(Assumptions!$C$121,Unit_Costs!$Q$16,Unit_Costs!$Q$30,Unit_Costs!$Q$44)+N31*Assumptions!$D$89*CHOOSE(Assumptions!$C$121,Unit_Costs!$Q$16,Unit_Costs!$Q$30,Unit_Costs!$Q$44)+N32*Assumptions!$D$90*CHOOSE(Assumptions!$C$121,Unit_Costs!$Q$16,Unit_Costs!$Q$30,Unit_Costs!$Q$44)+N33*Assumptions!$D$91*CHOOSE(Assumptions!$C$121,Unit_Costs!$Q$16,Unit_Costs!$Q$30,Unit_Costs!$Q$44)</f>
        <v>123.723260878542</v>
      </c>
      <c r="O71" s="37" t="n">
        <f aca="false">O30*Assumptions!$D$88*CHOOSE(Assumptions!$C$121,Unit_Costs!$Q$16,Unit_Costs!$Q$30,Unit_Costs!$Q$44)+O31*Assumptions!$D$89*CHOOSE(Assumptions!$C$121,Unit_Costs!$Q$16,Unit_Costs!$Q$30,Unit_Costs!$Q$44)+O32*Assumptions!$D$90*CHOOSE(Assumptions!$C$121,Unit_Costs!$Q$16,Unit_Costs!$Q$30,Unit_Costs!$Q$44)+O33*Assumptions!$D$91*CHOOSE(Assumptions!$C$121,Unit_Costs!$Q$16,Unit_Costs!$Q$30,Unit_Costs!$Q$44)</f>
        <v>184.946653508353</v>
      </c>
      <c r="P71" s="37" t="n">
        <f aca="false">P30*Assumptions!$D$88*CHOOSE(Assumptions!$C$121,Unit_Costs!$Q$16,Unit_Costs!$Q$30,Unit_Costs!$Q$44)+P31*Assumptions!$D$89*CHOOSE(Assumptions!$C$121,Unit_Costs!$Q$16,Unit_Costs!$Q$30,Unit_Costs!$Q$44)+P32*Assumptions!$D$90*CHOOSE(Assumptions!$C$121,Unit_Costs!$Q$16,Unit_Costs!$Q$30,Unit_Costs!$Q$44)+P33*Assumptions!$D$91*CHOOSE(Assumptions!$C$121,Unit_Costs!$Q$16,Unit_Costs!$Q$30,Unit_Costs!$Q$44)</f>
        <v>252.123731050522</v>
      </c>
      <c r="Q71" s="37" t="n">
        <f aca="false">Q30*Assumptions!$D$88*CHOOSE(Assumptions!$C$121,Unit_Costs!$Q$16,Unit_Costs!$Q$30,Unit_Costs!$Q$44)+Q31*Assumptions!$D$89*CHOOSE(Assumptions!$C$121,Unit_Costs!$Q$16,Unit_Costs!$Q$30,Unit_Costs!$Q$44)+Q32*Assumptions!$D$90*CHOOSE(Assumptions!$C$121,Unit_Costs!$Q$16,Unit_Costs!$Q$30,Unit_Costs!$Q$44)+Q33*Assumptions!$D$91*CHOOSE(Assumptions!$C$121,Unit_Costs!$Q$16,Unit_Costs!$Q$30,Unit_Costs!$Q$44)</f>
        <v>325.093026755588</v>
      </c>
      <c r="R71" s="37" t="n">
        <f aca="false">R30*Assumptions!$D$88*CHOOSE(Assumptions!$C$121,Unit_Costs!$Q$16,Unit_Costs!$Q$30,Unit_Costs!$Q$44)+R31*Assumptions!$D$89*CHOOSE(Assumptions!$C$121,Unit_Costs!$Q$16,Unit_Costs!$Q$30,Unit_Costs!$Q$44)+R32*Assumptions!$D$90*CHOOSE(Assumptions!$C$121,Unit_Costs!$Q$16,Unit_Costs!$Q$30,Unit_Costs!$Q$44)+R33*Assumptions!$D$91*CHOOSE(Assumptions!$C$121,Unit_Costs!$Q$16,Unit_Costs!$Q$30,Unit_Costs!$Q$44)</f>
        <v>403.698320362341</v>
      </c>
      <c r="S71" s="37" t="n">
        <f aca="false">S30*Assumptions!$D$88*CHOOSE(Assumptions!$C$121,Unit_Costs!$Q$16,Unit_Costs!$Q$30,Unit_Costs!$Q$44)+S31*Assumptions!$D$89*CHOOSE(Assumptions!$C$121,Unit_Costs!$Q$16,Unit_Costs!$Q$30,Unit_Costs!$Q$44)+S32*Assumptions!$D$90*CHOOSE(Assumptions!$C$121,Unit_Costs!$Q$16,Unit_Costs!$Q$30,Unit_Costs!$Q$44)+S33*Assumptions!$D$91*CHOOSE(Assumptions!$C$121,Unit_Costs!$Q$16,Unit_Costs!$Q$30,Unit_Costs!$Q$44)</f>
        <v>487.788447095851</v>
      </c>
      <c r="T71" s="37" t="n">
        <f aca="false">T30*Assumptions!$D$88*CHOOSE(Assumptions!$C$121,Unit_Costs!$Q$16,Unit_Costs!$Q$30,Unit_Costs!$Q$44)+T31*Assumptions!$D$89*CHOOSE(Assumptions!$C$121,Unit_Costs!$Q$16,Unit_Costs!$Q$30,Unit_Costs!$Q$44)+T32*Assumptions!$D$90*CHOOSE(Assumptions!$C$121,Unit_Costs!$Q$16,Unit_Costs!$Q$30,Unit_Costs!$Q$44)+T33*Assumptions!$D$91*CHOOSE(Assumptions!$C$121,Unit_Costs!$Q$16,Unit_Costs!$Q$30,Unit_Costs!$Q$44)</f>
        <v>612.858776566353</v>
      </c>
      <c r="U71" s="37" t="n">
        <f aca="false">U30*Assumptions!$D$88*CHOOSE(Assumptions!$C$121,Unit_Costs!$Q$16,Unit_Costs!$Q$30,Unit_Costs!$Q$44)+U31*Assumptions!$D$89*CHOOSE(Assumptions!$C$121,Unit_Costs!$Q$16,Unit_Costs!$Q$30,Unit_Costs!$Q$44)+U32*Assumptions!$D$90*CHOOSE(Assumptions!$C$121,Unit_Costs!$Q$16,Unit_Costs!$Q$30,Unit_Costs!$Q$44)+U33*Assumptions!$D$91*CHOOSE(Assumptions!$C$121,Unit_Costs!$Q$16,Unit_Costs!$Q$30,Unit_Costs!$Q$44)</f>
        <v>745.620965146946</v>
      </c>
      <c r="V71" s="37" t="n">
        <f aca="false">V30*Assumptions!$D$88*CHOOSE(Assumptions!$C$121,Unit_Costs!$Q$16,Unit_Costs!$Q$30,Unit_Costs!$Q$44)+V31*Assumptions!$D$89*CHOOSE(Assumptions!$C$121,Unit_Costs!$Q$16,Unit_Costs!$Q$30,Unit_Costs!$Q$44)+V32*Assumptions!$D$90*CHOOSE(Assumptions!$C$121,Unit_Costs!$Q$16,Unit_Costs!$Q$30,Unit_Costs!$Q$44)+V33*Assumptions!$D$91*CHOOSE(Assumptions!$C$121,Unit_Costs!$Q$16,Unit_Costs!$Q$30,Unit_Costs!$Q$44)</f>
        <v>885.91299188159</v>
      </c>
      <c r="W71" s="37" t="n">
        <f aca="false">W30*Assumptions!$D$88*CHOOSE(Assumptions!$C$121,Unit_Costs!$Q$16,Unit_Costs!$Q$30,Unit_Costs!$Q$44)+W31*Assumptions!$D$89*CHOOSE(Assumptions!$C$121,Unit_Costs!$Q$16,Unit_Costs!$Q$30,Unit_Costs!$Q$44)+W32*Assumptions!$D$90*CHOOSE(Assumptions!$C$121,Unit_Costs!$Q$16,Unit_Costs!$Q$30,Unit_Costs!$Q$44)+W33*Assumptions!$D$91*CHOOSE(Assumptions!$C$121,Unit_Costs!$Q$16,Unit_Costs!$Q$30,Unit_Costs!$Q$44)</f>
        <v>1033.57744788313</v>
      </c>
      <c r="X71" s="37" t="n">
        <f aca="false">X30*Assumptions!$D$88*CHOOSE(Assumptions!$C$121,Unit_Costs!$Q$16,Unit_Costs!$Q$30,Unit_Costs!$Q$44)+X31*Assumptions!$D$89*CHOOSE(Assumptions!$C$121,Unit_Costs!$Q$16,Unit_Costs!$Q$30,Unit_Costs!$Q$44)+X32*Assumptions!$D$90*CHOOSE(Assumptions!$C$121,Unit_Costs!$Q$16,Unit_Costs!$Q$30,Unit_Costs!$Q$44)+X33*Assumptions!$D$91*CHOOSE(Assumptions!$C$121,Unit_Costs!$Q$16,Unit_Costs!$Q$30,Unit_Costs!$Q$44)</f>
        <v>1188.46137699</v>
      </c>
      <c r="Y71" s="37" t="n">
        <f aca="false">Y30*Assumptions!$D$88*CHOOSE(Assumptions!$C$121,Unit_Costs!$Q$16,Unit_Costs!$Q$30,Unit_Costs!$Q$44)+Y31*Assumptions!$D$89*CHOOSE(Assumptions!$C$121,Unit_Costs!$Q$16,Unit_Costs!$Q$30,Unit_Costs!$Q$44)+Y32*Assumptions!$D$90*CHOOSE(Assumptions!$C$121,Unit_Costs!$Q$16,Unit_Costs!$Q$30,Unit_Costs!$Q$44)+Y33*Assumptions!$D$91*CHOOSE(Assumptions!$C$121,Unit_Costs!$Q$16,Unit_Costs!$Q$30,Unit_Costs!$Q$44)</f>
        <v>1350.41612248063</v>
      </c>
      <c r="Z71" s="37" t="n">
        <f aca="false">Z30*Assumptions!$D$88*CHOOSE(Assumptions!$C$121,Unit_Costs!$Q$16,Unit_Costs!$Q$30,Unit_Costs!$Q$44)+Z31*Assumptions!$D$89*CHOOSE(Assumptions!$C$121,Unit_Costs!$Q$16,Unit_Costs!$Q$30,Unit_Costs!$Q$44)+Z32*Assumptions!$D$90*CHOOSE(Assumptions!$C$121,Unit_Costs!$Q$16,Unit_Costs!$Q$30,Unit_Costs!$Q$44)+Z33*Assumptions!$D$91*CHOOSE(Assumptions!$C$121,Unit_Costs!$Q$16,Unit_Costs!$Q$30,Unit_Costs!$Q$44)</f>
        <v>1519.29717960438</v>
      </c>
      <c r="AA71" s="37" t="n">
        <f aca="false">AA30*Assumptions!$D$88*CHOOSE(Assumptions!$C$121,Unit_Costs!$Q$16,Unit_Costs!$Q$30,Unit_Costs!$Q$44)+AA31*Assumptions!$D$89*CHOOSE(Assumptions!$C$121,Unit_Costs!$Q$16,Unit_Costs!$Q$30,Unit_Costs!$Q$44)+AA32*Assumptions!$D$90*CHOOSE(Assumptions!$C$121,Unit_Costs!$Q$16,Unit_Costs!$Q$30,Unit_Costs!$Q$44)+AA33*Assumptions!$D$91*CHOOSE(Assumptions!$C$121,Unit_Costs!$Q$16,Unit_Costs!$Q$30,Unit_Costs!$Q$44)</f>
        <v>1694.96405369776</v>
      </c>
      <c r="AB71" s="37" t="n">
        <f aca="false">AB30*Assumptions!$D$88*CHOOSE(Assumptions!$C$121,Unit_Costs!$Q$16,Unit_Costs!$Q$30,Unit_Costs!$Q$44)+AB31*Assumptions!$D$89*CHOOSE(Assumptions!$C$121,Unit_Costs!$Q$16,Unit_Costs!$Q$30,Unit_Costs!$Q$44)+AB32*Assumptions!$D$90*CHOOSE(Assumptions!$C$121,Unit_Costs!$Q$16,Unit_Costs!$Q$30,Unit_Costs!$Q$44)+AB33*Assumptions!$D$91*CHOOSE(Assumptions!$C$121,Unit_Costs!$Q$16,Unit_Costs!$Q$30,Unit_Costs!$Q$44)</f>
        <v>1877.28012366391</v>
      </c>
      <c r="AC71" s="37" t="n">
        <f aca="false">AC30*Assumptions!$D$88*CHOOSE(Assumptions!$C$121,Unit_Costs!$Q$16,Unit_Costs!$Q$30,Unit_Costs!$Q$44)+AC31*Assumptions!$D$89*CHOOSE(Assumptions!$C$121,Unit_Costs!$Q$16,Unit_Costs!$Q$30,Unit_Costs!$Q$44)+AC32*Assumptions!$D$90*CHOOSE(Assumptions!$C$121,Unit_Costs!$Q$16,Unit_Costs!$Q$30,Unit_Costs!$Q$44)+AC33*Assumptions!$D$91*CHOOSE(Assumptions!$C$121,Unit_Costs!$Q$16,Unit_Costs!$Q$30,Unit_Costs!$Q$44)</f>
        <v>2066.11251060267</v>
      </c>
      <c r="AD71" s="37" t="n">
        <f aca="false">AD30*Assumptions!$D$88*CHOOSE(Assumptions!$C$121,Unit_Costs!$Q$16,Unit_Costs!$Q$30,Unit_Costs!$Q$44)+AD31*Assumptions!$D$89*CHOOSE(Assumptions!$C$121,Unit_Costs!$Q$16,Unit_Costs!$Q$30,Unit_Costs!$Q$44)+AD32*Assumptions!$D$90*CHOOSE(Assumptions!$C$121,Unit_Costs!$Q$16,Unit_Costs!$Q$30,Unit_Costs!$Q$44)+AD33*Assumptions!$D$91*CHOOSE(Assumptions!$C$121,Unit_Costs!$Q$16,Unit_Costs!$Q$30,Unit_Costs!$Q$44)</f>
        <v>2261.33195138701</v>
      </c>
      <c r="AE71" s="37" t="n">
        <f aca="false">AE30*Assumptions!$D$88*CHOOSE(Assumptions!$C$121,Unit_Costs!$Q$16,Unit_Costs!$Q$30,Unit_Costs!$Q$44)+AE31*Assumptions!$D$89*CHOOSE(Assumptions!$C$121,Unit_Costs!$Q$16,Unit_Costs!$Q$30,Unit_Costs!$Q$44)+AE32*Assumptions!$D$90*CHOOSE(Assumptions!$C$121,Unit_Costs!$Q$16,Unit_Costs!$Q$30,Unit_Costs!$Q$44)+AE33*Assumptions!$D$91*CHOOSE(Assumptions!$C$121,Unit_Costs!$Q$16,Unit_Costs!$Q$30,Unit_Costs!$Q$44)</f>
        <v>2462.81267699001</v>
      </c>
      <c r="AF71" s="37" t="n">
        <f aca="false">AF30*Assumptions!$D$88*CHOOSE(Assumptions!$C$121,Unit_Costs!$Q$16,Unit_Costs!$Q$30,Unit_Costs!$Q$44)+AF31*Assumptions!$D$89*CHOOSE(Assumptions!$C$121,Unit_Costs!$Q$16,Unit_Costs!$Q$30,Unit_Costs!$Q$44)+AF32*Assumptions!$D$90*CHOOSE(Assumptions!$C$121,Unit_Costs!$Q$16,Unit_Costs!$Q$30,Unit_Costs!$Q$44)+AF33*Assumptions!$D$91*CHOOSE(Assumptions!$C$121,Unit_Costs!$Q$16,Unit_Costs!$Q$30,Unit_Costs!$Q$44)</f>
        <v>2670.43229537455</v>
      </c>
      <c r="AG71" s="37" t="n">
        <f aca="false">AG30*Assumptions!$D$88*CHOOSE(Assumptions!$C$121,Unit_Costs!$Q$16,Unit_Costs!$Q$30,Unit_Costs!$Q$44)+AG31*Assumptions!$D$89*CHOOSE(Assumptions!$C$121,Unit_Costs!$Q$16,Unit_Costs!$Q$30,Unit_Costs!$Q$44)+AG32*Assumptions!$D$90*CHOOSE(Assumptions!$C$121,Unit_Costs!$Q$16,Unit_Costs!$Q$30,Unit_Costs!$Q$44)+AG33*Assumptions!$D$91*CHOOSE(Assumptions!$C$121,Unit_Costs!$Q$16,Unit_Costs!$Q$30,Unit_Costs!$Q$44)</f>
        <v>2884.07167876544</v>
      </c>
      <c r="AH71" s="37" t="n">
        <f aca="false">AH30*Assumptions!$D$88*CHOOSE(Assumptions!$C$121,Unit_Costs!$Q$16,Unit_Costs!$Q$30,Unit_Costs!$Q$44)+AH31*Assumptions!$D$89*CHOOSE(Assumptions!$C$121,Unit_Costs!$Q$16,Unit_Costs!$Q$30,Unit_Costs!$Q$44)+AH32*Assumptions!$D$90*CHOOSE(Assumptions!$C$121,Unit_Costs!$Q$16,Unit_Costs!$Q$30,Unit_Costs!$Q$44)+AH33*Assumptions!$D$91*CHOOSE(Assumptions!$C$121,Unit_Costs!$Q$16,Unit_Costs!$Q$30,Unit_Costs!$Q$44)</f>
        <v>3103.61485513114</v>
      </c>
      <c r="AI71" s="37" t="n">
        <f aca="false">AI30*Assumptions!$D$88*CHOOSE(Assumptions!$C$121,Unit_Costs!$Q$16,Unit_Costs!$Q$30,Unit_Costs!$Q$44)+AI31*Assumptions!$D$89*CHOOSE(Assumptions!$C$121,Unit_Costs!$Q$16,Unit_Costs!$Q$30,Unit_Costs!$Q$44)+AI32*Assumptions!$D$90*CHOOSE(Assumptions!$C$121,Unit_Costs!$Q$16,Unit_Costs!$Q$30,Unit_Costs!$Q$44)+AI33*Assumptions!$D$91*CHOOSE(Assumptions!$C$121,Unit_Costs!$Q$16,Unit_Costs!$Q$30,Unit_Costs!$Q$44)</f>
        <v>3328.94890370923</v>
      </c>
      <c r="AJ71" s="37" t="n">
        <f aca="false">AJ30*Assumptions!$D$88*CHOOSE(Assumptions!$C$121,Unit_Costs!$Q$16,Unit_Costs!$Q$30,Unit_Costs!$Q$44)+AJ31*Assumptions!$D$89*CHOOSE(Assumptions!$C$121,Unit_Costs!$Q$16,Unit_Costs!$Q$30,Unit_Costs!$Q$44)+AJ32*Assumptions!$D$90*CHOOSE(Assumptions!$C$121,Unit_Costs!$Q$16,Unit_Costs!$Q$30,Unit_Costs!$Q$44)+AJ33*Assumptions!$D$91*CHOOSE(Assumptions!$C$121,Unit_Costs!$Q$16,Unit_Costs!$Q$30,Unit_Costs!$Q$44)</f>
        <v>3559.96385441639</v>
      </c>
      <c r="AK71" s="37" t="n">
        <f aca="false">AK30*Assumptions!$D$88*CHOOSE(Assumptions!$C$121,Unit_Costs!$Q$16,Unit_Costs!$Q$30,Unit_Costs!$Q$44)+AK31*Assumptions!$D$89*CHOOSE(Assumptions!$C$121,Unit_Costs!$Q$16,Unit_Costs!$Q$30,Unit_Costs!$Q$44)+AK32*Assumptions!$D$90*CHOOSE(Assumptions!$C$121,Unit_Costs!$Q$16,Unit_Costs!$Q$30,Unit_Costs!$Q$44)+AK33*Assumptions!$D$91*CHOOSE(Assumptions!$C$121,Unit_Costs!$Q$16,Unit_Costs!$Q$30,Unit_Costs!$Q$44)</f>
        <v>3796.55259099026</v>
      </c>
      <c r="AL71" s="37" t="n">
        <f aca="false">AL30*Assumptions!$D$88*CHOOSE(Assumptions!$C$121,Unit_Costs!$Q$16,Unit_Costs!$Q$30,Unit_Costs!$Q$44)+AL31*Assumptions!$D$89*CHOOSE(Assumptions!$C$121,Unit_Costs!$Q$16,Unit_Costs!$Q$30,Unit_Costs!$Q$44)+AL32*Assumptions!$D$90*CHOOSE(Assumptions!$C$121,Unit_Costs!$Q$16,Unit_Costs!$Q$30,Unit_Costs!$Q$44)+AL33*Assumptions!$D$91*CHOOSE(Assumptions!$C$121,Unit_Costs!$Q$16,Unit_Costs!$Q$30,Unit_Costs!$Q$44)</f>
        <v>4038.61075771664</v>
      </c>
    </row>
    <row r="72" customFormat="false" ht="15" hidden="false" customHeight="false" outlineLevel="0" collapsed="false">
      <c r="A72" s="9" t="s">
        <v>616</v>
      </c>
      <c r="B72" s="2" t="s">
        <v>105</v>
      </c>
      <c r="C72" s="37" t="n">
        <f aca="false">(C30*Assumptions!$D$92+C31*Assumptions!$D$93+C32*Assumptions!$D$94+C33*Assumptions!$D$95)*Assumptions!$D$96*Assumptions!$D$6</f>
        <v>0</v>
      </c>
      <c r="D72" s="37" t="n">
        <f aca="false">(D30*Assumptions!$D$92+D31*Assumptions!$D$93+D32*Assumptions!$D$94+D33*Assumptions!$D$95)*Assumptions!$D$96*Assumptions!$D$6</f>
        <v>0</v>
      </c>
      <c r="E72" s="37" t="n">
        <f aca="false">(E30*Assumptions!$D$92+E31*Assumptions!$D$93+E32*Assumptions!$D$94+E33*Assumptions!$D$95)*Assumptions!$D$96*Assumptions!$D$6</f>
        <v>0</v>
      </c>
      <c r="F72" s="37" t="n">
        <f aca="false">(F30*Assumptions!$D$92+F31*Assumptions!$D$93+F32*Assumptions!$D$94+F33*Assumptions!$D$95)*Assumptions!$D$96*Assumptions!$D$6</f>
        <v>0</v>
      </c>
      <c r="G72" s="37" t="n">
        <f aca="false">(G30*Assumptions!$D$92+G31*Assumptions!$D$93+G32*Assumptions!$D$94+G33*Assumptions!$D$95)*Assumptions!$D$96*Assumptions!$D$6</f>
        <v>0</v>
      </c>
      <c r="H72" s="37" t="n">
        <f aca="false">(H30*Assumptions!$D$92+H31*Assumptions!$D$93+H32*Assumptions!$D$94+H33*Assumptions!$D$95)*Assumptions!$D$96*Assumptions!$D$6</f>
        <v>0</v>
      </c>
      <c r="I72" s="37" t="n">
        <f aca="false">(I30*Assumptions!$D$92+I31*Assumptions!$D$93+I32*Assumptions!$D$94+I33*Assumptions!$D$95)*Assumptions!$D$96*Assumptions!$D$6</f>
        <v>0</v>
      </c>
      <c r="J72" s="37" t="n">
        <f aca="false">(J30*Assumptions!$D$92+J31*Assumptions!$D$93+J32*Assumptions!$D$94+J33*Assumptions!$D$95)*Assumptions!$D$96*Assumptions!$D$6</f>
        <v>0</v>
      </c>
      <c r="K72" s="37" t="n">
        <f aca="false">(K30*Assumptions!$D$92+K31*Assumptions!$D$93+K32*Assumptions!$D$94+K33*Assumptions!$D$95)*Assumptions!$D$96*Assumptions!$D$6</f>
        <v>0</v>
      </c>
      <c r="L72" s="37" t="n">
        <f aca="false">(L30*Assumptions!$D$92+L31*Assumptions!$D$93+L32*Assumptions!$D$94+L33*Assumptions!$D$95)*Assumptions!$D$96*Assumptions!$D$6</f>
        <v>0</v>
      </c>
      <c r="M72" s="37" t="n">
        <f aca="false">(M30*Assumptions!$D$92+M31*Assumptions!$D$93+M32*Assumptions!$D$94+M33*Assumptions!$D$95)*Assumptions!$D$96*Assumptions!$D$6</f>
        <v>0</v>
      </c>
      <c r="N72" s="37" t="n">
        <f aca="false">(N30*Assumptions!$D$92+N31*Assumptions!$D$93+N32*Assumptions!$D$94+N33*Assumptions!$D$95)*Assumptions!$D$96*Assumptions!$D$6</f>
        <v>0</v>
      </c>
      <c r="O72" s="37" t="n">
        <f aca="false">(O30*Assumptions!$D$92+O31*Assumptions!$D$93+O32*Assumptions!$D$94+O33*Assumptions!$D$95)*Assumptions!$D$96*Assumptions!$D$6</f>
        <v>0</v>
      </c>
      <c r="P72" s="37" t="n">
        <f aca="false">(P30*Assumptions!$D$92+P31*Assumptions!$D$93+P32*Assumptions!$D$94+P33*Assumptions!$D$95)*Assumptions!$D$96*Assumptions!$D$6</f>
        <v>0</v>
      </c>
      <c r="Q72" s="37" t="n">
        <f aca="false">(Q30*Assumptions!$D$92+Q31*Assumptions!$D$93+Q32*Assumptions!$D$94+Q33*Assumptions!$D$95)*Assumptions!$D$96*Assumptions!$D$6</f>
        <v>0</v>
      </c>
      <c r="R72" s="37" t="n">
        <f aca="false">(R30*Assumptions!$D$92+R31*Assumptions!$D$93+R32*Assumptions!$D$94+R33*Assumptions!$D$95)*Assumptions!$D$96*Assumptions!$D$6</f>
        <v>0</v>
      </c>
      <c r="S72" s="37" t="n">
        <f aca="false">(S30*Assumptions!$D$92+S31*Assumptions!$D$93+S32*Assumptions!$D$94+S33*Assumptions!$D$95)*Assumptions!$D$96*Assumptions!$D$6</f>
        <v>0</v>
      </c>
      <c r="T72" s="37" t="n">
        <f aca="false">(T30*Assumptions!$D$92+T31*Assumptions!$D$93+T32*Assumptions!$D$94+T33*Assumptions!$D$95)*Assumptions!$D$96*Assumptions!$D$6</f>
        <v>4.71875</v>
      </c>
      <c r="U72" s="37" t="n">
        <f aca="false">(U30*Assumptions!$D$92+U31*Assumptions!$D$93+U32*Assumptions!$D$94+U33*Assumptions!$D$95)*Assumptions!$D$96*Assumptions!$D$6</f>
        <v>9.7678125</v>
      </c>
      <c r="V72" s="37" t="n">
        <f aca="false">(V30*Assumptions!$D$92+V31*Assumptions!$D$93+V32*Assumptions!$D$94+V33*Assumptions!$D$95)*Assumptions!$D$96*Assumptions!$D$6</f>
        <v>15.143884375</v>
      </c>
      <c r="W72" s="37" t="n">
        <f aca="false">(W30*Assumptions!$D$92+W31*Assumptions!$D$93+W32*Assumptions!$D$94+W33*Assumptions!$D$95)*Assumptions!$D$96*Assumptions!$D$6</f>
        <v>20.84369553125</v>
      </c>
      <c r="X72" s="37" t="n">
        <f aca="false">(X30*Assumptions!$D$92+X31*Assumptions!$D$93+X32*Assumptions!$D$94+X33*Assumptions!$D$95)*Assumptions!$D$96*Assumptions!$D$6</f>
        <v>26.8640085759375</v>
      </c>
      <c r="Y72" s="37" t="n">
        <f aca="false">(Y30*Assumptions!$D$92+Y31*Assumptions!$D$93+Y32*Assumptions!$D$94+Y33*Assumptions!$D$95)*Assumptions!$D$96*Assumptions!$D$6</f>
        <v>33.2016184901781</v>
      </c>
      <c r="Z72" s="37" t="n">
        <f aca="false">(Z30*Assumptions!$D$92+Z31*Assumptions!$D$93+Z32*Assumptions!$D$94+Z33*Assumptions!$D$95)*Assumptions!$D$96*Assumptions!$D$6</f>
        <v>39.8533523052763</v>
      </c>
      <c r="AA72" s="37" t="n">
        <f aca="false">(AA30*Assumptions!$D$92+AA31*Assumptions!$D$93+AA32*Assumptions!$D$94+AA33*Assumptions!$D$95)*Assumptions!$D$96*Assumptions!$D$6</f>
        <v>46.8160687822236</v>
      </c>
      <c r="AB72" s="37" t="n">
        <f aca="false">(AB30*Assumptions!$D$92+AB31*Assumptions!$D$93+AB32*Assumptions!$D$94+AB33*Assumptions!$D$95)*Assumptions!$D$96*Assumptions!$D$6</f>
        <v>54.0866580944013</v>
      </c>
      <c r="AC72" s="37" t="n">
        <f aca="false">(AC30*Assumptions!$D$92+AC31*Assumptions!$D$93+AC32*Assumptions!$D$94+AC33*Assumptions!$D$95)*Assumptions!$D$96*Assumptions!$D$6</f>
        <v>61.6620415134573</v>
      </c>
      <c r="AD72" s="37" t="n">
        <f aca="false">(AD30*Assumptions!$D$92+AD31*Assumptions!$D$93+AD32*Assumptions!$D$94+AD33*Assumptions!$D$95)*Assumptions!$D$96*Assumptions!$D$6</f>
        <v>69.5391710983227</v>
      </c>
      <c r="AE72" s="37" t="n">
        <f aca="false">(AE30*Assumptions!$D$92+AE31*Assumptions!$D$93+AE32*Assumptions!$D$94+AE33*Assumptions!$D$95)*Assumptions!$D$96*Assumptions!$D$6</f>
        <v>77.7150293873395</v>
      </c>
      <c r="AF72" s="37" t="n">
        <f aca="false">(AF30*Assumptions!$D$92+AF31*Assumptions!$D$93+AF32*Assumptions!$D$94+AF33*Assumptions!$D$95)*Assumptions!$D$96*Assumptions!$D$6</f>
        <v>86.1866290934661</v>
      </c>
      <c r="AG72" s="37" t="n">
        <f aca="false">(AG30*Assumptions!$D$92+AG31*Assumptions!$D$93+AG32*Assumptions!$D$94+AG33*Assumptions!$D$95)*Assumptions!$D$96*Assumptions!$D$6</f>
        <v>94.9510128025315</v>
      </c>
      <c r="AH72" s="37" t="n">
        <f aca="false">(AH30*Assumptions!$D$92+AH31*Assumptions!$D$93+AH32*Assumptions!$D$94+AH33*Assumptions!$D$95)*Assumptions!$D$96*Assumptions!$D$6</f>
        <v>104.005252674506</v>
      </c>
      <c r="AI72" s="37" t="n">
        <f aca="false">(AI30*Assumptions!$D$92+AI31*Assumptions!$D$93+AI32*Assumptions!$D$94+AI33*Assumptions!$D$95)*Assumptions!$D$96*Assumptions!$D$6</f>
        <v>113.346450147761</v>
      </c>
      <c r="AJ72" s="37" t="n">
        <f aca="false">(AJ30*Assumptions!$D$92+AJ31*Assumptions!$D$93+AJ32*Assumptions!$D$94+AJ33*Assumptions!$D$95)*Assumptions!$D$96*Assumptions!$D$6</f>
        <v>122.971735646284</v>
      </c>
      <c r="AK72" s="37" t="n">
        <f aca="false">(AK30*Assumptions!$D$92+AK31*Assumptions!$D$93+AK32*Assumptions!$D$94+AK33*Assumptions!$D$95)*Assumptions!$D$96*Assumptions!$D$6</f>
        <v>132.878268289821</v>
      </c>
      <c r="AL72" s="37" t="n">
        <f aca="false">(AL30*Assumptions!$D$92+AL31*Assumptions!$D$93+AL32*Assumptions!$D$94+AL33*Assumptions!$D$95)*Assumptions!$D$96*Assumptions!$D$6</f>
        <v>143.063235606923</v>
      </c>
    </row>
    <row r="73" customFormat="false" ht="15" hidden="false" customHeight="false" outlineLevel="0" collapsed="false">
      <c r="A73" s="9" t="s">
        <v>617</v>
      </c>
      <c r="B73" s="2" t="s">
        <v>105</v>
      </c>
      <c r="C73" s="37" t="n">
        <f aca="false">(C22*Assumptions!$D$105+C23*Assumptions!$D$106+C24*Assumptions!$D$107+C25*Assumptions!$D$108)*Assumptions!$D$109</f>
        <v>0</v>
      </c>
      <c r="D73" s="37" t="n">
        <f aca="false">(D22*Assumptions!$D$105+D23*Assumptions!$D$106+D24*Assumptions!$D$107+D25*Assumptions!$D$108)*Assumptions!$D$109</f>
        <v>0</v>
      </c>
      <c r="E73" s="37" t="n">
        <f aca="false">(E22*Assumptions!$D$105+E23*Assumptions!$D$106+E24*Assumptions!$D$107+E25*Assumptions!$D$108)*Assumptions!$D$109</f>
        <v>0</v>
      </c>
      <c r="F73" s="37" t="n">
        <f aca="false">(F22*Assumptions!$D$105+F23*Assumptions!$D$106+F24*Assumptions!$D$107+F25*Assumptions!$D$108)*Assumptions!$D$109</f>
        <v>0</v>
      </c>
      <c r="G73" s="37" t="n">
        <f aca="false">(G22*Assumptions!$D$105+G23*Assumptions!$D$106+G24*Assumptions!$D$107+G25*Assumptions!$D$108)*Assumptions!$D$109</f>
        <v>0</v>
      </c>
      <c r="H73" s="37" t="n">
        <f aca="false">(H22*Assumptions!$D$105+H23*Assumptions!$D$106+H24*Assumptions!$D$107+H25*Assumptions!$D$108)*Assumptions!$D$109</f>
        <v>0</v>
      </c>
      <c r="I73" s="37" t="n">
        <f aca="false">(I22*Assumptions!$D$105+I23*Assumptions!$D$106+I24*Assumptions!$D$107+I25*Assumptions!$D$108)*Assumptions!$D$109</f>
        <v>0</v>
      </c>
      <c r="J73" s="37" t="n">
        <f aca="false">(J22*Assumptions!$D$105+J23*Assumptions!$D$106+J24*Assumptions!$D$107+J25*Assumptions!$D$108)*Assumptions!$D$109</f>
        <v>0</v>
      </c>
      <c r="K73" s="37" t="n">
        <f aca="false">(K22*Assumptions!$D$105+K23*Assumptions!$D$106+K24*Assumptions!$D$107+K25*Assumptions!$D$108)*Assumptions!$D$109</f>
        <v>14</v>
      </c>
      <c r="L73" s="37" t="n">
        <f aca="false">(L22*Assumptions!$D$105+L23*Assumptions!$D$106+L24*Assumptions!$D$107+L25*Assumptions!$D$108)*Assumptions!$D$109</f>
        <v>37.1</v>
      </c>
      <c r="M73" s="37" t="n">
        <f aca="false">(M22*Assumptions!$D$105+M23*Assumptions!$D$106+M24*Assumptions!$D$107+M25*Assumptions!$D$108)*Assumptions!$D$109</f>
        <v>43.4</v>
      </c>
      <c r="N73" s="37" t="n">
        <f aca="false">(N22*Assumptions!$D$105+N23*Assumptions!$D$106+N24*Assumptions!$D$107+N25*Assumptions!$D$108)*Assumptions!$D$109</f>
        <v>77.7</v>
      </c>
      <c r="O73" s="37" t="n">
        <f aca="false">(O22*Assumptions!$D$105+O23*Assumptions!$D$106+O24*Assumptions!$D$107+O25*Assumptions!$D$108)*Assumptions!$D$109</f>
        <v>88.2</v>
      </c>
      <c r="P73" s="37" t="n">
        <f aca="false">(P22*Assumptions!$D$105+P23*Assumptions!$D$106+P24*Assumptions!$D$107+P25*Assumptions!$D$108)*Assumptions!$D$109</f>
        <v>98.7</v>
      </c>
      <c r="Q73" s="37" t="n">
        <f aca="false">(Q22*Assumptions!$D$105+Q23*Assumptions!$D$106+Q24*Assumptions!$D$107+Q25*Assumptions!$D$108)*Assumptions!$D$109</f>
        <v>109.2</v>
      </c>
      <c r="R73" s="37" t="n">
        <f aca="false">(R22*Assumptions!$D$105+R23*Assumptions!$D$106+R24*Assumptions!$D$107+R25*Assumptions!$D$108)*Assumptions!$D$109</f>
        <v>119.7</v>
      </c>
      <c r="S73" s="37" t="n">
        <f aca="false">(S22*Assumptions!$D$105+S23*Assumptions!$D$106+S24*Assumptions!$D$107+S25*Assumptions!$D$108)*Assumptions!$D$109</f>
        <v>130.2</v>
      </c>
      <c r="T73" s="37" t="n">
        <f aca="false">(T22*Assumptions!$D$105+T23*Assumptions!$D$106+T24*Assumptions!$D$107+T25*Assumptions!$D$108)*Assumptions!$D$109</f>
        <v>193.2</v>
      </c>
      <c r="U73" s="37" t="n">
        <f aca="false">(U22*Assumptions!$D$105+U23*Assumptions!$D$106+U24*Assumptions!$D$107+U25*Assumptions!$D$108)*Assumptions!$D$109</f>
        <v>207.9</v>
      </c>
      <c r="V73" s="37" t="n">
        <f aca="false">(V22*Assumptions!$D$105+V23*Assumptions!$D$106+V24*Assumptions!$D$107+V25*Assumptions!$D$108)*Assumptions!$D$109</f>
        <v>222.6</v>
      </c>
      <c r="W73" s="37" t="n">
        <f aca="false">(W22*Assumptions!$D$105+W23*Assumptions!$D$106+W24*Assumptions!$D$107+W25*Assumptions!$D$108)*Assumptions!$D$109</f>
        <v>237.3</v>
      </c>
      <c r="X73" s="37" t="n">
        <f aca="false">(X22*Assumptions!$D$105+X23*Assumptions!$D$106+X24*Assumptions!$D$107+X25*Assumptions!$D$108)*Assumptions!$D$109</f>
        <v>252</v>
      </c>
      <c r="Y73" s="37" t="n">
        <f aca="false">(Y22*Assumptions!$D$105+Y23*Assumptions!$D$106+Y24*Assumptions!$D$107+Y25*Assumptions!$D$108)*Assumptions!$D$109</f>
        <v>266.7</v>
      </c>
      <c r="Z73" s="37" t="n">
        <f aca="false">(Z22*Assumptions!$D$105+Z23*Assumptions!$D$106+Z24*Assumptions!$D$107+Z25*Assumptions!$D$108)*Assumptions!$D$109</f>
        <v>281.4</v>
      </c>
      <c r="AA73" s="37" t="n">
        <f aca="false">(AA22*Assumptions!$D$105+AA23*Assumptions!$D$106+AA24*Assumptions!$D$107+AA25*Assumptions!$D$108)*Assumptions!$D$109</f>
        <v>296.1</v>
      </c>
      <c r="AB73" s="37" t="n">
        <f aca="false">(AB22*Assumptions!$D$105+AB23*Assumptions!$D$106+AB24*Assumptions!$D$107+AB25*Assumptions!$D$108)*Assumptions!$D$109</f>
        <v>310.8</v>
      </c>
      <c r="AC73" s="37" t="n">
        <f aca="false">(AC22*Assumptions!$D$105+AC23*Assumptions!$D$106+AC24*Assumptions!$D$107+AC25*Assumptions!$D$108)*Assumptions!$D$109</f>
        <v>325.5</v>
      </c>
      <c r="AD73" s="37" t="n">
        <f aca="false">(AD22*Assumptions!$D$105+AD23*Assumptions!$D$106+AD24*Assumptions!$D$107+AD25*Assumptions!$D$108)*Assumptions!$D$109</f>
        <v>340.2</v>
      </c>
      <c r="AE73" s="37" t="n">
        <f aca="false">(AE22*Assumptions!$D$105+AE23*Assumptions!$D$106+AE24*Assumptions!$D$107+AE25*Assumptions!$D$108)*Assumptions!$D$109</f>
        <v>354.9</v>
      </c>
      <c r="AF73" s="37" t="n">
        <f aca="false">(AF22*Assumptions!$D$105+AF23*Assumptions!$D$106+AF24*Assumptions!$D$107+AF25*Assumptions!$D$108)*Assumptions!$D$109</f>
        <v>369.6</v>
      </c>
      <c r="AG73" s="37" t="n">
        <f aca="false">(AG22*Assumptions!$D$105+AG23*Assumptions!$D$106+AG24*Assumptions!$D$107+AG25*Assumptions!$D$108)*Assumptions!$D$109</f>
        <v>384.3</v>
      </c>
      <c r="AH73" s="37" t="n">
        <f aca="false">(AH22*Assumptions!$D$105+AH23*Assumptions!$D$106+AH24*Assumptions!$D$107+AH25*Assumptions!$D$108)*Assumptions!$D$109</f>
        <v>399</v>
      </c>
      <c r="AI73" s="37" t="n">
        <f aca="false">(AI22*Assumptions!$D$105+AI23*Assumptions!$D$106+AI24*Assumptions!$D$107+AI25*Assumptions!$D$108)*Assumptions!$D$109</f>
        <v>413.7</v>
      </c>
      <c r="AJ73" s="37" t="n">
        <f aca="false">(AJ22*Assumptions!$D$105+AJ23*Assumptions!$D$106+AJ24*Assumptions!$D$107+AJ25*Assumptions!$D$108)*Assumptions!$D$109</f>
        <v>428.4</v>
      </c>
      <c r="AK73" s="37" t="n">
        <f aca="false">(AK22*Assumptions!$D$105+AK23*Assumptions!$D$106+AK24*Assumptions!$D$107+AK25*Assumptions!$D$108)*Assumptions!$D$109</f>
        <v>443.1</v>
      </c>
      <c r="AL73" s="37" t="n">
        <f aca="false">(AL22*Assumptions!$D$105+AL23*Assumptions!$D$106+AL24*Assumptions!$D$107+AL25*Assumptions!$D$108)*Assumptions!$D$109</f>
        <v>457.8</v>
      </c>
    </row>
    <row r="74" customFormat="false" ht="15" hidden="false" customHeight="false" outlineLevel="0" collapsed="false">
      <c r="A74" s="9" t="s">
        <v>618</v>
      </c>
      <c r="B74" s="2" t="s">
        <v>105</v>
      </c>
      <c r="C74" s="37" t="n">
        <f aca="false">C58*CHOOSE(Assumptions!$C$121,Unit_Costs!$Q$14,Unit_Costs!$Q$28,Unit_Costs!$Q$42)</f>
        <v>0</v>
      </c>
      <c r="D74" s="37" t="n">
        <f aca="false">D58*CHOOSE(Assumptions!$C$121,Unit_Costs!$Q$14,Unit_Costs!$Q$28,Unit_Costs!$Q$42)</f>
        <v>0</v>
      </c>
      <c r="E74" s="37" t="n">
        <f aca="false">E58*CHOOSE(Assumptions!$C$121,Unit_Costs!$Q$14,Unit_Costs!$Q$28,Unit_Costs!$Q$42)</f>
        <v>0</v>
      </c>
      <c r="F74" s="37" t="n">
        <f aca="false">F58*CHOOSE(Assumptions!$C$121,Unit_Costs!$Q$14,Unit_Costs!$Q$28,Unit_Costs!$Q$42)</f>
        <v>0</v>
      </c>
      <c r="G74" s="37" t="n">
        <f aca="false">G58*CHOOSE(Assumptions!$C$121,Unit_Costs!$Q$14,Unit_Costs!$Q$28,Unit_Costs!$Q$42)</f>
        <v>0</v>
      </c>
      <c r="H74" s="37" t="n">
        <f aca="false">H58*CHOOSE(Assumptions!$C$121,Unit_Costs!$Q$14,Unit_Costs!$Q$28,Unit_Costs!$Q$42)</f>
        <v>0</v>
      </c>
      <c r="I74" s="37" t="n">
        <f aca="false">I58*CHOOSE(Assumptions!$C$121,Unit_Costs!$Q$14,Unit_Costs!$Q$28,Unit_Costs!$Q$42)</f>
        <v>0</v>
      </c>
      <c r="J74" s="37" t="n">
        <f aca="false">J58*CHOOSE(Assumptions!$C$121,Unit_Costs!$Q$14,Unit_Costs!$Q$28,Unit_Costs!$Q$42)</f>
        <v>0</v>
      </c>
      <c r="K74" s="37" t="n">
        <f aca="false">K58*CHOOSE(Assumptions!$C$121,Unit_Costs!$Q$14,Unit_Costs!$Q$28,Unit_Costs!$Q$42)</f>
        <v>0</v>
      </c>
      <c r="L74" s="37" t="n">
        <f aca="false">L58*CHOOSE(Assumptions!$C$121,Unit_Costs!$Q$14,Unit_Costs!$Q$28,Unit_Costs!$Q$42)</f>
        <v>0</v>
      </c>
      <c r="M74" s="37" t="n">
        <f aca="false">M58*CHOOSE(Assumptions!$C$121,Unit_Costs!$Q$14,Unit_Costs!$Q$28,Unit_Costs!$Q$42)</f>
        <v>0</v>
      </c>
      <c r="N74" s="37" t="n">
        <f aca="false">N58*CHOOSE(Assumptions!$C$121,Unit_Costs!$Q$14,Unit_Costs!$Q$28,Unit_Costs!$Q$42)</f>
        <v>7.96212583796296</v>
      </c>
      <c r="O74" s="37" t="n">
        <f aca="false">O58*CHOOSE(Assumptions!$C$121,Unit_Costs!$Q$14,Unit_Costs!$Q$28,Unit_Costs!$Q$42)</f>
        <v>16.9991386640509</v>
      </c>
      <c r="P74" s="37" t="n">
        <f aca="false">P58*CHOOSE(Assumptions!$C$121,Unit_Costs!$Q$14,Unit_Costs!$Q$28,Unit_Costs!$Q$42)</f>
        <v>27.094915173442</v>
      </c>
      <c r="Q74" s="37" t="n">
        <f aca="false">Q58*CHOOSE(Assumptions!$C$121,Unit_Costs!$Q$14,Unit_Costs!$Q$28,Unit_Costs!$Q$42)</f>
        <v>38.2335739108867</v>
      </c>
      <c r="R74" s="37" t="n">
        <f aca="false">R58*CHOOSE(Assumptions!$C$121,Unit_Costs!$Q$14,Unit_Costs!$Q$28,Unit_Costs!$Q$42)</f>
        <v>50.3994716429641</v>
      </c>
      <c r="S74" s="37" t="n">
        <f aca="false">S58*CHOOSE(Assumptions!$C$121,Unit_Costs!$Q$14,Unit_Costs!$Q$28,Unit_Costs!$Q$42)</f>
        <v>63.5771997847548</v>
      </c>
      <c r="T74" s="37" t="n">
        <f aca="false">T58*CHOOSE(Assumptions!$C$121,Unit_Costs!$Q$14,Unit_Costs!$Q$28,Unit_Costs!$Q$42)</f>
        <v>77.7515808801131</v>
      </c>
      <c r="U74" s="37" t="n">
        <f aca="false">U58*CHOOSE(Assumptions!$C$121,Unit_Costs!$Q$14,Unit_Costs!$Q$28,Unit_Costs!$Q$42)</f>
        <v>92.9076651347355</v>
      </c>
      <c r="V74" s="37" t="n">
        <f aca="false">V58*CHOOSE(Assumptions!$C$121,Unit_Costs!$Q$14,Unit_Costs!$Q$28,Unit_Costs!$Q$42)</f>
        <v>109.030727001233</v>
      </c>
      <c r="W74" s="37" t="n">
        <f aca="false">W58*CHOOSE(Assumptions!$C$121,Unit_Costs!$Q$14,Unit_Costs!$Q$28,Unit_Costs!$Q$42)</f>
        <v>126.106261815427</v>
      </c>
      <c r="X74" s="37" t="n">
        <f aca="false">X58*CHOOSE(Assumptions!$C$121,Unit_Costs!$Q$14,Unit_Costs!$Q$28,Unit_Costs!$Q$42)</f>
        <v>144.119982483103</v>
      </c>
      <c r="Y74" s="37" t="n">
        <f aca="false">Y58*CHOOSE(Assumptions!$C$121,Unit_Costs!$Q$14,Unit_Costs!$Q$28,Unit_Costs!$Q$42)</f>
        <v>163.057816216459</v>
      </c>
      <c r="Z74" s="37" t="n">
        <f aca="false">Z58*CHOOSE(Assumptions!$C$121,Unit_Costs!$Q$14,Unit_Costs!$Q$28,Unit_Costs!$Q$42)</f>
        <v>182.905901319508</v>
      </c>
      <c r="AA74" s="37" t="n">
        <f aca="false">AA58*CHOOSE(Assumptions!$C$121,Unit_Costs!$Q$14,Unit_Costs!$Q$28,Unit_Costs!$Q$42)</f>
        <v>203.650584021706</v>
      </c>
      <c r="AB74" s="37" t="n">
        <f aca="false">AB58*CHOOSE(Assumptions!$C$121,Unit_Costs!$Q$14,Unit_Costs!$Q$28,Unit_Costs!$Q$42)</f>
        <v>225.278415359066</v>
      </c>
      <c r="AC74" s="37" t="n">
        <f aca="false">AC58*CHOOSE(Assumptions!$C$121,Unit_Costs!$Q$14,Unit_Costs!$Q$28,Unit_Costs!$Q$42)</f>
        <v>247.77614810206</v>
      </c>
      <c r="AD74" s="37" t="n">
        <f aca="false">AD58*CHOOSE(Assumptions!$C$121,Unit_Costs!$Q$14,Unit_Costs!$Q$28,Unit_Costs!$Q$42)</f>
        <v>271.130733729603</v>
      </c>
      <c r="AE74" s="37" t="n">
        <f aca="false">AE58*CHOOSE(Assumptions!$C$121,Unit_Costs!$Q$14,Unit_Costs!$Q$28,Unit_Costs!$Q$42)</f>
        <v>295.329319448427</v>
      </c>
      <c r="AF74" s="37" t="n">
        <f aca="false">AF58*CHOOSE(Assumptions!$C$121,Unit_Costs!$Q$14,Unit_Costs!$Q$28,Unit_Costs!$Q$42)</f>
        <v>320.359245257164</v>
      </c>
      <c r="AG74" s="37" t="n">
        <f aca="false">AG58*CHOOSE(Assumptions!$C$121,Unit_Costs!$Q$14,Unit_Costs!$Q$28,Unit_Costs!$Q$42)</f>
        <v>346.208041054464</v>
      </c>
      <c r="AH74" s="37" t="n">
        <f aca="false">AH58*CHOOSE(Assumptions!$C$121,Unit_Costs!$Q$14,Unit_Costs!$Q$28,Unit_Costs!$Q$42)</f>
        <v>372.863423790499</v>
      </c>
      <c r="AI74" s="37" t="n">
        <f aca="false">AI58*CHOOSE(Assumptions!$C$121,Unit_Costs!$Q$14,Unit_Costs!$Q$28,Unit_Costs!$Q$42)</f>
        <v>400.313294661187</v>
      </c>
      <c r="AJ74" s="37" t="n">
        <f aca="false">AJ58*CHOOSE(Assumptions!$C$121,Unit_Costs!$Q$14,Unit_Costs!$Q$28,Unit_Costs!$Q$42)</f>
        <v>428.54573634451</v>
      </c>
      <c r="AK74" s="37" t="n">
        <f aca="false">AK58*CHOOSE(Assumptions!$C$121,Unit_Costs!$Q$14,Unit_Costs!$Q$28,Unit_Costs!$Q$42)</f>
        <v>457.549010278278</v>
      </c>
      <c r="AL74" s="37" t="n">
        <f aca="false">AL58*CHOOSE(Assumptions!$C$121,Unit_Costs!$Q$14,Unit_Costs!$Q$28,Unit_Costs!$Q$42)</f>
        <v>487.311553978733</v>
      </c>
    </row>
    <row r="75" customFormat="false" ht="15" hidden="false" customHeight="false" outlineLevel="0" collapsed="false">
      <c r="A75" s="9" t="s">
        <v>619</v>
      </c>
      <c r="B75" s="2" t="s">
        <v>105</v>
      </c>
      <c r="C75" s="37" t="n">
        <f aca="false">(C39+C50+C54)*Assumptions!$D$97+C30*Assumptions!$D$101+(C40+C51+C55)*Assumptions!$D$98+C31*Assumptions!$D$102+(C41+C52+C56)*Assumptions!$D$99+C32*Assumptions!$D$103+(C42+C53+C57)*Assumptions!$D$100+C33*Assumptions!$D$104+C59*Assumptions!$D$99</f>
        <v>0</v>
      </c>
      <c r="D75" s="37" t="n">
        <f aca="false">(D39+D50+D54)*Assumptions!$D$97+D30*Assumptions!$D$101+(D40+D51+D55)*Assumptions!$D$98+D31*Assumptions!$D$102+(D41+D52+D56)*Assumptions!$D$99+D32*Assumptions!$D$103+(D42+D53+D57)*Assumptions!$D$100+D33*Assumptions!$D$104+D59*Assumptions!$D$99</f>
        <v>0</v>
      </c>
      <c r="E75" s="37" t="n">
        <f aca="false">(E39+E50+E54)*Assumptions!$D$97+E30*Assumptions!$D$101+(E40+E51+E55)*Assumptions!$D$98+E31*Assumptions!$D$102+(E41+E52+E56)*Assumptions!$D$99+E32*Assumptions!$D$103+(E42+E53+E57)*Assumptions!$D$100+E33*Assumptions!$D$104+E59*Assumptions!$D$99</f>
        <v>0</v>
      </c>
      <c r="F75" s="37" t="n">
        <f aca="false">(F39+F50+F54)*Assumptions!$D$97+F30*Assumptions!$D$101+(F40+F51+F55)*Assumptions!$D$98+F31*Assumptions!$D$102+(F41+F52+F56)*Assumptions!$D$99+F32*Assumptions!$D$103+(F42+F53+F57)*Assumptions!$D$100+F33*Assumptions!$D$104+F59*Assumptions!$D$99</f>
        <v>0</v>
      </c>
      <c r="G75" s="37" t="n">
        <f aca="false">(G39+G50+G54)*Assumptions!$D$97+G30*Assumptions!$D$101+(G40+G51+G55)*Assumptions!$D$98+G31*Assumptions!$D$102+(G41+G52+G56)*Assumptions!$D$99+G32*Assumptions!$D$103+(G42+G53+G57)*Assumptions!$D$100+G33*Assumptions!$D$104+G59*Assumptions!$D$99</f>
        <v>0</v>
      </c>
      <c r="H75" s="37" t="n">
        <f aca="false">(H39+H50+H54)*Assumptions!$D$97+H30*Assumptions!$D$101+(H40+H51+H55)*Assumptions!$D$98+H31*Assumptions!$D$102+(H41+H52+H56)*Assumptions!$D$99+H32*Assumptions!$D$103+(H42+H53+H57)*Assumptions!$D$100+H33*Assumptions!$D$104+H59*Assumptions!$D$99</f>
        <v>0</v>
      </c>
      <c r="I75" s="37" t="n">
        <f aca="false">(I39+I50+I54)*Assumptions!$D$97+I30*Assumptions!$D$101+(I40+I51+I55)*Assumptions!$D$98+I31*Assumptions!$D$102+(I41+I52+I56)*Assumptions!$D$99+I32*Assumptions!$D$103+(I42+I53+I57)*Assumptions!$D$100+I33*Assumptions!$D$104+I59*Assumptions!$D$99</f>
        <v>0</v>
      </c>
      <c r="J75" s="37" t="n">
        <f aca="false">(J39+J50+J54)*Assumptions!$D$97+J30*Assumptions!$D$101+(J40+J51+J55)*Assumptions!$D$98+J31*Assumptions!$D$102+(J41+J52+J56)*Assumptions!$D$99+J32*Assumptions!$D$103+(J42+J53+J57)*Assumptions!$D$100+J33*Assumptions!$D$104+J59*Assumptions!$D$99</f>
        <v>0</v>
      </c>
      <c r="K75" s="37" t="n">
        <f aca="false">(K39+K50+K54)*Assumptions!$D$97+K30*Assumptions!$D$101+(K40+K51+K55)*Assumptions!$D$98+K31*Assumptions!$D$102+(K41+K52+K56)*Assumptions!$D$99+K32*Assumptions!$D$103+(K42+K53+K57)*Assumptions!$D$100+K33*Assumptions!$D$104+K59*Assumptions!$D$99</f>
        <v>2.462256</v>
      </c>
      <c r="L75" s="37" t="n">
        <f aca="false">(L39+L50+L54)*Assumptions!$D$97+L30*Assumptions!$D$101+(L40+L51+L55)*Assumptions!$D$98+L31*Assumptions!$D$102+(L41+L52+L56)*Assumptions!$D$99+L32*Assumptions!$D$103+(L42+L53+L57)*Assumptions!$D$100+L33*Assumptions!$D$104+L59*Assumptions!$D$99</f>
        <v>8.1444896132</v>
      </c>
      <c r="M75" s="37" t="n">
        <f aca="false">(M39+M50+M54)*Assumptions!$D$97+M30*Assumptions!$D$101+(M40+M51+M55)*Assumptions!$D$98+M31*Assumptions!$D$102+(M41+M52+M56)*Assumptions!$D$99+M32*Assumptions!$D$103+(M42+M53+M57)*Assumptions!$D$100+M33*Assumptions!$D$104+M59*Assumptions!$D$99</f>
        <v>13.5077559265322</v>
      </c>
      <c r="N75" s="37" t="n">
        <f aca="false">(N39+N50+N54)*Assumptions!$D$97+N30*Assumptions!$D$101+(N40+N51+N55)*Assumptions!$D$98+N31*Assumptions!$D$102+(N41+N52+N56)*Assumptions!$D$99+N32*Assumptions!$D$103+(N42+N53+N57)*Assumptions!$D$100+N33*Assumptions!$D$104+N59*Assumptions!$D$99</f>
        <v>22.1631155466532</v>
      </c>
      <c r="O75" s="37" t="n">
        <f aca="false">(O39+O50+O54)*Assumptions!$D$97+O30*Assumptions!$D$101+(O40+O51+O55)*Assumptions!$D$98+O31*Assumptions!$D$102+(O41+O52+O56)*Assumptions!$D$99+O32*Assumptions!$D$103+(O42+O53+O57)*Assumptions!$D$100+O33*Assumptions!$D$104+O59*Assumptions!$D$99</f>
        <v>30.9026344151177</v>
      </c>
      <c r="P75" s="37" t="n">
        <f aca="false">(P39+P50+P54)*Assumptions!$D$97+P30*Assumptions!$D$101+(P40+P51+P55)*Assumptions!$D$98+P31*Assumptions!$D$102+(P41+P52+P56)*Assumptions!$D$99+P32*Assumptions!$D$103+(P42+P53+P57)*Assumptions!$D$100+P33*Assumptions!$D$104+P59*Assumptions!$D$99</f>
        <v>40.404874438588</v>
      </c>
      <c r="Q75" s="37" t="n">
        <f aca="false">(Q39+Q50+Q54)*Assumptions!$D$97+Q30*Assumptions!$D$101+(Q40+Q51+Q55)*Assumptions!$D$98+Q31*Assumptions!$D$102+(Q41+Q52+Q56)*Assumptions!$D$99+Q32*Assumptions!$D$103+(Q42+Q53+Q57)*Assumptions!$D$100+Q33*Assumptions!$D$104+Q59*Assumptions!$D$99</f>
        <v>50.6479348783195</v>
      </c>
      <c r="R75" s="37" t="n">
        <f aca="false">(R39+R50+R54)*Assumptions!$D$97+R30*Assumptions!$D$101+(R40+R51+R55)*Assumptions!$D$98+R31*Assumptions!$D$102+(R41+R52+R56)*Assumptions!$D$99+R32*Assumptions!$D$103+(R42+R53+R57)*Assumptions!$D$100+R33*Assumptions!$D$104+R59*Assumptions!$D$99</f>
        <v>61.6106724544001</v>
      </c>
      <c r="S75" s="37" t="n">
        <f aca="false">(S39+S50+S54)*Assumptions!$D$97+S30*Assumptions!$D$101+(S40+S51+S55)*Assumptions!$D$98+S31*Assumptions!$D$102+(S41+S52+S56)*Assumptions!$D$99+S32*Assumptions!$D$103+(S42+S53+S57)*Assumptions!$D$100+S33*Assumptions!$D$104+S59*Assumptions!$D$99</f>
        <v>73.2726726376735</v>
      </c>
      <c r="T75" s="37" t="n">
        <f aca="false">(T39+T50+T54)*Assumptions!$D$97+T30*Assumptions!$D$101+(T40+T51+T55)*Assumptions!$D$98+T31*Assumptions!$D$102+(T41+T52+T56)*Assumptions!$D$99+T32*Assumptions!$D$103+(T42+T53+T57)*Assumptions!$D$100+T33*Assumptions!$D$104+T59*Assumptions!$D$99</f>
        <v>89.8532570808696</v>
      </c>
      <c r="U75" s="37" t="n">
        <f aca="false">(U39+U50+U54)*Assumptions!$D$97+U30*Assumptions!$D$101+(U40+U51+U55)*Assumptions!$D$98+U31*Assumptions!$D$102+(U41+U52+U56)*Assumptions!$D$99+U32*Assumptions!$D$103+(U42+U53+U57)*Assumptions!$D$100+U33*Assumptions!$D$104+U59*Assumptions!$D$99</f>
        <v>105.358738342483</v>
      </c>
      <c r="V75" s="37" t="n">
        <f aca="false">(V39+V50+V54)*Assumptions!$D$97+V30*Assumptions!$D$101+(V40+V51+V55)*Assumptions!$D$98+V31*Assumptions!$D$102+(V41+V52+V56)*Assumptions!$D$99+V32*Assumptions!$D$103+(V42+V53+V57)*Assumptions!$D$100+V33*Assumptions!$D$104+V59*Assumptions!$D$99</f>
        <v>121.667322376687</v>
      </c>
      <c r="W75" s="37" t="n">
        <f aca="false">(W39+W50+W54)*Assumptions!$D$97+W30*Assumptions!$D$101+(W40+W51+W55)*Assumptions!$D$98+W31*Assumptions!$D$102+(W41+W52+W56)*Assumptions!$D$99+W32*Assumptions!$D$103+(W42+W53+W57)*Assumptions!$D$100+W33*Assumptions!$D$104+W59*Assumptions!$D$99</f>
        <v>138.760345433372</v>
      </c>
      <c r="X75" s="37" t="n">
        <f aca="false">(X39+X50+X54)*Assumptions!$D$97+X30*Assumptions!$D$101+(X40+X51+X55)*Assumptions!$D$98+X31*Assumptions!$D$102+(X41+X52+X56)*Assumptions!$D$99+X32*Assumptions!$D$103+(X42+X53+X57)*Assumptions!$D$100+X33*Assumptions!$D$104+X59*Assumptions!$D$99</f>
        <v>156.619750564234</v>
      </c>
      <c r="Y75" s="37" t="n">
        <f aca="false">(Y39+Y50+Y54)*Assumptions!$D$97+Y30*Assumptions!$D$101+(Y40+Y51+Y55)*Assumptions!$D$98+Y31*Assumptions!$D$102+(Y41+Y52+Y56)*Assumptions!$D$99+Y32*Assumptions!$D$103+(Y42+Y53+Y57)*Assumptions!$D$100+Y33*Assumptions!$D$104+Y59*Assumptions!$D$99</f>
        <v>175.228065054559</v>
      </c>
      <c r="Z75" s="37" t="n">
        <f aca="false">(Z39+Z50+Z54)*Assumptions!$D$97+Z30*Assumptions!$D$101+(Z40+Z51+Z55)*Assumptions!$D$98+Z31*Assumptions!$D$102+(Z41+Z52+Z56)*Assumptions!$D$99+Z32*Assumptions!$D$103+(Z42+Z53+Z57)*Assumptions!$D$100+Z33*Assumptions!$D$104+Z59*Assumptions!$D$99</f>
        <v>194.56837874311</v>
      </c>
      <c r="AA75" s="37" t="n">
        <f aca="false">(AA39+AA50+AA54)*Assumptions!$D$97+AA30*Assumptions!$D$101+(AA40+AA51+AA55)*Assumptions!$D$98+AA31*Assumptions!$D$102+(AA41+AA52+AA56)*Assumptions!$D$99+AA32*Assumptions!$D$103+(AA42+AA53+AA57)*Assumptions!$D$100+AA33*Assumptions!$D$104+AA59*Assumptions!$D$99</f>
        <v>214.624323194101</v>
      </c>
      <c r="AB75" s="37" t="n">
        <f aca="false">(AB39+AB50+AB54)*Assumptions!$D$97+AB30*Assumptions!$D$101+(AB40+AB51+AB55)*Assumptions!$D$98+AB31*Assumptions!$D$102+(AB41+AB52+AB56)*Assumptions!$D$99+AB32*Assumptions!$D$103+(AB42+AB53+AB57)*Assumptions!$D$100+AB33*Assumptions!$D$104+AB59*Assumptions!$D$99</f>
        <v>235.380051686711</v>
      </c>
      <c r="AC75" s="37" t="n">
        <f aca="false">(AC39+AC50+AC54)*Assumptions!$D$97+AC30*Assumptions!$D$101+(AC40+AC51+AC55)*Assumptions!$D$98+AC31*Assumptions!$D$102+(AC41+AC52+AC56)*Assumptions!$D$99+AC32*Assumptions!$D$103+(AC42+AC53+AC57)*Assumptions!$D$100+AC33*Assumptions!$D$104+AC59*Assumptions!$D$99</f>
        <v>256.820219989033</v>
      </c>
      <c r="AD75" s="37" t="n">
        <f aca="false">(AD39+AD50+AD54)*Assumptions!$D$97+AD30*Assumptions!$D$101+(AD40+AD51+AD55)*Assumptions!$D$98+AD31*Assumptions!$D$102+(AD41+AD52+AD56)*Assumptions!$D$99+AD32*Assumptions!$D$103+(AD42+AD53+AD57)*Assumptions!$D$100+AD33*Assumptions!$D$104+AD59*Assumptions!$D$99</f>
        <v>278.929967884715</v>
      </c>
      <c r="AE75" s="37" t="n">
        <f aca="false">(AE39+AE50+AE54)*Assumptions!$D$97+AE30*Assumptions!$D$101+(AE40+AE51+AE55)*Assumptions!$D$98+AE31*Assumptions!$D$102+(AE41+AE52+AE56)*Assumptions!$D$99+AE32*Assumptions!$D$103+(AE42+AE53+AE57)*Assumptions!$D$100+AE33*Assumptions!$D$104+AE59*Assumptions!$D$99</f>
        <v>301.694901421878</v>
      </c>
      <c r="AF75" s="37" t="n">
        <f aca="false">(AF39+AF50+AF54)*Assumptions!$D$97+AF30*Assumptions!$D$101+(AF40+AF51+AF55)*Assumptions!$D$98+AF31*Assumptions!$D$102+(AF41+AF52+AF56)*Assumptions!$D$99+AF32*Assumptions!$D$103+(AF42+AF53+AF57)*Assumptions!$D$100+AF33*Assumptions!$D$104+AF59*Assumptions!$D$99</f>
        <v>325.101075855123</v>
      </c>
      <c r="AG75" s="37" t="n">
        <f aca="false">(AG39+AG50+AG54)*Assumptions!$D$97+AG30*Assumptions!$D$101+(AG40+AG51+AG55)*Assumptions!$D$98+AG31*Assumptions!$D$102+(AG41+AG52+AG56)*Assumptions!$D$99+AG32*Assumptions!$D$103+(AG42+AG53+AG57)*Assumptions!$D$100+AG33*Assumptions!$D$104+AG59*Assumptions!$D$99</f>
        <v>349.134979252671</v>
      </c>
      <c r="AH75" s="37" t="n">
        <f aca="false">(AH39+AH50+AH54)*Assumptions!$D$97+AH30*Assumptions!$D$101+(AH40+AH51+AH55)*Assumptions!$D$98+AH31*Assumptions!$D$102+(AH41+AH52+AH56)*Assumptions!$D$99+AH32*Assumptions!$D$103+(AH42+AH53+AH57)*Assumptions!$D$100+AH33*Assumptions!$D$104+AH59*Assumptions!$D$99</f>
        <v>373.783516741814</v>
      </c>
      <c r="AI75" s="37" t="n">
        <f aca="false">(AI39+AI50+AI54)*Assumptions!$D$97+AI30*Assumptions!$D$101+(AI40+AI51+AI55)*Assumptions!$D$98+AI31*Assumptions!$D$102+(AI41+AI52+AI56)*Assumptions!$D$99+AI32*Assumptions!$D$103+(AI42+AI53+AI57)*Assumptions!$D$100+AI33*Assumptions!$D$104+AI59*Assumptions!$D$99</f>
        <v>399.033995366982</v>
      </c>
      <c r="AJ75" s="37" t="n">
        <f aca="false">(AJ39+AJ50+AJ54)*Assumptions!$D$97+AJ30*Assumptions!$D$101+(AJ40+AJ51+AJ55)*Assumptions!$D$98+AJ31*Assumptions!$D$102+(AJ41+AJ52+AJ56)*Assumptions!$D$99+AJ32*Assumptions!$D$103+(AJ42+AJ53+AJ57)*Assumptions!$D$100+AJ33*Assumptions!$D$104+AJ59*Assumptions!$D$99</f>
        <v>424.874109535754</v>
      </c>
      <c r="AK75" s="37" t="n">
        <f aca="false">(AK39+AK50+AK54)*Assumptions!$D$97+AK30*Assumptions!$D$101+(AK40+AK51+AK55)*Assumptions!$D$98+AK31*Assumptions!$D$102+(AK41+AK52+AK56)*Assumptions!$D$99+AK32*Assumptions!$D$103+(AK42+AK53+AK57)*Assumptions!$D$100+AK33*Assumptions!$D$104+AK59*Assumptions!$D$99</f>
        <v>451.291927029195</v>
      </c>
      <c r="AL75" s="37" t="n">
        <f aca="false">(AL39+AL50+AL54)*Assumptions!$D$97+AL30*Assumptions!$D$101+(AL40+AL51+AL55)*Assumptions!$D$98+AL31*Assumptions!$D$102+(AL41+AL52+AL56)*Assumptions!$D$99+AL32*Assumptions!$D$103+(AL42+AL53+AL57)*Assumptions!$D$100+AL33*Assumptions!$D$104+AL59*Assumptions!$D$99</f>
        <v>478.275875553847</v>
      </c>
    </row>
    <row r="76" customFormat="false" ht="15" hidden="false" customHeight="false" outlineLevel="0" collapsed="false">
      <c r="A76" s="9" t="s">
        <v>620</v>
      </c>
      <c r="B76" s="2" t="s">
        <v>105</v>
      </c>
      <c r="C76" s="37" t="n">
        <f aca="false">Assumptions!$D$172+Assumptions!$D$173*C36</f>
        <v>300</v>
      </c>
      <c r="D76" s="37" t="n">
        <f aca="false">Assumptions!$D$172+Assumptions!$D$173*D36</f>
        <v>300</v>
      </c>
      <c r="E76" s="37" t="n">
        <f aca="false">Assumptions!$D$172+Assumptions!$D$173*E36</f>
        <v>300</v>
      </c>
      <c r="F76" s="37" t="n">
        <f aca="false">Assumptions!$D$172+Assumptions!$D$173*F36</f>
        <v>300</v>
      </c>
      <c r="G76" s="37" t="n">
        <f aca="false">Assumptions!$D$172+Assumptions!$D$173*G36</f>
        <v>300</v>
      </c>
      <c r="H76" s="37" t="n">
        <f aca="false">Assumptions!$D$172+Assumptions!$D$173*H36</f>
        <v>300</v>
      </c>
      <c r="I76" s="37" t="n">
        <f aca="false">Assumptions!$D$172+Assumptions!$D$173*I36</f>
        <v>300</v>
      </c>
      <c r="J76" s="37" t="n">
        <f aca="false">Assumptions!$D$172+Assumptions!$D$173*J36</f>
        <v>300</v>
      </c>
      <c r="K76" s="37" t="n">
        <f aca="false">Assumptions!$D$172+Assumptions!$D$173*K36</f>
        <v>301.2</v>
      </c>
      <c r="L76" s="37" t="n">
        <f aca="false">Assumptions!$D$172+Assumptions!$D$173*L36</f>
        <v>302.826</v>
      </c>
      <c r="M76" s="37" t="n">
        <f aca="false">Assumptions!$D$172+Assumptions!$D$173*M36</f>
        <v>304.62183</v>
      </c>
      <c r="N76" s="37" t="n">
        <f aca="false">Assumptions!$D$172+Assumptions!$D$173*N36</f>
        <v>306.73034265</v>
      </c>
      <c r="O76" s="37" t="n">
        <f aca="false">Assumptions!$D$172+Assumptions!$D$173*O36</f>
        <v>309.01494490575</v>
      </c>
      <c r="P76" s="37" t="n">
        <f aca="false">Assumptions!$D$172+Assumptions!$D$173*P36</f>
        <v>311.468781191366</v>
      </c>
      <c r="Q76" s="37" t="n">
        <f aca="false">Assumptions!$D$172+Assumptions!$D$173*Q36</f>
        <v>314.085279185907</v>
      </c>
      <c r="R76" s="37" t="n">
        <f aca="false">Assumptions!$D$172+Assumptions!$D$173*R36</f>
        <v>316.858137778257</v>
      </c>
      <c r="S76" s="37" t="n">
        <f aca="false">Assumptions!$D$172+Assumptions!$D$173*S36</f>
        <v>319.781315542236</v>
      </c>
      <c r="T76" s="37" t="n">
        <f aca="false">Assumptions!$D$172+Assumptions!$D$173*T36</f>
        <v>322.924019709223</v>
      </c>
      <c r="U76" s="37" t="n">
        <f aca="false">Assumptions!$D$172+Assumptions!$D$173*U36</f>
        <v>326.210945616634</v>
      </c>
      <c r="V76" s="37" t="n">
        <f aca="false">Assumptions!$D$172+Assumptions!$D$173*V36</f>
        <v>329.636714111483</v>
      </c>
      <c r="W76" s="37" t="n">
        <f aca="false">Assumptions!$D$172+Assumptions!$D$173*W36</f>
        <v>333.196164914232</v>
      </c>
      <c r="X76" s="37" t="n">
        <f aca="false">Assumptions!$D$172+Assumptions!$D$173*X36</f>
        <v>336.884347368685</v>
      </c>
      <c r="Y76" s="37" t="n">
        <f aca="false">Assumptions!$D$172+Assumptions!$D$173*Y36</f>
        <v>340.696511590133</v>
      </c>
      <c r="Z76" s="37" t="n">
        <f aca="false">Assumptions!$D$172+Assumptions!$D$173*Z36</f>
        <v>344.628099994401</v>
      </c>
      <c r="AA76" s="37" t="n">
        <f aca="false">Assumptions!$D$172+Assumptions!$D$173*AA36</f>
        <v>348.674739191226</v>
      </c>
      <c r="AB76" s="37" t="n">
        <f aca="false">Assumptions!$D$172+Assumptions!$D$173*AB36</f>
        <v>352.83223222613</v>
      </c>
      <c r="AC76" s="37" t="n">
        <f aca="false">Assumptions!$D$172+Assumptions!$D$173*AC36</f>
        <v>357.09655115562</v>
      </c>
      <c r="AD76" s="37" t="n">
        <f aca="false">Assumptions!$D$172+Assumptions!$D$173*AD36</f>
        <v>361.463829941249</v>
      </c>
      <c r="AE76" s="37" t="n">
        <f aca="false">Assumptions!$D$172+Assumptions!$D$173*AE36</f>
        <v>365.930357648659</v>
      </c>
      <c r="AF76" s="37" t="n">
        <f aca="false">Assumptions!$D$172+Assumptions!$D$173*AF36</f>
        <v>370.492571938389</v>
      </c>
      <c r="AG76" s="37" t="n">
        <f aca="false">Assumptions!$D$172+Assumptions!$D$173*AG36</f>
        <v>375.147052835752</v>
      </c>
      <c r="AH76" s="37" t="n">
        <f aca="false">Assumptions!$D$172+Assumptions!$D$173*AH36</f>
        <v>379.890516767696</v>
      </c>
      <c r="AI76" s="37" t="n">
        <f aca="false">Assumptions!$D$172+Assumptions!$D$173*AI36</f>
        <v>384.719810855043</v>
      </c>
      <c r="AJ76" s="37" t="n">
        <f aca="false">Assumptions!$D$172+Assumptions!$D$173*AJ36</f>
        <v>389.631907449049</v>
      </c>
      <c r="AK76" s="37" t="n">
        <f aca="false">Assumptions!$D$172+Assumptions!$D$173*AK36</f>
        <v>394.623898901684</v>
      </c>
      <c r="AL76" s="37" t="n">
        <f aca="false">Assumptions!$D$172+Assumptions!$D$173*AL36</f>
        <v>399.692992559505</v>
      </c>
    </row>
    <row r="77" customFormat="false" ht="15" hidden="false" customHeight="false" outlineLevel="0" collapsed="false">
      <c r="A77" s="9" t="s">
        <v>621</v>
      </c>
      <c r="B77" s="2" t="s">
        <v>105</v>
      </c>
      <c r="C77" s="37" t="n">
        <f aca="false">IF(C$3=Assumptions!$D$176,Assumptions!$D$174,IF(AND(C$3&gt;Assumptions!$D$176,MOD(C$3-Assumptions!$D$176,12)=0),Assumptions!$D$175,0))*Assumptions!$D$6</f>
        <v>0</v>
      </c>
      <c r="D77" s="37" t="n">
        <f aca="false">IF(D$3=Assumptions!$D$176,Assumptions!$D$174,IF(AND(D$3&gt;Assumptions!$D$176,MOD(D$3-Assumptions!$D$176,12)=0),Assumptions!$D$175,0))*Assumptions!$D$6</f>
        <v>0</v>
      </c>
      <c r="E77" s="37" t="n">
        <f aca="false">IF(E$3=Assumptions!$D$176,Assumptions!$D$174,IF(AND(E$3&gt;Assumptions!$D$176,MOD(E$3-Assumptions!$D$176,12)=0),Assumptions!$D$175,0))*Assumptions!$D$6</f>
        <v>0</v>
      </c>
      <c r="F77" s="37" t="n">
        <f aca="false">IF(F$3=Assumptions!$D$176,Assumptions!$D$174,IF(AND(F$3&gt;Assumptions!$D$176,MOD(F$3-Assumptions!$D$176,12)=0),Assumptions!$D$175,0))*Assumptions!$D$6</f>
        <v>0</v>
      </c>
      <c r="G77" s="37" t="n">
        <f aca="false">IF(G$3=Assumptions!$D$176,Assumptions!$D$174,IF(AND(G$3&gt;Assumptions!$D$176,MOD(G$3-Assumptions!$D$176,12)=0),Assumptions!$D$175,0))*Assumptions!$D$6</f>
        <v>0</v>
      </c>
      <c r="H77" s="37" t="n">
        <f aca="false">IF(H$3=Assumptions!$D$176,Assumptions!$D$174,IF(AND(H$3&gt;Assumptions!$D$176,MOD(H$3-Assumptions!$D$176,12)=0),Assumptions!$D$175,0))*Assumptions!$D$6</f>
        <v>0</v>
      </c>
      <c r="I77" s="37" t="n">
        <f aca="false">IF(I$3=Assumptions!$D$176,Assumptions!$D$174,IF(AND(I$3&gt;Assumptions!$D$176,MOD(I$3-Assumptions!$D$176,12)=0),Assumptions!$D$175,0))*Assumptions!$D$6</f>
        <v>0</v>
      </c>
      <c r="J77" s="37" t="n">
        <f aca="false">IF(J$3=Assumptions!$D$176,Assumptions!$D$174,IF(AND(J$3&gt;Assumptions!$D$176,MOD(J$3-Assumptions!$D$176,12)=0),Assumptions!$D$175,0))*Assumptions!$D$6</f>
        <v>5662.5</v>
      </c>
      <c r="K77" s="37" t="n">
        <f aca="false">IF(K$3=Assumptions!$D$176,Assumptions!$D$174,IF(AND(K$3&gt;Assumptions!$D$176,MOD(K$3-Assumptions!$D$176,12)=0),Assumptions!$D$175,0))*Assumptions!$D$6</f>
        <v>0</v>
      </c>
      <c r="L77" s="37" t="n">
        <f aca="false">IF(L$3=Assumptions!$D$176,Assumptions!$D$174,IF(AND(L$3&gt;Assumptions!$D$176,MOD(L$3-Assumptions!$D$176,12)=0),Assumptions!$D$175,0))*Assumptions!$D$6</f>
        <v>0</v>
      </c>
      <c r="M77" s="37" t="n">
        <f aca="false">IF(M$3=Assumptions!$D$176,Assumptions!$D$174,IF(AND(M$3&gt;Assumptions!$D$176,MOD(M$3-Assumptions!$D$176,12)=0),Assumptions!$D$175,0))*Assumptions!$D$6</f>
        <v>0</v>
      </c>
      <c r="N77" s="37" t="n">
        <f aca="false">IF(N$3=Assumptions!$D$176,Assumptions!$D$174,IF(AND(N$3&gt;Assumptions!$D$176,MOD(N$3-Assumptions!$D$176,12)=0),Assumptions!$D$175,0))*Assumptions!$D$6</f>
        <v>0</v>
      </c>
      <c r="O77" s="37" t="n">
        <f aca="false">IF(O$3=Assumptions!$D$176,Assumptions!$D$174,IF(AND(O$3&gt;Assumptions!$D$176,MOD(O$3-Assumptions!$D$176,12)=0),Assumptions!$D$175,0))*Assumptions!$D$6</f>
        <v>0</v>
      </c>
      <c r="P77" s="37" t="n">
        <f aca="false">IF(P$3=Assumptions!$D$176,Assumptions!$D$174,IF(AND(P$3&gt;Assumptions!$D$176,MOD(P$3-Assumptions!$D$176,12)=0),Assumptions!$D$175,0))*Assumptions!$D$6</f>
        <v>0</v>
      </c>
      <c r="Q77" s="37" t="n">
        <f aca="false">IF(Q$3=Assumptions!$D$176,Assumptions!$D$174,IF(AND(Q$3&gt;Assumptions!$D$176,MOD(Q$3-Assumptions!$D$176,12)=0),Assumptions!$D$175,0))*Assumptions!$D$6</f>
        <v>0</v>
      </c>
      <c r="R77" s="37" t="n">
        <f aca="false">IF(R$3=Assumptions!$D$176,Assumptions!$D$174,IF(AND(R$3&gt;Assumptions!$D$176,MOD(R$3-Assumptions!$D$176,12)=0),Assumptions!$D$175,0))*Assumptions!$D$6</f>
        <v>0</v>
      </c>
      <c r="S77" s="37" t="n">
        <f aca="false">IF(S$3=Assumptions!$D$176,Assumptions!$D$174,IF(AND(S$3&gt;Assumptions!$D$176,MOD(S$3-Assumptions!$D$176,12)=0),Assumptions!$D$175,0))*Assumptions!$D$6</f>
        <v>0</v>
      </c>
      <c r="T77" s="37" t="n">
        <f aca="false">IF(T$3=Assumptions!$D$176,Assumptions!$D$174,IF(AND(T$3&gt;Assumptions!$D$176,MOD(T$3-Assumptions!$D$176,12)=0),Assumptions!$D$175,0))*Assumptions!$D$6</f>
        <v>0</v>
      </c>
      <c r="U77" s="37" t="n">
        <f aca="false">IF(U$3=Assumptions!$D$176,Assumptions!$D$174,IF(AND(U$3&gt;Assumptions!$D$176,MOD(U$3-Assumptions!$D$176,12)=0),Assumptions!$D$175,0))*Assumptions!$D$6</f>
        <v>0</v>
      </c>
      <c r="V77" s="37" t="n">
        <f aca="false">IF(V$3=Assumptions!$D$176,Assumptions!$D$174,IF(AND(V$3&gt;Assumptions!$D$176,MOD(V$3-Assumptions!$D$176,12)=0),Assumptions!$D$175,0))*Assumptions!$D$6</f>
        <v>3397.5</v>
      </c>
      <c r="W77" s="37" t="n">
        <f aca="false">IF(W$3=Assumptions!$D$176,Assumptions!$D$174,IF(AND(W$3&gt;Assumptions!$D$176,MOD(W$3-Assumptions!$D$176,12)=0),Assumptions!$D$175,0))*Assumptions!$D$6</f>
        <v>0</v>
      </c>
      <c r="X77" s="37" t="n">
        <f aca="false">IF(X$3=Assumptions!$D$176,Assumptions!$D$174,IF(AND(X$3&gt;Assumptions!$D$176,MOD(X$3-Assumptions!$D$176,12)=0),Assumptions!$D$175,0))*Assumptions!$D$6</f>
        <v>0</v>
      </c>
      <c r="Y77" s="37" t="n">
        <f aca="false">IF(Y$3=Assumptions!$D$176,Assumptions!$D$174,IF(AND(Y$3&gt;Assumptions!$D$176,MOD(Y$3-Assumptions!$D$176,12)=0),Assumptions!$D$175,0))*Assumptions!$D$6</f>
        <v>0</v>
      </c>
      <c r="Z77" s="37" t="n">
        <f aca="false">IF(Z$3=Assumptions!$D$176,Assumptions!$D$174,IF(AND(Z$3&gt;Assumptions!$D$176,MOD(Z$3-Assumptions!$D$176,12)=0),Assumptions!$D$175,0))*Assumptions!$D$6</f>
        <v>0</v>
      </c>
      <c r="AA77" s="37" t="n">
        <f aca="false">IF(AA$3=Assumptions!$D$176,Assumptions!$D$174,IF(AND(AA$3&gt;Assumptions!$D$176,MOD(AA$3-Assumptions!$D$176,12)=0),Assumptions!$D$175,0))*Assumptions!$D$6</f>
        <v>0</v>
      </c>
      <c r="AB77" s="37" t="n">
        <f aca="false">IF(AB$3=Assumptions!$D$176,Assumptions!$D$174,IF(AND(AB$3&gt;Assumptions!$D$176,MOD(AB$3-Assumptions!$D$176,12)=0),Assumptions!$D$175,0))*Assumptions!$D$6</f>
        <v>0</v>
      </c>
      <c r="AC77" s="37" t="n">
        <f aca="false">IF(AC$3=Assumptions!$D$176,Assumptions!$D$174,IF(AND(AC$3&gt;Assumptions!$D$176,MOD(AC$3-Assumptions!$D$176,12)=0),Assumptions!$D$175,0))*Assumptions!$D$6</f>
        <v>0</v>
      </c>
      <c r="AD77" s="37" t="n">
        <f aca="false">IF(AD$3=Assumptions!$D$176,Assumptions!$D$174,IF(AND(AD$3&gt;Assumptions!$D$176,MOD(AD$3-Assumptions!$D$176,12)=0),Assumptions!$D$175,0))*Assumptions!$D$6</f>
        <v>0</v>
      </c>
      <c r="AE77" s="37" t="n">
        <f aca="false">IF(AE$3=Assumptions!$D$176,Assumptions!$D$174,IF(AND(AE$3&gt;Assumptions!$D$176,MOD(AE$3-Assumptions!$D$176,12)=0),Assumptions!$D$175,0))*Assumptions!$D$6</f>
        <v>0</v>
      </c>
      <c r="AF77" s="37" t="n">
        <f aca="false">IF(AF$3=Assumptions!$D$176,Assumptions!$D$174,IF(AND(AF$3&gt;Assumptions!$D$176,MOD(AF$3-Assumptions!$D$176,12)=0),Assumptions!$D$175,0))*Assumptions!$D$6</f>
        <v>0</v>
      </c>
      <c r="AG77" s="37" t="n">
        <f aca="false">IF(AG$3=Assumptions!$D$176,Assumptions!$D$174,IF(AND(AG$3&gt;Assumptions!$D$176,MOD(AG$3-Assumptions!$D$176,12)=0),Assumptions!$D$175,0))*Assumptions!$D$6</f>
        <v>0</v>
      </c>
      <c r="AH77" s="37" t="n">
        <f aca="false">IF(AH$3=Assumptions!$D$176,Assumptions!$D$174,IF(AND(AH$3&gt;Assumptions!$D$176,MOD(AH$3-Assumptions!$D$176,12)=0),Assumptions!$D$175,0))*Assumptions!$D$6</f>
        <v>3397.5</v>
      </c>
      <c r="AI77" s="37" t="n">
        <f aca="false">IF(AI$3=Assumptions!$D$176,Assumptions!$D$174,IF(AND(AI$3&gt;Assumptions!$D$176,MOD(AI$3-Assumptions!$D$176,12)=0),Assumptions!$D$175,0))*Assumptions!$D$6</f>
        <v>0</v>
      </c>
      <c r="AJ77" s="37" t="n">
        <f aca="false">IF(AJ$3=Assumptions!$D$176,Assumptions!$D$174,IF(AND(AJ$3&gt;Assumptions!$D$176,MOD(AJ$3-Assumptions!$D$176,12)=0),Assumptions!$D$175,0))*Assumptions!$D$6</f>
        <v>0</v>
      </c>
      <c r="AK77" s="37" t="n">
        <f aca="false">IF(AK$3=Assumptions!$D$176,Assumptions!$D$174,IF(AND(AK$3&gt;Assumptions!$D$176,MOD(AK$3-Assumptions!$D$176,12)=0),Assumptions!$D$175,0))*Assumptions!$D$6</f>
        <v>0</v>
      </c>
      <c r="AL77" s="37" t="n">
        <f aca="false">IF(AL$3=Assumptions!$D$176,Assumptions!$D$174,IF(AND(AL$3&gt;Assumptions!$D$176,MOD(AL$3-Assumptions!$D$176,12)=0),Assumptions!$D$175,0))*Assumptions!$D$6</f>
        <v>0</v>
      </c>
    </row>
    <row r="78" customFormat="false" ht="15" hidden="false" customHeight="false" outlineLevel="0" collapsed="false">
      <c r="A78" s="3" t="s">
        <v>622</v>
      </c>
      <c r="B78" s="2" t="s">
        <v>105</v>
      </c>
      <c r="C78" s="46" t="n">
        <f aca="false">SUM(C66:C77)</f>
        <v>300</v>
      </c>
      <c r="D78" s="46" t="n">
        <f aca="false">SUM(D66:D77)</f>
        <v>300</v>
      </c>
      <c r="E78" s="46" t="n">
        <f aca="false">SUM(E66:E77)</f>
        <v>300</v>
      </c>
      <c r="F78" s="46" t="n">
        <f aca="false">SUM(F66:F77)</f>
        <v>300</v>
      </c>
      <c r="G78" s="46" t="n">
        <f aca="false">SUM(G66:G77)</f>
        <v>300</v>
      </c>
      <c r="H78" s="46" t="n">
        <f aca="false">SUM(H66:H77)</f>
        <v>300</v>
      </c>
      <c r="I78" s="46" t="n">
        <f aca="false">SUM(I66:I77)</f>
        <v>300</v>
      </c>
      <c r="J78" s="46" t="n">
        <f aca="false">SUM(J66:J77)</f>
        <v>5962.5</v>
      </c>
      <c r="K78" s="46" t="n">
        <f aca="false">SUM(K66:K77)</f>
        <v>395.434193946667</v>
      </c>
      <c r="L78" s="46" t="n">
        <f aca="false">SUM(L66:L77)</f>
        <v>589.505686025378</v>
      </c>
      <c r="M78" s="46" t="n">
        <f aca="false">SUM(M66:M77)</f>
        <v>787.251290942506</v>
      </c>
      <c r="N78" s="46" t="n">
        <f aca="false">SUM(N66:N77)</f>
        <v>1125.18159722428</v>
      </c>
      <c r="O78" s="46" t="n">
        <f aca="false">SUM(O66:O77)</f>
        <v>1470.60942981623</v>
      </c>
      <c r="P78" s="46" t="n">
        <f aca="false">SUM(P66:P77)</f>
        <v>1847.08870781116</v>
      </c>
      <c r="Q78" s="46" t="n">
        <f aca="false">SUM(Q66:Q77)</f>
        <v>2253.7048994529</v>
      </c>
      <c r="R78" s="46" t="n">
        <f aca="false">SUM(R66:R77)</f>
        <v>2689.57502958792</v>
      </c>
      <c r="S78" s="46" t="n">
        <f aca="false">SUM(S66:S77)</f>
        <v>3153.84648651856</v>
      </c>
      <c r="T78" s="46" t="n">
        <f aca="false">SUM(T66:T77)</f>
        <v>3868.83809761426</v>
      </c>
      <c r="U78" s="46" t="n">
        <f aca="false">SUM(U66:U77)</f>
        <v>4572.22497410957</v>
      </c>
      <c r="V78" s="46" t="n">
        <f aca="false">SUM(V66:V77)</f>
        <v>8710.81901309933</v>
      </c>
      <c r="W78" s="46" t="n">
        <f aca="false">SUM(W66:W77)</f>
        <v>6091.26182766791</v>
      </c>
      <c r="X78" s="46" t="n">
        <f aca="false">SUM(X66:X77)</f>
        <v>6905.22126039748</v>
      </c>
      <c r="Y78" s="46" t="n">
        <f aca="false">SUM(Y66:Y77)</f>
        <v>7754.39043546842</v>
      </c>
      <c r="Z78" s="46" t="n">
        <f aca="false">SUM(Z66:Z77)</f>
        <v>8637.98684778525</v>
      </c>
      <c r="AA78" s="46" t="n">
        <f aca="false">SUM(AA66:AA77)</f>
        <v>9555.25148762659</v>
      </c>
      <c r="AB78" s="46" t="n">
        <f aca="false">SUM(AB66:AB77)</f>
        <v>10505.4479993797</v>
      </c>
      <c r="AC78" s="46" t="n">
        <f aca="false">SUM(AC66:AC77)</f>
        <v>11487.8618729801</v>
      </c>
      <c r="AD78" s="46" t="n">
        <f aca="false">SUM(AD66:AD77)</f>
        <v>12501.7996667331</v>
      </c>
      <c r="AE78" s="46" t="n">
        <f aca="false">SUM(AE66:AE77)</f>
        <v>13546.5882602505</v>
      </c>
      <c r="AF78" s="46" t="n">
        <f aca="false">SUM(AF66:AF77)</f>
        <v>14621.5741362856</v>
      </c>
      <c r="AG78" s="46" t="n">
        <f aca="false">SUM(AG66:AG77)</f>
        <v>15726.1226903026</v>
      </c>
      <c r="AH78" s="46" t="n">
        <f aca="false">SUM(AH66:AH77)</f>
        <v>20257.1175666619</v>
      </c>
      <c r="AI78" s="46" t="n">
        <f aca="false">SUM(AI66:AI77)</f>
        <v>18021.4600203518</v>
      </c>
      <c r="AJ78" s="46" t="n">
        <f aca="false">SUM(AJ66:AJ77)</f>
        <v>19211.0683032385</v>
      </c>
      <c r="AK78" s="46" t="n">
        <f aca="false">SUM(AK66:AK77)</f>
        <v>20427.8770738499</v>
      </c>
      <c r="AL78" s="46" t="n">
        <f aca="false">SUM(AL66:AL77)</f>
        <v>21671.3368297499</v>
      </c>
    </row>
    <row r="79" customFormat="false" ht="15" hidden="false" customHeight="false" outlineLevel="0" collapsed="false">
      <c r="A79" s="3" t="s">
        <v>623</v>
      </c>
      <c r="B79" s="2" t="s">
        <v>105</v>
      </c>
      <c r="C79" s="45" t="n">
        <f aca="false">C63-C78</f>
        <v>-300</v>
      </c>
      <c r="D79" s="45" t="n">
        <f aca="false">D63-D78</f>
        <v>-300</v>
      </c>
      <c r="E79" s="45" t="n">
        <f aca="false">E63-E78</f>
        <v>-300</v>
      </c>
      <c r="F79" s="45" t="n">
        <f aca="false">F63-F78</f>
        <v>-300</v>
      </c>
      <c r="G79" s="45" t="n">
        <f aca="false">G63-G78</f>
        <v>-300</v>
      </c>
      <c r="H79" s="45" t="n">
        <f aca="false">H63-H78</f>
        <v>-300</v>
      </c>
      <c r="I79" s="45" t="n">
        <f aca="false">I63-I78</f>
        <v>-300</v>
      </c>
      <c r="J79" s="45" t="n">
        <f aca="false">J63-J78</f>
        <v>-5962.5</v>
      </c>
      <c r="K79" s="45" t="n">
        <f aca="false">K63-K78</f>
        <v>-290.786193946667</v>
      </c>
      <c r="L79" s="45" t="n">
        <f aca="false">L63-L78</f>
        <v>-236.428885425378</v>
      </c>
      <c r="M79" s="45" t="n">
        <f aca="false">M63-M78</f>
        <v>-201.273476100134</v>
      </c>
      <c r="N79" s="45" t="n">
        <f aca="false">N63-N78</f>
        <v>-68.9154369218618</v>
      </c>
      <c r="O79" s="45" t="n">
        <f aca="false">O63-O78</f>
        <v>34.1184334618486</v>
      </c>
      <c r="P79" s="45" t="n">
        <f aca="false">P63-P78</f>
        <v>146.960010719025</v>
      </c>
      <c r="Q79" s="45" t="n">
        <f aca="false">Q63-Q78</f>
        <v>269.494424956012</v>
      </c>
      <c r="R79" s="45" t="n">
        <f aca="false">R63-R78</f>
        <v>401.608760662787</v>
      </c>
      <c r="S79" s="45" t="n">
        <f aca="false">S63-S78</f>
        <v>543.192008142828</v>
      </c>
      <c r="T79" s="45" t="n">
        <f aca="false">T63-T78</f>
        <v>838.177795004884</v>
      </c>
      <c r="U79" s="45" t="n">
        <f aca="false">U63-U78</f>
        <v>1021.74759530745</v>
      </c>
      <c r="V79" s="45" t="n">
        <f aca="false">V63-V78</f>
        <v>-2181.35379011583</v>
      </c>
      <c r="W79" s="45" t="n">
        <f aca="false">W63-W78</f>
        <v>1421.31686207318</v>
      </c>
      <c r="X79" s="45" t="n">
        <f aca="false">X63-X78</f>
        <v>1637.20366557146</v>
      </c>
      <c r="Y79" s="45" t="n">
        <f aca="false">Y63-Y78</f>
        <v>1863.7515934121</v>
      </c>
      <c r="Z79" s="45" t="n">
        <f aca="false">Z63-Z78</f>
        <v>2100.90644802741</v>
      </c>
      <c r="AA79" s="45" t="n">
        <f aca="false">AA63-AA78</f>
        <v>2348.61483236191</v>
      </c>
      <c r="AB79" s="45" t="n">
        <f aca="false">AB63-AB78</f>
        <v>2606.82412200043</v>
      </c>
      <c r="AC79" s="45" t="n">
        <f aca="false">AC63-AC78</f>
        <v>2875.4824382777</v>
      </c>
      <c r="AD79" s="45" t="n">
        <f aca="false">AD63-AD78</f>
        <v>3154.53862233681</v>
      </c>
      <c r="AE79" s="45" t="n">
        <f aca="false">AE63-AE78</f>
        <v>3443.94221010512</v>
      </c>
      <c r="AF79" s="45" t="n">
        <f aca="false">AF63-AF78</f>
        <v>3743.64340815697</v>
      </c>
      <c r="AG79" s="45" t="n">
        <f aca="false">AG63-AG78</f>
        <v>4053.59307043388</v>
      </c>
      <c r="AH79" s="45" t="n">
        <f aca="false">AH63-AH78</f>
        <v>976.242675793525</v>
      </c>
      <c r="AI79" s="45" t="n">
        <f aca="false">AI63-AI78</f>
        <v>4704.04430635987</v>
      </c>
      <c r="AJ79" s="45" t="n">
        <f aca="false">AJ63-AJ78</f>
        <v>5044.45062664785</v>
      </c>
      <c r="AK79" s="45" t="n">
        <f aca="false">AK63-AK78</f>
        <v>5394.91486343658</v>
      </c>
      <c r="AL79" s="45" t="n">
        <f aca="false">AL63-AL78</f>
        <v>5755.39078636618</v>
      </c>
    </row>
    <row r="80" customFormat="false" ht="15" hidden="false" customHeight="false" outlineLevel="0" collapsed="false">
      <c r="A80" s="3" t="s">
        <v>624</v>
      </c>
      <c r="B80" s="2" t="s">
        <v>165</v>
      </c>
      <c r="C80" s="47" t="n">
        <f aca="false">IF(C63=0,0,C79/C63)</f>
        <v>0</v>
      </c>
      <c r="D80" s="47" t="n">
        <f aca="false">IF(D63=0,0,D79/D63)</f>
        <v>0</v>
      </c>
      <c r="E80" s="47" t="n">
        <f aca="false">IF(E63=0,0,E79/E63)</f>
        <v>0</v>
      </c>
      <c r="F80" s="47" t="n">
        <f aca="false">IF(F63=0,0,F79/F63)</f>
        <v>0</v>
      </c>
      <c r="G80" s="47" t="n">
        <f aca="false">IF(G63=0,0,G79/G63)</f>
        <v>0</v>
      </c>
      <c r="H80" s="47" t="n">
        <f aca="false">IF(H63=0,0,H79/H63)</f>
        <v>0</v>
      </c>
      <c r="I80" s="47" t="n">
        <f aca="false">IF(I63=0,0,I79/I63)</f>
        <v>0</v>
      </c>
      <c r="J80" s="47" t="n">
        <f aca="false">IF(J63=0,0,J79/J63)</f>
        <v>0</v>
      </c>
      <c r="K80" s="47" t="n">
        <f aca="false">IF(K63=0,0,K79/K63)</f>
        <v>-2.7787076097648</v>
      </c>
      <c r="L80" s="47" t="n">
        <f aca="false">IF(L63=0,0,L79/L63)</f>
        <v>-0.669624526515486</v>
      </c>
      <c r="M80" s="47" t="n">
        <f aca="false">IF(M63=0,0,M79/M63)</f>
        <v>-0.343483099533855</v>
      </c>
      <c r="N80" s="47" t="n">
        <f aca="false">IF(N63=0,0,N79/N63)</f>
        <v>-0.0652443858488573</v>
      </c>
      <c r="O80" s="47" t="n">
        <f aca="false">IF(O63=0,0,O79/O63)</f>
        <v>0.0226741554366654</v>
      </c>
      <c r="P80" s="47" t="n">
        <f aca="false">IF(P63=0,0,P79/P63)</f>
        <v>0.0736993080225994</v>
      </c>
      <c r="Q80" s="47" t="n">
        <f aca="false">IF(Q63=0,0,Q79/Q63)</f>
        <v>0.106806633288531</v>
      </c>
      <c r="R80" s="47" t="n">
        <f aca="false">IF(R63=0,0,R79/R63)</f>
        <v>0.12992069961334</v>
      </c>
      <c r="S80" s="47" t="n">
        <f aca="false">IF(S63=0,0,S79/S63)</f>
        <v>0.146926251627407</v>
      </c>
      <c r="T80" s="47" t="n">
        <f aca="false">IF(T63=0,0,T79/T63)</f>
        <v>0.178069888465682</v>
      </c>
      <c r="U80" s="47" t="n">
        <f aca="false">IF(U63=0,0,U79/U63)</f>
        <v>0.182651520476428</v>
      </c>
      <c r="V80" s="47" t="n">
        <f aca="false">IF(V63=0,0,V79/V63)</f>
        <v>-0.334078475896853</v>
      </c>
      <c r="W80" s="47" t="n">
        <f aca="false">IF(W63=0,0,W79/W63)</f>
        <v>0.189191610600243</v>
      </c>
      <c r="X80" s="47" t="n">
        <f aca="false">IF(X63=0,0,X79/X63)</f>
        <v>0.19165561064451</v>
      </c>
      <c r="Y80" s="47" t="n">
        <f aca="false">IF(Y63=0,0,Y79/Y63)</f>
        <v>0.193774596779273</v>
      </c>
      <c r="Z80" s="47" t="n">
        <f aca="false">IF(Z63=0,0,Z79/Z63)</f>
        <v>0.195635284768739</v>
      </c>
      <c r="AA80" s="47" t="n">
        <f aca="false">IF(AA63=0,0,AA79/AA63)</f>
        <v>0.197298488510259</v>
      </c>
      <c r="AB80" s="47" t="n">
        <f aca="false">IF(AB63=0,0,AB79/AB63)</f>
        <v>0.198807963857758</v>
      </c>
      <c r="AC80" s="47" t="n">
        <f aca="false">IF(AC63=0,0,AC79/AC63)</f>
        <v>0.200195885858138</v>
      </c>
      <c r="AD80" s="47" t="n">
        <f aca="false">IF(AD63=0,0,AD79/AD63)</f>
        <v>0.20148636060956</v>
      </c>
      <c r="AE80" s="47" t="n">
        <f aca="false">IF(AE63=0,0,AE79/AE63)</f>
        <v>0.202697744847576</v>
      </c>
      <c r="AF80" s="47" t="n">
        <f aca="false">IF(AF63=0,0,AF79/AF63)</f>
        <v>0.203844217967884</v>
      </c>
      <c r="AG80" s="47" t="n">
        <f aca="false">IF(AG63=0,0,AG79/AG63)</f>
        <v>0.204936871665286</v>
      </c>
      <c r="AH80" s="47" t="n">
        <f aca="false">IF(AH63=0,0,AH79/AH63)</f>
        <v>0.0459768338428865</v>
      </c>
      <c r="AI80" s="47" t="n">
        <f aca="false">IF(AI63=0,0,AI79/AI63)</f>
        <v>0.206994055609613</v>
      </c>
      <c r="AJ80" s="47" t="n">
        <f aca="false">IF(AJ63=0,0,AJ79/AJ63)</f>
        <v>0.207971251459491</v>
      </c>
      <c r="AK80" s="47" t="n">
        <f aca="false">IF(AK63=0,0,AK79/AK63)</f>
        <v>0.208920664990011</v>
      </c>
      <c r="AL80" s="47" t="n">
        <f aca="false">IF(AL63=0,0,AL79/AL63)</f>
        <v>0.209846062093981</v>
      </c>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customFormat="false" ht="15" hidden="false" customHeight="false" outlineLevel="0" collapsed="false">
      <c r="A82" s="5" t="s">
        <v>625</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row>
    <row r="83" customFormat="false" ht="15" hidden="false" customHeight="false" outlineLevel="0" collapsed="false">
      <c r="A83" s="9" t="s">
        <v>626</v>
      </c>
      <c r="B83" s="2" t="s">
        <v>105</v>
      </c>
      <c r="C83" s="37" t="n">
        <f aca="false">Assumptions!$D$161*(1+Assumptions!$D$162)/12</f>
        <v>3000</v>
      </c>
      <c r="D83" s="37" t="n">
        <f aca="false">Assumptions!$D$161*(1+Assumptions!$D$162)/12</f>
        <v>3000</v>
      </c>
      <c r="E83" s="37" t="n">
        <f aca="false">Assumptions!$D$161*(1+Assumptions!$D$162)/12</f>
        <v>3000</v>
      </c>
      <c r="F83" s="37" t="n">
        <f aca="false">Assumptions!$D$161*(1+Assumptions!$D$162)/12</f>
        <v>3000</v>
      </c>
      <c r="G83" s="37" t="n">
        <f aca="false">Assumptions!$D$161*(1+Assumptions!$D$162)/12</f>
        <v>3000</v>
      </c>
      <c r="H83" s="37" t="n">
        <f aca="false">Assumptions!$D$161*(1+Assumptions!$D$162)/12</f>
        <v>3000</v>
      </c>
      <c r="I83" s="37" t="n">
        <f aca="false">Assumptions!$D$161*(1+Assumptions!$D$162)/12</f>
        <v>3000</v>
      </c>
      <c r="J83" s="37" t="n">
        <f aca="false">Assumptions!$D$161*(1+Assumptions!$D$162)/12</f>
        <v>3000</v>
      </c>
      <c r="K83" s="37" t="n">
        <f aca="false">Assumptions!$D$161*(1+Assumptions!$D$162)/12</f>
        <v>3000</v>
      </c>
      <c r="L83" s="37" t="n">
        <f aca="false">Assumptions!$D$161*(1+Assumptions!$D$162)/12</f>
        <v>3000</v>
      </c>
      <c r="M83" s="37" t="n">
        <f aca="false">Assumptions!$D$161*(1+Assumptions!$D$162)/12</f>
        <v>3000</v>
      </c>
      <c r="N83" s="37" t="n">
        <f aca="false">Assumptions!$D$161*(1+Assumptions!$D$162)/12</f>
        <v>3000</v>
      </c>
      <c r="O83" s="37" t="n">
        <f aca="false">Assumptions!$D$161*(1+Assumptions!$D$162)/12</f>
        <v>3000</v>
      </c>
      <c r="P83" s="37" t="n">
        <f aca="false">Assumptions!$D$161*(1+Assumptions!$D$162)/12</f>
        <v>3000</v>
      </c>
      <c r="Q83" s="37" t="n">
        <f aca="false">Assumptions!$D$161*(1+Assumptions!$D$162)/12</f>
        <v>3000</v>
      </c>
      <c r="R83" s="37" t="n">
        <f aca="false">Assumptions!$D$161*(1+Assumptions!$D$162)/12</f>
        <v>3000</v>
      </c>
      <c r="S83" s="37" t="n">
        <f aca="false">Assumptions!$D$161*(1+Assumptions!$D$162)/12</f>
        <v>3000</v>
      </c>
      <c r="T83" s="37" t="n">
        <f aca="false">Assumptions!$D$161*(1+Assumptions!$D$162)/12</f>
        <v>3000</v>
      </c>
      <c r="U83" s="37" t="n">
        <f aca="false">Assumptions!$D$161*(1+Assumptions!$D$162)/12</f>
        <v>3000</v>
      </c>
      <c r="V83" s="37" t="n">
        <f aca="false">Assumptions!$D$161*(1+Assumptions!$D$162)/12</f>
        <v>3000</v>
      </c>
      <c r="W83" s="37" t="n">
        <f aca="false">Assumptions!$D$161*(1+Assumptions!$D$162)/12</f>
        <v>3000</v>
      </c>
      <c r="X83" s="37" t="n">
        <f aca="false">Assumptions!$D$161*(1+Assumptions!$D$162)/12</f>
        <v>3000</v>
      </c>
      <c r="Y83" s="37" t="n">
        <f aca="false">Assumptions!$D$161*(1+Assumptions!$D$162)/12</f>
        <v>3000</v>
      </c>
      <c r="Z83" s="37" t="n">
        <f aca="false">Assumptions!$D$161*(1+Assumptions!$D$162)/12</f>
        <v>3000</v>
      </c>
      <c r="AA83" s="37" t="n">
        <f aca="false">Assumptions!$D$161*(1+Assumptions!$D$162)/12</f>
        <v>3000</v>
      </c>
      <c r="AB83" s="37" t="n">
        <f aca="false">Assumptions!$D$161*(1+Assumptions!$D$162)/12</f>
        <v>3000</v>
      </c>
      <c r="AC83" s="37" t="n">
        <f aca="false">Assumptions!$D$161*(1+Assumptions!$D$162)/12</f>
        <v>3000</v>
      </c>
      <c r="AD83" s="37" t="n">
        <f aca="false">Assumptions!$D$161*(1+Assumptions!$D$162)/12</f>
        <v>3000</v>
      </c>
      <c r="AE83" s="37" t="n">
        <f aca="false">Assumptions!$D$161*(1+Assumptions!$D$162)/12</f>
        <v>3000</v>
      </c>
      <c r="AF83" s="37" t="n">
        <f aca="false">Assumptions!$D$161*(1+Assumptions!$D$162)/12</f>
        <v>3000</v>
      </c>
      <c r="AG83" s="37" t="n">
        <f aca="false">Assumptions!$D$161*(1+Assumptions!$D$162)/12</f>
        <v>3000</v>
      </c>
      <c r="AH83" s="37" t="n">
        <f aca="false">Assumptions!$D$161*(1+Assumptions!$D$162)/12</f>
        <v>3000</v>
      </c>
      <c r="AI83" s="37" t="n">
        <f aca="false">Assumptions!$D$161*(1+Assumptions!$D$162)/12</f>
        <v>3000</v>
      </c>
      <c r="AJ83" s="37" t="n">
        <f aca="false">Assumptions!$D$161*(1+Assumptions!$D$162)/12</f>
        <v>3000</v>
      </c>
      <c r="AK83" s="37" t="n">
        <f aca="false">Assumptions!$D$161*(1+Assumptions!$D$162)/12</f>
        <v>3000</v>
      </c>
      <c r="AL83" s="37" t="n">
        <f aca="false">Assumptions!$D$161*(1+Assumptions!$D$162)/12</f>
        <v>3000</v>
      </c>
    </row>
    <row r="84" customFormat="false" ht="15" hidden="false" customHeight="false" outlineLevel="0" collapsed="false">
      <c r="A84" s="9" t="s">
        <v>627</v>
      </c>
      <c r="B84" s="2" t="s">
        <v>105</v>
      </c>
      <c r="C84" s="37" t="n">
        <f aca="false">C7*Assumptions!$D$187*(1+Assumptions!$D$162)/12</f>
        <v>0</v>
      </c>
      <c r="D84" s="37" t="n">
        <f aca="false">D7*Assumptions!$D$187*(1+Assumptions!$D$162)/12</f>
        <v>0</v>
      </c>
      <c r="E84" s="37" t="n">
        <f aca="false">E7*Assumptions!$D$187*(1+Assumptions!$D$162)/12</f>
        <v>0</v>
      </c>
      <c r="F84" s="37" t="n">
        <f aca="false">F7*Assumptions!$D$187*(1+Assumptions!$D$162)/12</f>
        <v>0</v>
      </c>
      <c r="G84" s="37" t="n">
        <f aca="false">G7*Assumptions!$D$187*(1+Assumptions!$D$162)/12</f>
        <v>0</v>
      </c>
      <c r="H84" s="37" t="n">
        <f aca="false">H7*Assumptions!$D$187*(1+Assumptions!$D$162)/12</f>
        <v>0</v>
      </c>
      <c r="I84" s="37" t="n">
        <f aca="false">I7*Assumptions!$D$187*(1+Assumptions!$D$162)/12</f>
        <v>0</v>
      </c>
      <c r="J84" s="37" t="n">
        <f aca="false">J7*Assumptions!$D$187*(1+Assumptions!$D$162)/12</f>
        <v>0</v>
      </c>
      <c r="K84" s="37" t="n">
        <f aca="false">K7*Assumptions!$D$187*(1+Assumptions!$D$162)/12</f>
        <v>0</v>
      </c>
      <c r="L84" s="37" t="n">
        <f aca="false">L7*Assumptions!$D$187*(1+Assumptions!$D$162)/12</f>
        <v>0</v>
      </c>
      <c r="M84" s="37" t="n">
        <f aca="false">M7*Assumptions!$D$187*(1+Assumptions!$D$162)/12</f>
        <v>0</v>
      </c>
      <c r="N84" s="37" t="n">
        <f aca="false">N7*Assumptions!$D$187*(1+Assumptions!$D$162)/12</f>
        <v>0</v>
      </c>
      <c r="O84" s="37" t="n">
        <f aca="false">O7*Assumptions!$D$187*(1+Assumptions!$D$162)/12</f>
        <v>0</v>
      </c>
      <c r="P84" s="37" t="n">
        <f aca="false">P7*Assumptions!$D$187*(1+Assumptions!$D$162)/12</f>
        <v>0</v>
      </c>
      <c r="Q84" s="37" t="n">
        <f aca="false">Q7*Assumptions!$D$187*(1+Assumptions!$D$162)/12</f>
        <v>0</v>
      </c>
      <c r="R84" s="37" t="n">
        <f aca="false">R7*Assumptions!$D$187*(1+Assumptions!$D$162)/12</f>
        <v>0</v>
      </c>
      <c r="S84" s="37" t="n">
        <f aca="false">S7*Assumptions!$D$187*(1+Assumptions!$D$162)/12</f>
        <v>0</v>
      </c>
      <c r="T84" s="37" t="n">
        <f aca="false">T7*Assumptions!$D$187*(1+Assumptions!$D$162)/12</f>
        <v>0</v>
      </c>
      <c r="U84" s="37" t="n">
        <f aca="false">U7*Assumptions!$D$187*(1+Assumptions!$D$162)/12</f>
        <v>0</v>
      </c>
      <c r="V84" s="37" t="n">
        <f aca="false">V7*Assumptions!$D$187*(1+Assumptions!$D$162)/12</f>
        <v>0</v>
      </c>
      <c r="W84" s="37" t="n">
        <f aca="false">W7*Assumptions!$D$187*(1+Assumptions!$D$162)/12</f>
        <v>0</v>
      </c>
      <c r="X84" s="37" t="n">
        <f aca="false">X7*Assumptions!$D$187*(1+Assumptions!$D$162)/12</f>
        <v>3200</v>
      </c>
      <c r="Y84" s="37" t="n">
        <f aca="false">Y7*Assumptions!$D$187*(1+Assumptions!$D$162)/12</f>
        <v>3200</v>
      </c>
      <c r="Z84" s="37" t="n">
        <f aca="false">Z7*Assumptions!$D$187*(1+Assumptions!$D$162)/12</f>
        <v>3200</v>
      </c>
      <c r="AA84" s="37" t="n">
        <f aca="false">AA7*Assumptions!$D$187*(1+Assumptions!$D$162)/12</f>
        <v>3200</v>
      </c>
      <c r="AB84" s="37" t="n">
        <f aca="false">AB7*Assumptions!$D$187*(1+Assumptions!$D$162)/12</f>
        <v>3200</v>
      </c>
      <c r="AC84" s="37" t="n">
        <f aca="false">AC7*Assumptions!$D$187*(1+Assumptions!$D$162)/12</f>
        <v>3200</v>
      </c>
      <c r="AD84" s="37" t="n">
        <f aca="false">AD7*Assumptions!$D$187*(1+Assumptions!$D$162)/12</f>
        <v>3200</v>
      </c>
      <c r="AE84" s="37" t="n">
        <f aca="false">AE7*Assumptions!$D$187*(1+Assumptions!$D$162)/12</f>
        <v>3200</v>
      </c>
      <c r="AF84" s="37" t="n">
        <f aca="false">AF7*Assumptions!$D$187*(1+Assumptions!$D$162)/12</f>
        <v>3200</v>
      </c>
      <c r="AG84" s="37" t="n">
        <f aca="false">AG7*Assumptions!$D$187*(1+Assumptions!$D$162)/12</f>
        <v>3200</v>
      </c>
      <c r="AH84" s="37" t="n">
        <f aca="false">AH7*Assumptions!$D$187*(1+Assumptions!$D$162)/12</f>
        <v>3200</v>
      </c>
      <c r="AI84" s="37" t="n">
        <f aca="false">AI7*Assumptions!$D$187*(1+Assumptions!$D$162)/12</f>
        <v>3200</v>
      </c>
      <c r="AJ84" s="37" t="n">
        <f aca="false">AJ7*Assumptions!$D$187*(1+Assumptions!$D$162)/12</f>
        <v>3200</v>
      </c>
      <c r="AK84" s="37" t="n">
        <f aca="false">AK7*Assumptions!$D$187*(1+Assumptions!$D$162)/12</f>
        <v>3200</v>
      </c>
      <c r="AL84" s="37" t="n">
        <f aca="false">AL7*Assumptions!$D$187*(1+Assumptions!$D$162)/12</f>
        <v>3200</v>
      </c>
    </row>
    <row r="85" customFormat="false" ht="15" hidden="false" customHeight="false" outlineLevel="0" collapsed="false">
      <c r="A85" s="9" t="s">
        <v>628</v>
      </c>
      <c r="B85" s="2" t="s">
        <v>105</v>
      </c>
      <c r="C85" s="37" t="n">
        <f aca="false">C8*Assumptions!$D$188*(1+Assumptions!$D$162)/12</f>
        <v>0</v>
      </c>
      <c r="D85" s="37" t="n">
        <f aca="false">D8*Assumptions!$D$188*(1+Assumptions!$D$162)/12</f>
        <v>0</v>
      </c>
      <c r="E85" s="37" t="n">
        <f aca="false">E8*Assumptions!$D$188*(1+Assumptions!$D$162)/12</f>
        <v>0</v>
      </c>
      <c r="F85" s="37" t="n">
        <f aca="false">F8*Assumptions!$D$188*(1+Assumptions!$D$162)/12</f>
        <v>0</v>
      </c>
      <c r="G85" s="37" t="n">
        <f aca="false">G8*Assumptions!$D$188*(1+Assumptions!$D$162)/12</f>
        <v>0</v>
      </c>
      <c r="H85" s="37" t="n">
        <f aca="false">H8*Assumptions!$D$188*(1+Assumptions!$D$162)/12</f>
        <v>0</v>
      </c>
      <c r="I85" s="37" t="n">
        <f aca="false">I8*Assumptions!$D$188*(1+Assumptions!$D$162)/12</f>
        <v>0</v>
      </c>
      <c r="J85" s="37" t="n">
        <f aca="false">J8*Assumptions!$D$188*(1+Assumptions!$D$162)/12</f>
        <v>0</v>
      </c>
      <c r="K85" s="37" t="n">
        <f aca="false">K8*Assumptions!$D$188*(1+Assumptions!$D$162)/12</f>
        <v>0</v>
      </c>
      <c r="L85" s="37" t="n">
        <f aca="false">L8*Assumptions!$D$188*(1+Assumptions!$D$162)/12</f>
        <v>0</v>
      </c>
      <c r="M85" s="37" t="n">
        <f aca="false">M8*Assumptions!$D$188*(1+Assumptions!$D$162)/12</f>
        <v>0</v>
      </c>
      <c r="N85" s="37" t="n">
        <f aca="false">N8*Assumptions!$D$188*(1+Assumptions!$D$162)/12</f>
        <v>0</v>
      </c>
      <c r="O85" s="37" t="n">
        <f aca="false">O8*Assumptions!$D$188*(1+Assumptions!$D$162)/12</f>
        <v>0</v>
      </c>
      <c r="P85" s="37" t="n">
        <f aca="false">P8*Assumptions!$D$188*(1+Assumptions!$D$162)/12</f>
        <v>0</v>
      </c>
      <c r="Q85" s="37" t="n">
        <f aca="false">Q8*Assumptions!$D$188*(1+Assumptions!$D$162)/12</f>
        <v>0</v>
      </c>
      <c r="R85" s="37" t="n">
        <f aca="false">R8*Assumptions!$D$188*(1+Assumptions!$D$162)/12</f>
        <v>0</v>
      </c>
      <c r="S85" s="37" t="n">
        <f aca="false">S8*Assumptions!$D$188*(1+Assumptions!$D$162)/12</f>
        <v>0</v>
      </c>
      <c r="T85" s="37" t="n">
        <f aca="false">T8*Assumptions!$D$188*(1+Assumptions!$D$162)/12</f>
        <v>0</v>
      </c>
      <c r="U85" s="37" t="n">
        <f aca="false">U8*Assumptions!$D$188*(1+Assumptions!$D$162)/12</f>
        <v>0</v>
      </c>
      <c r="V85" s="37" t="n">
        <f aca="false">V8*Assumptions!$D$188*(1+Assumptions!$D$162)/12</f>
        <v>0</v>
      </c>
      <c r="W85" s="37" t="n">
        <f aca="false">W8*Assumptions!$D$188*(1+Assumptions!$D$162)/12</f>
        <v>0</v>
      </c>
      <c r="X85" s="37" t="n">
        <f aca="false">X8*Assumptions!$D$188*(1+Assumptions!$D$162)/12</f>
        <v>0</v>
      </c>
      <c r="Y85" s="37" t="n">
        <f aca="false">Y8*Assumptions!$D$188*(1+Assumptions!$D$162)/12</f>
        <v>0</v>
      </c>
      <c r="Z85" s="37" t="n">
        <f aca="false">Z8*Assumptions!$D$188*(1+Assumptions!$D$162)/12</f>
        <v>0</v>
      </c>
      <c r="AA85" s="37" t="n">
        <f aca="false">AA8*Assumptions!$D$188*(1+Assumptions!$D$162)/12</f>
        <v>0</v>
      </c>
      <c r="AB85" s="37" t="n">
        <f aca="false">AB8*Assumptions!$D$188*(1+Assumptions!$D$162)/12</f>
        <v>0</v>
      </c>
      <c r="AC85" s="37" t="n">
        <f aca="false">AC8*Assumptions!$D$188*(1+Assumptions!$D$162)/12</f>
        <v>0</v>
      </c>
      <c r="AD85" s="37" t="n">
        <f aca="false">AD8*Assumptions!$D$188*(1+Assumptions!$D$162)/12</f>
        <v>0</v>
      </c>
      <c r="AE85" s="37" t="n">
        <f aca="false">AE8*Assumptions!$D$188*(1+Assumptions!$D$162)/12</f>
        <v>0</v>
      </c>
      <c r="AF85" s="37" t="n">
        <f aca="false">AF8*Assumptions!$D$188*(1+Assumptions!$D$162)/12</f>
        <v>8500</v>
      </c>
      <c r="AG85" s="37" t="n">
        <f aca="false">AG8*Assumptions!$D$188*(1+Assumptions!$D$162)/12</f>
        <v>8500</v>
      </c>
      <c r="AH85" s="37" t="n">
        <f aca="false">AH8*Assumptions!$D$188*(1+Assumptions!$D$162)/12</f>
        <v>8500</v>
      </c>
      <c r="AI85" s="37" t="n">
        <f aca="false">AI8*Assumptions!$D$188*(1+Assumptions!$D$162)/12</f>
        <v>8500</v>
      </c>
      <c r="AJ85" s="37" t="n">
        <f aca="false">AJ8*Assumptions!$D$188*(1+Assumptions!$D$162)/12</f>
        <v>8500</v>
      </c>
      <c r="AK85" s="37" t="n">
        <f aca="false">AK8*Assumptions!$D$188*(1+Assumptions!$D$162)/12</f>
        <v>8500</v>
      </c>
      <c r="AL85" s="37" t="n">
        <f aca="false">AL8*Assumptions!$D$188*(1+Assumptions!$D$162)/12</f>
        <v>8500</v>
      </c>
    </row>
    <row r="86" customFormat="false" ht="15" hidden="false" customHeight="false" outlineLevel="0" collapsed="false">
      <c r="A86" s="9" t="s">
        <v>629</v>
      </c>
      <c r="B86" s="2" t="s">
        <v>105</v>
      </c>
      <c r="C86" s="37" t="n">
        <f aca="false">C9*Assumptions!$D$189*(1+Assumptions!$D$162)/12</f>
        <v>0</v>
      </c>
      <c r="D86" s="37" t="n">
        <f aca="false">D9*Assumptions!$D$189*(1+Assumptions!$D$162)/12</f>
        <v>0</v>
      </c>
      <c r="E86" s="37" t="n">
        <f aca="false">E9*Assumptions!$D$189*(1+Assumptions!$D$162)/12</f>
        <v>0</v>
      </c>
      <c r="F86" s="37" t="n">
        <f aca="false">F9*Assumptions!$D$189*(1+Assumptions!$D$162)/12</f>
        <v>0</v>
      </c>
      <c r="G86" s="37" t="n">
        <f aca="false">G9*Assumptions!$D$189*(1+Assumptions!$D$162)/12</f>
        <v>0</v>
      </c>
      <c r="H86" s="37" t="n">
        <f aca="false">H9*Assumptions!$D$189*(1+Assumptions!$D$162)/12</f>
        <v>0</v>
      </c>
      <c r="I86" s="37" t="n">
        <f aca="false">I9*Assumptions!$D$189*(1+Assumptions!$D$162)/12</f>
        <v>0</v>
      </c>
      <c r="J86" s="37" t="n">
        <f aca="false">J9*Assumptions!$D$189*(1+Assumptions!$D$162)/12</f>
        <v>0</v>
      </c>
      <c r="K86" s="37" t="n">
        <f aca="false">K9*Assumptions!$D$189*(1+Assumptions!$D$162)/12</f>
        <v>0</v>
      </c>
      <c r="L86" s="37" t="n">
        <f aca="false">L9*Assumptions!$D$189*(1+Assumptions!$D$162)/12</f>
        <v>0</v>
      </c>
      <c r="M86" s="37" t="n">
        <f aca="false">M9*Assumptions!$D$189*(1+Assumptions!$D$162)/12</f>
        <v>0</v>
      </c>
      <c r="N86" s="37" t="n">
        <f aca="false">N9*Assumptions!$D$189*(1+Assumptions!$D$162)/12</f>
        <v>0</v>
      </c>
      <c r="O86" s="37" t="n">
        <f aca="false">O9*Assumptions!$D$189*(1+Assumptions!$D$162)/12</f>
        <v>0</v>
      </c>
      <c r="P86" s="37" t="n">
        <f aca="false">P9*Assumptions!$D$189*(1+Assumptions!$D$162)/12</f>
        <v>0</v>
      </c>
      <c r="Q86" s="37" t="n">
        <f aca="false">Q9*Assumptions!$D$189*(1+Assumptions!$D$162)/12</f>
        <v>0</v>
      </c>
      <c r="R86" s="37" t="n">
        <f aca="false">R9*Assumptions!$D$189*(1+Assumptions!$D$162)/12</f>
        <v>0</v>
      </c>
      <c r="S86" s="37" t="n">
        <f aca="false">S9*Assumptions!$D$189*(1+Assumptions!$D$162)/12</f>
        <v>0</v>
      </c>
      <c r="T86" s="37" t="n">
        <f aca="false">T9*Assumptions!$D$189*(1+Assumptions!$D$162)/12</f>
        <v>0</v>
      </c>
      <c r="U86" s="37" t="n">
        <f aca="false">U9*Assumptions!$D$189*(1+Assumptions!$D$162)/12</f>
        <v>0</v>
      </c>
      <c r="V86" s="37" t="n">
        <f aca="false">V9*Assumptions!$D$189*(1+Assumptions!$D$162)/12</f>
        <v>0</v>
      </c>
      <c r="W86" s="37" t="n">
        <f aca="false">W9*Assumptions!$D$189*(1+Assumptions!$D$162)/12</f>
        <v>0</v>
      </c>
      <c r="X86" s="37" t="n">
        <f aca="false">X9*Assumptions!$D$189*(1+Assumptions!$D$162)/12</f>
        <v>0</v>
      </c>
      <c r="Y86" s="37" t="n">
        <f aca="false">Y9*Assumptions!$D$189*(1+Assumptions!$D$162)/12</f>
        <v>0</v>
      </c>
      <c r="Z86" s="37" t="n">
        <f aca="false">Z9*Assumptions!$D$189*(1+Assumptions!$D$162)/12</f>
        <v>0</v>
      </c>
      <c r="AA86" s="37" t="n">
        <f aca="false">AA9*Assumptions!$D$189*(1+Assumptions!$D$162)/12</f>
        <v>0</v>
      </c>
      <c r="AB86" s="37" t="n">
        <f aca="false">AB9*Assumptions!$D$189*(1+Assumptions!$D$162)/12</f>
        <v>0</v>
      </c>
      <c r="AC86" s="37" t="n">
        <f aca="false">AC9*Assumptions!$D$189*(1+Assumptions!$D$162)/12</f>
        <v>0</v>
      </c>
      <c r="AD86" s="37" t="n">
        <f aca="false">AD9*Assumptions!$D$189*(1+Assumptions!$D$162)/12</f>
        <v>0</v>
      </c>
      <c r="AE86" s="37" t="n">
        <f aca="false">AE9*Assumptions!$D$189*(1+Assumptions!$D$162)/12</f>
        <v>0</v>
      </c>
      <c r="AF86" s="37" t="n">
        <f aca="false">AF9*Assumptions!$D$189*(1+Assumptions!$D$162)/12</f>
        <v>0</v>
      </c>
      <c r="AG86" s="37" t="n">
        <f aca="false">AG9*Assumptions!$D$189*(1+Assumptions!$D$162)/12</f>
        <v>0</v>
      </c>
      <c r="AH86" s="37" t="n">
        <f aca="false">AH9*Assumptions!$D$189*(1+Assumptions!$D$162)/12</f>
        <v>0</v>
      </c>
      <c r="AI86" s="37" t="n">
        <f aca="false">AI9*Assumptions!$D$189*(1+Assumptions!$D$162)/12</f>
        <v>0</v>
      </c>
      <c r="AJ86" s="37" t="n">
        <f aca="false">AJ9*Assumptions!$D$189*(1+Assumptions!$D$162)/12</f>
        <v>0</v>
      </c>
      <c r="AK86" s="37" t="n">
        <f aca="false">AK9*Assumptions!$D$189*(1+Assumptions!$D$162)/12</f>
        <v>0</v>
      </c>
      <c r="AL86" s="37" t="n">
        <f aca="false">AL9*Assumptions!$D$189*(1+Assumptions!$D$162)/12</f>
        <v>0</v>
      </c>
    </row>
    <row r="87" customFormat="false" ht="15" hidden="false" customHeight="false" outlineLevel="0" collapsed="false">
      <c r="A87" s="9" t="s">
        <v>630</v>
      </c>
      <c r="B87" s="2" t="s">
        <v>105</v>
      </c>
      <c r="C87" s="37" t="n">
        <f aca="false">C10*Assumptions!$D$190*(1+Assumptions!$D$162)/12</f>
        <v>0</v>
      </c>
      <c r="D87" s="37" t="n">
        <f aca="false">D10*Assumptions!$D$190*(1+Assumptions!$D$162)/12</f>
        <v>0</v>
      </c>
      <c r="E87" s="37" t="n">
        <f aca="false">E10*Assumptions!$D$190*(1+Assumptions!$D$162)/12</f>
        <v>0</v>
      </c>
      <c r="F87" s="37" t="n">
        <f aca="false">F10*Assumptions!$D$190*(1+Assumptions!$D$162)/12</f>
        <v>0</v>
      </c>
      <c r="G87" s="37" t="n">
        <f aca="false">G10*Assumptions!$D$190*(1+Assumptions!$D$162)/12</f>
        <v>0</v>
      </c>
      <c r="H87" s="37" t="n">
        <f aca="false">H10*Assumptions!$D$190*(1+Assumptions!$D$162)/12</f>
        <v>0</v>
      </c>
      <c r="I87" s="37" t="n">
        <f aca="false">I10*Assumptions!$D$190*(1+Assumptions!$D$162)/12</f>
        <v>0</v>
      </c>
      <c r="J87" s="37" t="n">
        <f aca="false">J10*Assumptions!$D$190*(1+Assumptions!$D$162)/12</f>
        <v>0</v>
      </c>
      <c r="K87" s="37" t="n">
        <f aca="false">K10*Assumptions!$D$190*(1+Assumptions!$D$162)/12</f>
        <v>0</v>
      </c>
      <c r="L87" s="37" t="n">
        <f aca="false">L10*Assumptions!$D$190*(1+Assumptions!$D$162)/12</f>
        <v>0</v>
      </c>
      <c r="M87" s="37" t="n">
        <f aca="false">M10*Assumptions!$D$190*(1+Assumptions!$D$162)/12</f>
        <v>0</v>
      </c>
      <c r="N87" s="37" t="n">
        <f aca="false">N10*Assumptions!$D$190*(1+Assumptions!$D$162)/12</f>
        <v>0</v>
      </c>
      <c r="O87" s="37" t="n">
        <f aca="false">O10*Assumptions!$D$190*(1+Assumptions!$D$162)/12</f>
        <v>0</v>
      </c>
      <c r="P87" s="37" t="n">
        <f aca="false">P10*Assumptions!$D$190*(1+Assumptions!$D$162)/12</f>
        <v>0</v>
      </c>
      <c r="Q87" s="37" t="n">
        <f aca="false">Q10*Assumptions!$D$190*(1+Assumptions!$D$162)/12</f>
        <v>0</v>
      </c>
      <c r="R87" s="37" t="n">
        <f aca="false">R10*Assumptions!$D$190*(1+Assumptions!$D$162)/12</f>
        <v>0</v>
      </c>
      <c r="S87" s="37" t="n">
        <f aca="false">S10*Assumptions!$D$190*(1+Assumptions!$D$162)/12</f>
        <v>0</v>
      </c>
      <c r="T87" s="37" t="n">
        <f aca="false">T10*Assumptions!$D$190*(1+Assumptions!$D$162)/12</f>
        <v>0</v>
      </c>
      <c r="U87" s="37" t="n">
        <f aca="false">U10*Assumptions!$D$190*(1+Assumptions!$D$162)/12</f>
        <v>0</v>
      </c>
      <c r="V87" s="37" t="n">
        <f aca="false">V10*Assumptions!$D$190*(1+Assumptions!$D$162)/12</f>
        <v>0</v>
      </c>
      <c r="W87" s="37" t="n">
        <f aca="false">W10*Assumptions!$D$190*(1+Assumptions!$D$162)/12</f>
        <v>0</v>
      </c>
      <c r="X87" s="37" t="n">
        <f aca="false">X10*Assumptions!$D$190*(1+Assumptions!$D$162)/12</f>
        <v>0</v>
      </c>
      <c r="Y87" s="37" t="n">
        <f aca="false">Y10*Assumptions!$D$190*(1+Assumptions!$D$162)/12</f>
        <v>0</v>
      </c>
      <c r="Z87" s="37" t="n">
        <f aca="false">Z10*Assumptions!$D$190*(1+Assumptions!$D$162)/12</f>
        <v>0</v>
      </c>
      <c r="AA87" s="37" t="n">
        <f aca="false">AA10*Assumptions!$D$190*(1+Assumptions!$D$162)/12</f>
        <v>0</v>
      </c>
      <c r="AB87" s="37" t="n">
        <f aca="false">AB10*Assumptions!$D$190*(1+Assumptions!$D$162)/12</f>
        <v>0</v>
      </c>
      <c r="AC87" s="37" t="n">
        <f aca="false">AC10*Assumptions!$D$190*(1+Assumptions!$D$162)/12</f>
        <v>0</v>
      </c>
      <c r="AD87" s="37" t="n">
        <f aca="false">AD10*Assumptions!$D$190*(1+Assumptions!$D$162)/12</f>
        <v>0</v>
      </c>
      <c r="AE87" s="37" t="n">
        <f aca="false">AE10*Assumptions!$D$190*(1+Assumptions!$D$162)/12</f>
        <v>0</v>
      </c>
      <c r="AF87" s="37" t="n">
        <f aca="false">AF10*Assumptions!$D$190*(1+Assumptions!$D$162)/12</f>
        <v>0</v>
      </c>
      <c r="AG87" s="37" t="n">
        <f aca="false">AG10*Assumptions!$D$190*(1+Assumptions!$D$162)/12</f>
        <v>0</v>
      </c>
      <c r="AH87" s="37" t="n">
        <f aca="false">AH10*Assumptions!$D$190*(1+Assumptions!$D$162)/12</f>
        <v>0</v>
      </c>
      <c r="AI87" s="37" t="n">
        <f aca="false">AI10*Assumptions!$D$190*(1+Assumptions!$D$162)/12</f>
        <v>0</v>
      </c>
      <c r="AJ87" s="37" t="n">
        <f aca="false">AJ10*Assumptions!$D$190*(1+Assumptions!$D$162)/12</f>
        <v>0</v>
      </c>
      <c r="AK87" s="37" t="n">
        <f aca="false">AK10*Assumptions!$D$190*(1+Assumptions!$D$162)/12</f>
        <v>0</v>
      </c>
      <c r="AL87" s="37" t="n">
        <f aca="false">AL10*Assumptions!$D$190*(1+Assumptions!$D$162)/12</f>
        <v>0</v>
      </c>
    </row>
    <row r="88" customFormat="false" ht="15" hidden="false" customHeight="false" outlineLevel="0" collapsed="false">
      <c r="A88" s="9" t="s">
        <v>631</v>
      </c>
      <c r="B88" s="2" t="s">
        <v>105</v>
      </c>
      <c r="C88" s="37" t="n">
        <f aca="false">C11*Assumptions!$D$191*(1+Assumptions!$D$162)/12</f>
        <v>0</v>
      </c>
      <c r="D88" s="37" t="n">
        <f aca="false">D11*Assumptions!$D$191*(1+Assumptions!$D$162)/12</f>
        <v>0</v>
      </c>
      <c r="E88" s="37" t="n">
        <f aca="false">E11*Assumptions!$D$191*(1+Assumptions!$D$162)/12</f>
        <v>0</v>
      </c>
      <c r="F88" s="37" t="n">
        <f aca="false">F11*Assumptions!$D$191*(1+Assumptions!$D$162)/12</f>
        <v>0</v>
      </c>
      <c r="G88" s="37" t="n">
        <f aca="false">G11*Assumptions!$D$191*(1+Assumptions!$D$162)/12</f>
        <v>0</v>
      </c>
      <c r="H88" s="37" t="n">
        <f aca="false">H11*Assumptions!$D$191*(1+Assumptions!$D$162)/12</f>
        <v>0</v>
      </c>
      <c r="I88" s="37" t="n">
        <f aca="false">I11*Assumptions!$D$191*(1+Assumptions!$D$162)/12</f>
        <v>0</v>
      </c>
      <c r="J88" s="37" t="n">
        <f aca="false">J11*Assumptions!$D$191*(1+Assumptions!$D$162)/12</f>
        <v>0</v>
      </c>
      <c r="K88" s="37" t="n">
        <f aca="false">K11*Assumptions!$D$191*(1+Assumptions!$D$162)/12</f>
        <v>0</v>
      </c>
      <c r="L88" s="37" t="n">
        <f aca="false">L11*Assumptions!$D$191*(1+Assumptions!$D$162)/12</f>
        <v>0</v>
      </c>
      <c r="M88" s="37" t="n">
        <f aca="false">M11*Assumptions!$D$191*(1+Assumptions!$D$162)/12</f>
        <v>0</v>
      </c>
      <c r="N88" s="37" t="n">
        <f aca="false">N11*Assumptions!$D$191*(1+Assumptions!$D$162)/12</f>
        <v>0</v>
      </c>
      <c r="O88" s="37" t="n">
        <f aca="false">O11*Assumptions!$D$191*(1+Assumptions!$D$162)/12</f>
        <v>0</v>
      </c>
      <c r="P88" s="37" t="n">
        <f aca="false">P11*Assumptions!$D$191*(1+Assumptions!$D$162)/12</f>
        <v>0</v>
      </c>
      <c r="Q88" s="37" t="n">
        <f aca="false">Q11*Assumptions!$D$191*(1+Assumptions!$D$162)/12</f>
        <v>0</v>
      </c>
      <c r="R88" s="37" t="n">
        <f aca="false">R11*Assumptions!$D$191*(1+Assumptions!$D$162)/12</f>
        <v>0</v>
      </c>
      <c r="S88" s="37" t="n">
        <f aca="false">S11*Assumptions!$D$191*(1+Assumptions!$D$162)/12</f>
        <v>0</v>
      </c>
      <c r="T88" s="37" t="n">
        <f aca="false">T11*Assumptions!$D$191*(1+Assumptions!$D$162)/12</f>
        <v>0</v>
      </c>
      <c r="U88" s="37" t="n">
        <f aca="false">U11*Assumptions!$D$191*(1+Assumptions!$D$162)/12</f>
        <v>0</v>
      </c>
      <c r="V88" s="37" t="n">
        <f aca="false">V11*Assumptions!$D$191*(1+Assumptions!$D$162)/12</f>
        <v>0</v>
      </c>
      <c r="W88" s="37" t="n">
        <f aca="false">W11*Assumptions!$D$191*(1+Assumptions!$D$162)/12</f>
        <v>0</v>
      </c>
      <c r="X88" s="37" t="n">
        <f aca="false">X11*Assumptions!$D$191*(1+Assumptions!$D$162)/12</f>
        <v>0</v>
      </c>
      <c r="Y88" s="37" t="n">
        <f aca="false">Y11*Assumptions!$D$191*(1+Assumptions!$D$162)/12</f>
        <v>0</v>
      </c>
      <c r="Z88" s="37" t="n">
        <f aca="false">Z11*Assumptions!$D$191*(1+Assumptions!$D$162)/12</f>
        <v>0</v>
      </c>
      <c r="AA88" s="37" t="n">
        <f aca="false">AA11*Assumptions!$D$191*(1+Assumptions!$D$162)/12</f>
        <v>0</v>
      </c>
      <c r="AB88" s="37" t="n">
        <f aca="false">AB11*Assumptions!$D$191*(1+Assumptions!$D$162)/12</f>
        <v>0</v>
      </c>
      <c r="AC88" s="37" t="n">
        <f aca="false">AC11*Assumptions!$D$191*(1+Assumptions!$D$162)/12</f>
        <v>0</v>
      </c>
      <c r="AD88" s="37" t="n">
        <f aca="false">AD11*Assumptions!$D$191*(1+Assumptions!$D$162)/12</f>
        <v>0</v>
      </c>
      <c r="AE88" s="37" t="n">
        <f aca="false">AE11*Assumptions!$D$191*(1+Assumptions!$D$162)/12</f>
        <v>0</v>
      </c>
      <c r="AF88" s="37" t="n">
        <f aca="false">AF11*Assumptions!$D$191*(1+Assumptions!$D$162)/12</f>
        <v>0</v>
      </c>
      <c r="AG88" s="37" t="n">
        <f aca="false">AG11*Assumptions!$D$191*(1+Assumptions!$D$162)/12</f>
        <v>0</v>
      </c>
      <c r="AH88" s="37" t="n">
        <f aca="false">AH11*Assumptions!$D$191*(1+Assumptions!$D$162)/12</f>
        <v>0</v>
      </c>
      <c r="AI88" s="37" t="n">
        <f aca="false">AI11*Assumptions!$D$191*(1+Assumptions!$D$162)/12</f>
        <v>0</v>
      </c>
      <c r="AJ88" s="37" t="n">
        <f aca="false">AJ11*Assumptions!$D$191*(1+Assumptions!$D$162)/12</f>
        <v>0</v>
      </c>
      <c r="AK88" s="37" t="n">
        <f aca="false">AK11*Assumptions!$D$191*(1+Assumptions!$D$162)/12</f>
        <v>0</v>
      </c>
      <c r="AL88" s="37" t="n">
        <f aca="false">AL11*Assumptions!$D$191*(1+Assumptions!$D$162)/12</f>
        <v>0</v>
      </c>
    </row>
    <row r="89" customFormat="false" ht="15" hidden="false" customHeight="false" outlineLevel="0" collapsed="false">
      <c r="A89" s="9" t="s">
        <v>632</v>
      </c>
      <c r="B89" s="2" t="s">
        <v>105</v>
      </c>
      <c r="C89" s="37" t="n">
        <f aca="false">C12*Assumptions!$D$192*(1+Assumptions!$D$162)/12</f>
        <v>0</v>
      </c>
      <c r="D89" s="37" t="n">
        <f aca="false">D12*Assumptions!$D$192*(1+Assumptions!$D$162)/12</f>
        <v>0</v>
      </c>
      <c r="E89" s="37" t="n">
        <f aca="false">E12*Assumptions!$D$192*(1+Assumptions!$D$162)/12</f>
        <v>0</v>
      </c>
      <c r="F89" s="37" t="n">
        <f aca="false">F12*Assumptions!$D$192*(1+Assumptions!$D$162)/12</f>
        <v>0</v>
      </c>
      <c r="G89" s="37" t="n">
        <f aca="false">G12*Assumptions!$D$192*(1+Assumptions!$D$162)/12</f>
        <v>0</v>
      </c>
      <c r="H89" s="37" t="n">
        <f aca="false">H12*Assumptions!$D$192*(1+Assumptions!$D$162)/12</f>
        <v>0</v>
      </c>
      <c r="I89" s="37" t="n">
        <f aca="false">I12*Assumptions!$D$192*(1+Assumptions!$D$162)/12</f>
        <v>0</v>
      </c>
      <c r="J89" s="37" t="n">
        <f aca="false">J12*Assumptions!$D$192*(1+Assumptions!$D$162)/12</f>
        <v>0</v>
      </c>
      <c r="K89" s="37" t="n">
        <f aca="false">K12*Assumptions!$D$192*(1+Assumptions!$D$162)/12</f>
        <v>0</v>
      </c>
      <c r="L89" s="37" t="n">
        <f aca="false">L12*Assumptions!$D$192*(1+Assumptions!$D$162)/12</f>
        <v>0</v>
      </c>
      <c r="M89" s="37" t="n">
        <f aca="false">M12*Assumptions!$D$192*(1+Assumptions!$D$162)/12</f>
        <v>0</v>
      </c>
      <c r="N89" s="37" t="n">
        <f aca="false">N12*Assumptions!$D$192*(1+Assumptions!$D$162)/12</f>
        <v>0</v>
      </c>
      <c r="O89" s="37" t="n">
        <f aca="false">O12*Assumptions!$D$192*(1+Assumptions!$D$162)/12</f>
        <v>0</v>
      </c>
      <c r="P89" s="37" t="n">
        <f aca="false">P12*Assumptions!$D$192*(1+Assumptions!$D$162)/12</f>
        <v>0</v>
      </c>
      <c r="Q89" s="37" t="n">
        <f aca="false">Q12*Assumptions!$D$192*(1+Assumptions!$D$162)/12</f>
        <v>0</v>
      </c>
      <c r="R89" s="37" t="n">
        <f aca="false">R12*Assumptions!$D$192*(1+Assumptions!$D$162)/12</f>
        <v>0</v>
      </c>
      <c r="S89" s="37" t="n">
        <f aca="false">S12*Assumptions!$D$192*(1+Assumptions!$D$162)/12</f>
        <v>0</v>
      </c>
      <c r="T89" s="37" t="n">
        <f aca="false">T12*Assumptions!$D$192*(1+Assumptions!$D$162)/12</f>
        <v>0</v>
      </c>
      <c r="U89" s="37" t="n">
        <f aca="false">U12*Assumptions!$D$192*(1+Assumptions!$D$162)/12</f>
        <v>0</v>
      </c>
      <c r="V89" s="37" t="n">
        <f aca="false">V12*Assumptions!$D$192*(1+Assumptions!$D$162)/12</f>
        <v>0</v>
      </c>
      <c r="W89" s="37" t="n">
        <f aca="false">W12*Assumptions!$D$192*(1+Assumptions!$D$162)/12</f>
        <v>0</v>
      </c>
      <c r="X89" s="37" t="n">
        <f aca="false">X12*Assumptions!$D$192*(1+Assumptions!$D$162)/12</f>
        <v>0</v>
      </c>
      <c r="Y89" s="37" t="n">
        <f aca="false">Y12*Assumptions!$D$192*(1+Assumptions!$D$162)/12</f>
        <v>0</v>
      </c>
      <c r="Z89" s="37" t="n">
        <f aca="false">Z12*Assumptions!$D$192*(1+Assumptions!$D$162)/12</f>
        <v>0</v>
      </c>
      <c r="AA89" s="37" t="n">
        <f aca="false">AA12*Assumptions!$D$192*(1+Assumptions!$D$162)/12</f>
        <v>0</v>
      </c>
      <c r="AB89" s="37" t="n">
        <f aca="false">AB12*Assumptions!$D$192*(1+Assumptions!$D$162)/12</f>
        <v>0</v>
      </c>
      <c r="AC89" s="37" t="n">
        <f aca="false">AC12*Assumptions!$D$192*(1+Assumptions!$D$162)/12</f>
        <v>0</v>
      </c>
      <c r="AD89" s="37" t="n">
        <f aca="false">AD12*Assumptions!$D$192*(1+Assumptions!$D$162)/12</f>
        <v>0</v>
      </c>
      <c r="AE89" s="37" t="n">
        <f aca="false">AE12*Assumptions!$D$192*(1+Assumptions!$D$162)/12</f>
        <v>0</v>
      </c>
      <c r="AF89" s="37" t="n">
        <f aca="false">AF12*Assumptions!$D$192*(1+Assumptions!$D$162)/12</f>
        <v>0</v>
      </c>
      <c r="AG89" s="37" t="n">
        <f aca="false">AG12*Assumptions!$D$192*(1+Assumptions!$D$162)/12</f>
        <v>0</v>
      </c>
      <c r="AH89" s="37" t="n">
        <f aca="false">AH12*Assumptions!$D$192*(1+Assumptions!$D$162)/12</f>
        <v>0</v>
      </c>
      <c r="AI89" s="37" t="n">
        <f aca="false">AI12*Assumptions!$D$192*(1+Assumptions!$D$162)/12</f>
        <v>0</v>
      </c>
      <c r="AJ89" s="37" t="n">
        <f aca="false">AJ12*Assumptions!$D$192*(1+Assumptions!$D$162)/12</f>
        <v>0</v>
      </c>
      <c r="AK89" s="37" t="n">
        <f aca="false">AK12*Assumptions!$D$192*(1+Assumptions!$D$162)/12</f>
        <v>0</v>
      </c>
      <c r="AL89" s="37" t="n">
        <f aca="false">AL12*Assumptions!$D$192*(1+Assumptions!$D$162)/12</f>
        <v>0</v>
      </c>
    </row>
    <row r="90" customFormat="false" ht="15" hidden="false" customHeight="false" outlineLevel="0" collapsed="false">
      <c r="A90" s="9" t="s">
        <v>633</v>
      </c>
      <c r="B90" s="2" t="s">
        <v>105</v>
      </c>
      <c r="C90" s="37" t="n">
        <f aca="false">C13*Assumptions!$D$193*(1+Assumptions!$D$162)/12</f>
        <v>0</v>
      </c>
      <c r="D90" s="37" t="n">
        <f aca="false">D13*Assumptions!$D$193*(1+Assumptions!$D$162)/12</f>
        <v>0</v>
      </c>
      <c r="E90" s="37" t="n">
        <f aca="false">E13*Assumptions!$D$193*(1+Assumptions!$D$162)/12</f>
        <v>0</v>
      </c>
      <c r="F90" s="37" t="n">
        <f aca="false">F13*Assumptions!$D$193*(1+Assumptions!$D$162)/12</f>
        <v>0</v>
      </c>
      <c r="G90" s="37" t="n">
        <f aca="false">G13*Assumptions!$D$193*(1+Assumptions!$D$162)/12</f>
        <v>0</v>
      </c>
      <c r="H90" s="37" t="n">
        <f aca="false">H13*Assumptions!$D$193*(1+Assumptions!$D$162)/12</f>
        <v>0</v>
      </c>
      <c r="I90" s="37" t="n">
        <f aca="false">I13*Assumptions!$D$193*(1+Assumptions!$D$162)/12</f>
        <v>0</v>
      </c>
      <c r="J90" s="37" t="n">
        <f aca="false">J13*Assumptions!$D$193*(1+Assumptions!$D$162)/12</f>
        <v>0</v>
      </c>
      <c r="K90" s="37" t="n">
        <f aca="false">K13*Assumptions!$D$193*(1+Assumptions!$D$162)/12</f>
        <v>0</v>
      </c>
      <c r="L90" s="37" t="n">
        <f aca="false">L13*Assumptions!$D$193*(1+Assumptions!$D$162)/12</f>
        <v>0</v>
      </c>
      <c r="M90" s="37" t="n">
        <f aca="false">M13*Assumptions!$D$193*(1+Assumptions!$D$162)/12</f>
        <v>0</v>
      </c>
      <c r="N90" s="37" t="n">
        <f aca="false">N13*Assumptions!$D$193*(1+Assumptions!$D$162)/12</f>
        <v>0</v>
      </c>
      <c r="O90" s="37" t="n">
        <f aca="false">O13*Assumptions!$D$193*(1+Assumptions!$D$162)/12</f>
        <v>0</v>
      </c>
      <c r="P90" s="37" t="n">
        <f aca="false">P13*Assumptions!$D$193*(1+Assumptions!$D$162)/12</f>
        <v>0</v>
      </c>
      <c r="Q90" s="37" t="n">
        <f aca="false">Q13*Assumptions!$D$193*(1+Assumptions!$D$162)/12</f>
        <v>0</v>
      </c>
      <c r="R90" s="37" t="n">
        <f aca="false">R13*Assumptions!$D$193*(1+Assumptions!$D$162)/12</f>
        <v>0</v>
      </c>
      <c r="S90" s="37" t="n">
        <f aca="false">S13*Assumptions!$D$193*(1+Assumptions!$D$162)/12</f>
        <v>0</v>
      </c>
      <c r="T90" s="37" t="n">
        <f aca="false">T13*Assumptions!$D$193*(1+Assumptions!$D$162)/12</f>
        <v>0</v>
      </c>
      <c r="U90" s="37" t="n">
        <f aca="false">U13*Assumptions!$D$193*(1+Assumptions!$D$162)/12</f>
        <v>0</v>
      </c>
      <c r="V90" s="37" t="n">
        <f aca="false">V13*Assumptions!$D$193*(1+Assumptions!$D$162)/12</f>
        <v>0</v>
      </c>
      <c r="W90" s="37" t="n">
        <f aca="false">W13*Assumptions!$D$193*(1+Assumptions!$D$162)/12</f>
        <v>0</v>
      </c>
      <c r="X90" s="37" t="n">
        <f aca="false">X13*Assumptions!$D$193*(1+Assumptions!$D$162)/12</f>
        <v>0</v>
      </c>
      <c r="Y90" s="37" t="n">
        <f aca="false">Y13*Assumptions!$D$193*(1+Assumptions!$D$162)/12</f>
        <v>0</v>
      </c>
      <c r="Z90" s="37" t="n">
        <f aca="false">Z13*Assumptions!$D$193*(1+Assumptions!$D$162)/12</f>
        <v>0</v>
      </c>
      <c r="AA90" s="37" t="n">
        <f aca="false">AA13*Assumptions!$D$193*(1+Assumptions!$D$162)/12</f>
        <v>0</v>
      </c>
      <c r="AB90" s="37" t="n">
        <f aca="false">AB13*Assumptions!$D$193*(1+Assumptions!$D$162)/12</f>
        <v>0</v>
      </c>
      <c r="AC90" s="37" t="n">
        <f aca="false">AC13*Assumptions!$D$193*(1+Assumptions!$D$162)/12</f>
        <v>0</v>
      </c>
      <c r="AD90" s="37" t="n">
        <f aca="false">AD13*Assumptions!$D$193*(1+Assumptions!$D$162)/12</f>
        <v>0</v>
      </c>
      <c r="AE90" s="37" t="n">
        <f aca="false">AE13*Assumptions!$D$193*(1+Assumptions!$D$162)/12</f>
        <v>0</v>
      </c>
      <c r="AF90" s="37" t="n">
        <f aca="false">AF13*Assumptions!$D$193*(1+Assumptions!$D$162)/12</f>
        <v>0</v>
      </c>
      <c r="AG90" s="37" t="n">
        <f aca="false">AG13*Assumptions!$D$193*(1+Assumptions!$D$162)/12</f>
        <v>0</v>
      </c>
      <c r="AH90" s="37" t="n">
        <f aca="false">AH13*Assumptions!$D$193*(1+Assumptions!$D$162)/12</f>
        <v>0</v>
      </c>
      <c r="AI90" s="37" t="n">
        <f aca="false">AI13*Assumptions!$D$193*(1+Assumptions!$D$162)/12</f>
        <v>0</v>
      </c>
      <c r="AJ90" s="37" t="n">
        <f aca="false">AJ13*Assumptions!$D$193*(1+Assumptions!$D$162)/12</f>
        <v>0</v>
      </c>
      <c r="AK90" s="37" t="n">
        <f aca="false">AK13*Assumptions!$D$193*(1+Assumptions!$D$162)/12</f>
        <v>0</v>
      </c>
      <c r="AL90" s="37" t="n">
        <f aca="false">AL13*Assumptions!$D$193*(1+Assumptions!$D$162)/12</f>
        <v>0</v>
      </c>
    </row>
    <row r="91" customFormat="false" ht="15" hidden="false" customHeight="false" outlineLevel="0" collapsed="false">
      <c r="A91" s="9" t="s">
        <v>634</v>
      </c>
      <c r="B91" s="2" t="s">
        <v>105</v>
      </c>
      <c r="C91" s="37" t="n">
        <f aca="false">C14*Assumptions!$D$194*(1+Assumptions!$D$162)/12</f>
        <v>0</v>
      </c>
      <c r="D91" s="37" t="n">
        <f aca="false">D14*Assumptions!$D$194*(1+Assumptions!$D$162)/12</f>
        <v>0</v>
      </c>
      <c r="E91" s="37" t="n">
        <f aca="false">E14*Assumptions!$D$194*(1+Assumptions!$D$162)/12</f>
        <v>0</v>
      </c>
      <c r="F91" s="37" t="n">
        <f aca="false">F14*Assumptions!$D$194*(1+Assumptions!$D$162)/12</f>
        <v>0</v>
      </c>
      <c r="G91" s="37" t="n">
        <f aca="false">G14*Assumptions!$D$194*(1+Assumptions!$D$162)/12</f>
        <v>0</v>
      </c>
      <c r="H91" s="37" t="n">
        <f aca="false">H14*Assumptions!$D$194*(1+Assumptions!$D$162)/12</f>
        <v>0</v>
      </c>
      <c r="I91" s="37" t="n">
        <f aca="false">I14*Assumptions!$D$194*(1+Assumptions!$D$162)/12</f>
        <v>0</v>
      </c>
      <c r="J91" s="37" t="n">
        <f aca="false">J14*Assumptions!$D$194*(1+Assumptions!$D$162)/12</f>
        <v>0</v>
      </c>
      <c r="K91" s="37" t="n">
        <f aca="false">K14*Assumptions!$D$194*(1+Assumptions!$D$162)/12</f>
        <v>0</v>
      </c>
      <c r="L91" s="37" t="n">
        <f aca="false">L14*Assumptions!$D$194*(1+Assumptions!$D$162)/12</f>
        <v>0</v>
      </c>
      <c r="M91" s="37" t="n">
        <f aca="false">M14*Assumptions!$D$194*(1+Assumptions!$D$162)/12</f>
        <v>0</v>
      </c>
      <c r="N91" s="37" t="n">
        <f aca="false">N14*Assumptions!$D$194*(1+Assumptions!$D$162)/12</f>
        <v>0</v>
      </c>
      <c r="O91" s="37" t="n">
        <f aca="false">O14*Assumptions!$D$194*(1+Assumptions!$D$162)/12</f>
        <v>0</v>
      </c>
      <c r="P91" s="37" t="n">
        <f aca="false">P14*Assumptions!$D$194*(1+Assumptions!$D$162)/12</f>
        <v>0</v>
      </c>
      <c r="Q91" s="37" t="n">
        <f aca="false">Q14*Assumptions!$D$194*(1+Assumptions!$D$162)/12</f>
        <v>0</v>
      </c>
      <c r="R91" s="37" t="n">
        <f aca="false">R14*Assumptions!$D$194*(1+Assumptions!$D$162)/12</f>
        <v>0</v>
      </c>
      <c r="S91" s="37" t="n">
        <f aca="false">S14*Assumptions!$D$194*(1+Assumptions!$D$162)/12</f>
        <v>0</v>
      </c>
      <c r="T91" s="37" t="n">
        <f aca="false">T14*Assumptions!$D$194*(1+Assumptions!$D$162)/12</f>
        <v>0</v>
      </c>
      <c r="U91" s="37" t="n">
        <f aca="false">U14*Assumptions!$D$194*(1+Assumptions!$D$162)/12</f>
        <v>0</v>
      </c>
      <c r="V91" s="37" t="n">
        <f aca="false">V14*Assumptions!$D$194*(1+Assumptions!$D$162)/12</f>
        <v>0</v>
      </c>
      <c r="W91" s="37" t="n">
        <f aca="false">W14*Assumptions!$D$194*(1+Assumptions!$D$162)/12</f>
        <v>0</v>
      </c>
      <c r="X91" s="37" t="n">
        <f aca="false">X14*Assumptions!$D$194*(1+Assumptions!$D$162)/12</f>
        <v>0</v>
      </c>
      <c r="Y91" s="37" t="n">
        <f aca="false">Y14*Assumptions!$D$194*(1+Assumptions!$D$162)/12</f>
        <v>0</v>
      </c>
      <c r="Z91" s="37" t="n">
        <f aca="false">Z14*Assumptions!$D$194*(1+Assumptions!$D$162)/12</f>
        <v>0</v>
      </c>
      <c r="AA91" s="37" t="n">
        <f aca="false">AA14*Assumptions!$D$194*(1+Assumptions!$D$162)/12</f>
        <v>0</v>
      </c>
      <c r="AB91" s="37" t="n">
        <f aca="false">AB14*Assumptions!$D$194*(1+Assumptions!$D$162)/12</f>
        <v>0</v>
      </c>
      <c r="AC91" s="37" t="n">
        <f aca="false">AC14*Assumptions!$D$194*(1+Assumptions!$D$162)/12</f>
        <v>0</v>
      </c>
      <c r="AD91" s="37" t="n">
        <f aca="false">AD14*Assumptions!$D$194*(1+Assumptions!$D$162)/12</f>
        <v>0</v>
      </c>
      <c r="AE91" s="37" t="n">
        <f aca="false">AE14*Assumptions!$D$194*(1+Assumptions!$D$162)/12</f>
        <v>0</v>
      </c>
      <c r="AF91" s="37" t="n">
        <f aca="false">AF14*Assumptions!$D$194*(1+Assumptions!$D$162)/12</f>
        <v>0</v>
      </c>
      <c r="AG91" s="37" t="n">
        <f aca="false">AG14*Assumptions!$D$194*(1+Assumptions!$D$162)/12</f>
        <v>0</v>
      </c>
      <c r="AH91" s="37" t="n">
        <f aca="false">AH14*Assumptions!$D$194*(1+Assumptions!$D$162)/12</f>
        <v>0</v>
      </c>
      <c r="AI91" s="37" t="n">
        <f aca="false">AI14*Assumptions!$D$194*(1+Assumptions!$D$162)/12</f>
        <v>0</v>
      </c>
      <c r="AJ91" s="37" t="n">
        <f aca="false">AJ14*Assumptions!$D$194*(1+Assumptions!$D$162)/12</f>
        <v>0</v>
      </c>
      <c r="AK91" s="37" t="n">
        <f aca="false">AK14*Assumptions!$D$194*(1+Assumptions!$D$162)/12</f>
        <v>0</v>
      </c>
      <c r="AL91" s="37" t="n">
        <f aca="false">AL14*Assumptions!$D$194*(1+Assumptions!$D$162)/12</f>
        <v>0</v>
      </c>
    </row>
    <row r="92" customFormat="false" ht="15" hidden="false" customHeight="false" outlineLevel="0" collapsed="false">
      <c r="A92" s="9" t="s">
        <v>635</v>
      </c>
      <c r="B92" s="2" t="s">
        <v>105</v>
      </c>
      <c r="C92" s="37" t="n">
        <f aca="false">C15*Assumptions!$D$195*(1+Assumptions!$D$162)/12</f>
        <v>0</v>
      </c>
      <c r="D92" s="37" t="n">
        <f aca="false">D15*Assumptions!$D$195*(1+Assumptions!$D$162)/12</f>
        <v>0</v>
      </c>
      <c r="E92" s="37" t="n">
        <f aca="false">E15*Assumptions!$D$195*(1+Assumptions!$D$162)/12</f>
        <v>0</v>
      </c>
      <c r="F92" s="37" t="n">
        <f aca="false">F15*Assumptions!$D$195*(1+Assumptions!$D$162)/12</f>
        <v>0</v>
      </c>
      <c r="G92" s="37" t="n">
        <f aca="false">G15*Assumptions!$D$195*(1+Assumptions!$D$162)/12</f>
        <v>0</v>
      </c>
      <c r="H92" s="37" t="n">
        <f aca="false">H15*Assumptions!$D$195*(1+Assumptions!$D$162)/12</f>
        <v>0</v>
      </c>
      <c r="I92" s="37" t="n">
        <f aca="false">I15*Assumptions!$D$195*(1+Assumptions!$D$162)/12</f>
        <v>0</v>
      </c>
      <c r="J92" s="37" t="n">
        <f aca="false">J15*Assumptions!$D$195*(1+Assumptions!$D$162)/12</f>
        <v>0</v>
      </c>
      <c r="K92" s="37" t="n">
        <f aca="false">K15*Assumptions!$D$195*(1+Assumptions!$D$162)/12</f>
        <v>0</v>
      </c>
      <c r="L92" s="37" t="n">
        <f aca="false">L15*Assumptions!$D$195*(1+Assumptions!$D$162)/12</f>
        <v>0</v>
      </c>
      <c r="M92" s="37" t="n">
        <f aca="false">M15*Assumptions!$D$195*(1+Assumptions!$D$162)/12</f>
        <v>0</v>
      </c>
      <c r="N92" s="37" t="n">
        <f aca="false">N15*Assumptions!$D$195*(1+Assumptions!$D$162)/12</f>
        <v>0</v>
      </c>
      <c r="O92" s="37" t="n">
        <f aca="false">O15*Assumptions!$D$195*(1+Assumptions!$D$162)/12</f>
        <v>0</v>
      </c>
      <c r="P92" s="37" t="n">
        <f aca="false">P15*Assumptions!$D$195*(1+Assumptions!$D$162)/12</f>
        <v>0</v>
      </c>
      <c r="Q92" s="37" t="n">
        <f aca="false">Q15*Assumptions!$D$195*(1+Assumptions!$D$162)/12</f>
        <v>0</v>
      </c>
      <c r="R92" s="37" t="n">
        <f aca="false">R15*Assumptions!$D$195*(1+Assumptions!$D$162)/12</f>
        <v>0</v>
      </c>
      <c r="S92" s="37" t="n">
        <f aca="false">S15*Assumptions!$D$195*(1+Assumptions!$D$162)/12</f>
        <v>0</v>
      </c>
      <c r="T92" s="37" t="n">
        <f aca="false">T15*Assumptions!$D$195*(1+Assumptions!$D$162)/12</f>
        <v>0</v>
      </c>
      <c r="U92" s="37" t="n">
        <f aca="false">U15*Assumptions!$D$195*(1+Assumptions!$D$162)/12</f>
        <v>0</v>
      </c>
      <c r="V92" s="37" t="n">
        <f aca="false">V15*Assumptions!$D$195*(1+Assumptions!$D$162)/12</f>
        <v>0</v>
      </c>
      <c r="W92" s="37" t="n">
        <f aca="false">W15*Assumptions!$D$195*(1+Assumptions!$D$162)/12</f>
        <v>0</v>
      </c>
      <c r="X92" s="37" t="n">
        <f aca="false">X15*Assumptions!$D$195*(1+Assumptions!$D$162)/12</f>
        <v>0</v>
      </c>
      <c r="Y92" s="37" t="n">
        <f aca="false">Y15*Assumptions!$D$195*(1+Assumptions!$D$162)/12</f>
        <v>0</v>
      </c>
      <c r="Z92" s="37" t="n">
        <f aca="false">Z15*Assumptions!$D$195*(1+Assumptions!$D$162)/12</f>
        <v>0</v>
      </c>
      <c r="AA92" s="37" t="n">
        <f aca="false">AA15*Assumptions!$D$195*(1+Assumptions!$D$162)/12</f>
        <v>0</v>
      </c>
      <c r="AB92" s="37" t="n">
        <f aca="false">AB15*Assumptions!$D$195*(1+Assumptions!$D$162)/12</f>
        <v>0</v>
      </c>
      <c r="AC92" s="37" t="n">
        <f aca="false">AC15*Assumptions!$D$195*(1+Assumptions!$D$162)/12</f>
        <v>0</v>
      </c>
      <c r="AD92" s="37" t="n">
        <f aca="false">AD15*Assumptions!$D$195*(1+Assumptions!$D$162)/12</f>
        <v>0</v>
      </c>
      <c r="AE92" s="37" t="n">
        <f aca="false">AE15*Assumptions!$D$195*(1+Assumptions!$D$162)/12</f>
        <v>0</v>
      </c>
      <c r="AF92" s="37" t="n">
        <f aca="false">AF15*Assumptions!$D$195*(1+Assumptions!$D$162)/12</f>
        <v>0</v>
      </c>
      <c r="AG92" s="37" t="n">
        <f aca="false">AG15*Assumptions!$D$195*(1+Assumptions!$D$162)/12</f>
        <v>0</v>
      </c>
      <c r="AH92" s="37" t="n">
        <f aca="false">AH15*Assumptions!$D$195*(1+Assumptions!$D$162)/12</f>
        <v>0</v>
      </c>
      <c r="AI92" s="37" t="n">
        <f aca="false">AI15*Assumptions!$D$195*(1+Assumptions!$D$162)/12</f>
        <v>0</v>
      </c>
      <c r="AJ92" s="37" t="n">
        <f aca="false">AJ15*Assumptions!$D$195*(1+Assumptions!$D$162)/12</f>
        <v>0</v>
      </c>
      <c r="AK92" s="37" t="n">
        <f aca="false">AK15*Assumptions!$D$195*(1+Assumptions!$D$162)/12</f>
        <v>0</v>
      </c>
      <c r="AL92" s="37" t="n">
        <f aca="false">AL15*Assumptions!$D$195*(1+Assumptions!$D$162)/12</f>
        <v>0</v>
      </c>
    </row>
    <row r="93" customFormat="false" ht="15" hidden="false" customHeight="false" outlineLevel="0" collapsed="false">
      <c r="A93" s="9" t="s">
        <v>636</v>
      </c>
      <c r="B93" s="2" t="s">
        <v>105</v>
      </c>
      <c r="C93" s="37" t="n">
        <f aca="false">C16*Assumptions!$D$196*(1+Assumptions!$D$162)/12</f>
        <v>0</v>
      </c>
      <c r="D93" s="37" t="n">
        <f aca="false">D16*Assumptions!$D$196*(1+Assumptions!$D$162)/12</f>
        <v>0</v>
      </c>
      <c r="E93" s="37" t="n">
        <f aca="false">E16*Assumptions!$D$196*(1+Assumptions!$D$162)/12</f>
        <v>0</v>
      </c>
      <c r="F93" s="37" t="n">
        <f aca="false">F16*Assumptions!$D$196*(1+Assumptions!$D$162)/12</f>
        <v>0</v>
      </c>
      <c r="G93" s="37" t="n">
        <f aca="false">G16*Assumptions!$D$196*(1+Assumptions!$D$162)/12</f>
        <v>0</v>
      </c>
      <c r="H93" s="37" t="n">
        <f aca="false">H16*Assumptions!$D$196*(1+Assumptions!$D$162)/12</f>
        <v>0</v>
      </c>
      <c r="I93" s="37" t="n">
        <f aca="false">I16*Assumptions!$D$196*(1+Assumptions!$D$162)/12</f>
        <v>0</v>
      </c>
      <c r="J93" s="37" t="n">
        <f aca="false">J16*Assumptions!$D$196*(1+Assumptions!$D$162)/12</f>
        <v>0</v>
      </c>
      <c r="K93" s="37" t="n">
        <f aca="false">K16*Assumptions!$D$196*(1+Assumptions!$D$162)/12</f>
        <v>0</v>
      </c>
      <c r="L93" s="37" t="n">
        <f aca="false">L16*Assumptions!$D$196*(1+Assumptions!$D$162)/12</f>
        <v>0</v>
      </c>
      <c r="M93" s="37" t="n">
        <f aca="false">M16*Assumptions!$D$196*(1+Assumptions!$D$162)/12</f>
        <v>0</v>
      </c>
      <c r="N93" s="37" t="n">
        <f aca="false">N16*Assumptions!$D$196*(1+Assumptions!$D$162)/12</f>
        <v>0</v>
      </c>
      <c r="O93" s="37" t="n">
        <f aca="false">O16*Assumptions!$D$196*(1+Assumptions!$D$162)/12</f>
        <v>0</v>
      </c>
      <c r="P93" s="37" t="n">
        <f aca="false">P16*Assumptions!$D$196*(1+Assumptions!$D$162)/12</f>
        <v>0</v>
      </c>
      <c r="Q93" s="37" t="n">
        <f aca="false">Q16*Assumptions!$D$196*(1+Assumptions!$D$162)/12</f>
        <v>0</v>
      </c>
      <c r="R93" s="37" t="n">
        <f aca="false">R16*Assumptions!$D$196*(1+Assumptions!$D$162)/12</f>
        <v>0</v>
      </c>
      <c r="S93" s="37" t="n">
        <f aca="false">S16*Assumptions!$D$196*(1+Assumptions!$D$162)/12</f>
        <v>0</v>
      </c>
      <c r="T93" s="37" t="n">
        <f aca="false">T16*Assumptions!$D$196*(1+Assumptions!$D$162)/12</f>
        <v>0</v>
      </c>
      <c r="U93" s="37" t="n">
        <f aca="false">U16*Assumptions!$D$196*(1+Assumptions!$D$162)/12</f>
        <v>0</v>
      </c>
      <c r="V93" s="37" t="n">
        <f aca="false">V16*Assumptions!$D$196*(1+Assumptions!$D$162)/12</f>
        <v>0</v>
      </c>
      <c r="W93" s="37" t="n">
        <f aca="false">W16*Assumptions!$D$196*(1+Assumptions!$D$162)/12</f>
        <v>0</v>
      </c>
      <c r="X93" s="37" t="n">
        <f aca="false">X16*Assumptions!$D$196*(1+Assumptions!$D$162)/12</f>
        <v>0</v>
      </c>
      <c r="Y93" s="37" t="n">
        <f aca="false">Y16*Assumptions!$D$196*(1+Assumptions!$D$162)/12</f>
        <v>0</v>
      </c>
      <c r="Z93" s="37" t="n">
        <f aca="false">Z16*Assumptions!$D$196*(1+Assumptions!$D$162)/12</f>
        <v>0</v>
      </c>
      <c r="AA93" s="37" t="n">
        <f aca="false">AA16*Assumptions!$D$196*(1+Assumptions!$D$162)/12</f>
        <v>0</v>
      </c>
      <c r="AB93" s="37" t="n">
        <f aca="false">AB16*Assumptions!$D$196*(1+Assumptions!$D$162)/12</f>
        <v>0</v>
      </c>
      <c r="AC93" s="37" t="n">
        <f aca="false">AC16*Assumptions!$D$196*(1+Assumptions!$D$162)/12</f>
        <v>0</v>
      </c>
      <c r="AD93" s="37" t="n">
        <f aca="false">AD16*Assumptions!$D$196*(1+Assumptions!$D$162)/12</f>
        <v>0</v>
      </c>
      <c r="AE93" s="37" t="n">
        <f aca="false">AE16*Assumptions!$D$196*(1+Assumptions!$D$162)/12</f>
        <v>0</v>
      </c>
      <c r="AF93" s="37" t="n">
        <f aca="false">AF16*Assumptions!$D$196*(1+Assumptions!$D$162)/12</f>
        <v>0</v>
      </c>
      <c r="AG93" s="37" t="n">
        <f aca="false">AG16*Assumptions!$D$196*(1+Assumptions!$D$162)/12</f>
        <v>0</v>
      </c>
      <c r="AH93" s="37" t="n">
        <f aca="false">AH16*Assumptions!$D$196*(1+Assumptions!$D$162)/12</f>
        <v>0</v>
      </c>
      <c r="AI93" s="37" t="n">
        <f aca="false">AI16*Assumptions!$D$196*(1+Assumptions!$D$162)/12</f>
        <v>0</v>
      </c>
      <c r="AJ93" s="37" t="n">
        <f aca="false">AJ16*Assumptions!$D$196*(1+Assumptions!$D$162)/12</f>
        <v>0</v>
      </c>
      <c r="AK93" s="37" t="n">
        <f aca="false">AK16*Assumptions!$D$196*(1+Assumptions!$D$162)/12</f>
        <v>0</v>
      </c>
      <c r="AL93" s="37" t="n">
        <f aca="false">AL16*Assumptions!$D$196*(1+Assumptions!$D$162)/12</f>
        <v>0</v>
      </c>
    </row>
    <row r="94" customFormat="false" ht="15" hidden="false" customHeight="false" outlineLevel="0" collapsed="false">
      <c r="A94" s="9" t="s">
        <v>637</v>
      </c>
      <c r="B94" s="2" t="s">
        <v>105</v>
      </c>
      <c r="C94" s="37" t="n">
        <f aca="false">C7*Assumptions!$D$187*Assumptions!$E$187+C8*Assumptions!$D$188*Assumptions!$E$188+C9*Assumptions!$D$189*Assumptions!$E$189+C10*Assumptions!$D$190*Assumptions!$E$190+C11*Assumptions!$D$191*Assumptions!$E$191+C12*Assumptions!$D$192*Assumptions!$E$192+C13*Assumptions!$D$193*Assumptions!$E$193+C14*Assumptions!$D$194*Assumptions!$E$194+C15*Assumptions!$D$195*Assumptions!$E$195+C16*Assumptions!$D$196*Assumptions!$E$196</f>
        <v>0</v>
      </c>
      <c r="D94" s="37" t="n">
        <f aca="false">(D7-C7)*Assumptions!$D$187*Assumptions!$E$187+(D8-C8)*Assumptions!$D$188*Assumptions!$E$188+(D9-C9)*Assumptions!$D$189*Assumptions!$E$189+(D10-C10)*Assumptions!$D$190*Assumptions!$E$190+(D11-C11)*Assumptions!$D$191*Assumptions!$E$191+(D12-C12)*Assumptions!$D$192*Assumptions!$E$192+(D13-C13)*Assumptions!$D$193*Assumptions!$E$193+(D14-C14)*Assumptions!$D$194*Assumptions!$E$194+(D15-C15)*Assumptions!$D$195*Assumptions!$E$195+(D16-C16)*Assumptions!$D$196*Assumptions!$E$196</f>
        <v>0</v>
      </c>
      <c r="E94" s="37" t="n">
        <f aca="false">(E7-D7)*Assumptions!$D$187*Assumptions!$E$187+(E8-D8)*Assumptions!$D$188*Assumptions!$E$188+(E9-D9)*Assumptions!$D$189*Assumptions!$E$189+(E10-D10)*Assumptions!$D$190*Assumptions!$E$190+(E11-D11)*Assumptions!$D$191*Assumptions!$E$191+(E12-D12)*Assumptions!$D$192*Assumptions!$E$192+(E13-D13)*Assumptions!$D$193*Assumptions!$E$193+(E14-D14)*Assumptions!$D$194*Assumptions!$E$194+(E15-D15)*Assumptions!$D$195*Assumptions!$E$195+(E16-D16)*Assumptions!$D$196*Assumptions!$E$196</f>
        <v>0</v>
      </c>
      <c r="F94" s="37" t="n">
        <f aca="false">(F7-E7)*Assumptions!$D$187*Assumptions!$E$187+(F8-E8)*Assumptions!$D$188*Assumptions!$E$188+(F9-E9)*Assumptions!$D$189*Assumptions!$E$189+(F10-E10)*Assumptions!$D$190*Assumptions!$E$190+(F11-E11)*Assumptions!$D$191*Assumptions!$E$191+(F12-E12)*Assumptions!$D$192*Assumptions!$E$192+(F13-E13)*Assumptions!$D$193*Assumptions!$E$193+(F14-E14)*Assumptions!$D$194*Assumptions!$E$194+(F15-E15)*Assumptions!$D$195*Assumptions!$E$195+(F16-E16)*Assumptions!$D$196*Assumptions!$E$196</f>
        <v>0</v>
      </c>
      <c r="G94" s="37" t="n">
        <f aca="false">(G7-F7)*Assumptions!$D$187*Assumptions!$E$187+(G8-F8)*Assumptions!$D$188*Assumptions!$E$188+(G9-F9)*Assumptions!$D$189*Assumptions!$E$189+(G10-F10)*Assumptions!$D$190*Assumptions!$E$190+(G11-F11)*Assumptions!$D$191*Assumptions!$E$191+(G12-F12)*Assumptions!$D$192*Assumptions!$E$192+(G13-F13)*Assumptions!$D$193*Assumptions!$E$193+(G14-F14)*Assumptions!$D$194*Assumptions!$E$194+(G15-F15)*Assumptions!$D$195*Assumptions!$E$195+(G16-F16)*Assumptions!$D$196*Assumptions!$E$196</f>
        <v>0</v>
      </c>
      <c r="H94" s="37" t="n">
        <f aca="false">(H7-G7)*Assumptions!$D$187*Assumptions!$E$187+(H8-G8)*Assumptions!$D$188*Assumptions!$E$188+(H9-G9)*Assumptions!$D$189*Assumptions!$E$189+(H10-G10)*Assumptions!$D$190*Assumptions!$E$190+(H11-G11)*Assumptions!$D$191*Assumptions!$E$191+(H12-G12)*Assumptions!$D$192*Assumptions!$E$192+(H13-G13)*Assumptions!$D$193*Assumptions!$E$193+(H14-G14)*Assumptions!$D$194*Assumptions!$E$194+(H15-G15)*Assumptions!$D$195*Assumptions!$E$195+(H16-G16)*Assumptions!$D$196*Assumptions!$E$196</f>
        <v>0</v>
      </c>
      <c r="I94" s="37" t="n">
        <f aca="false">(I7-H7)*Assumptions!$D$187*Assumptions!$E$187+(I8-H8)*Assumptions!$D$188*Assumptions!$E$188+(I9-H9)*Assumptions!$D$189*Assumptions!$E$189+(I10-H10)*Assumptions!$D$190*Assumptions!$E$190+(I11-H11)*Assumptions!$D$191*Assumptions!$E$191+(I12-H12)*Assumptions!$D$192*Assumptions!$E$192+(I13-H13)*Assumptions!$D$193*Assumptions!$E$193+(I14-H14)*Assumptions!$D$194*Assumptions!$E$194+(I15-H15)*Assumptions!$D$195*Assumptions!$E$195+(I16-H16)*Assumptions!$D$196*Assumptions!$E$196</f>
        <v>0</v>
      </c>
      <c r="J94" s="37" t="n">
        <f aca="false">(J7-I7)*Assumptions!$D$187*Assumptions!$E$187+(J8-I8)*Assumptions!$D$188*Assumptions!$E$188+(J9-I9)*Assumptions!$D$189*Assumptions!$E$189+(J10-I10)*Assumptions!$D$190*Assumptions!$E$190+(J11-I11)*Assumptions!$D$191*Assumptions!$E$191+(J12-I12)*Assumptions!$D$192*Assumptions!$E$192+(J13-I13)*Assumptions!$D$193*Assumptions!$E$193+(J14-I14)*Assumptions!$D$194*Assumptions!$E$194+(J15-I15)*Assumptions!$D$195*Assumptions!$E$195+(J16-I16)*Assumptions!$D$196*Assumptions!$E$196</f>
        <v>0</v>
      </c>
      <c r="K94" s="37" t="n">
        <f aca="false">(K7-J7)*Assumptions!$D$187*Assumptions!$E$187+(K8-J8)*Assumptions!$D$188*Assumptions!$E$188+(K9-J9)*Assumptions!$D$189*Assumptions!$E$189+(K10-J10)*Assumptions!$D$190*Assumptions!$E$190+(K11-J11)*Assumptions!$D$191*Assumptions!$E$191+(K12-J12)*Assumptions!$D$192*Assumptions!$E$192+(K13-J13)*Assumptions!$D$193*Assumptions!$E$193+(K14-J14)*Assumptions!$D$194*Assumptions!$E$194+(K15-J15)*Assumptions!$D$195*Assumptions!$E$195+(K16-J16)*Assumptions!$D$196*Assumptions!$E$196</f>
        <v>0</v>
      </c>
      <c r="L94" s="37" t="n">
        <f aca="false">(L7-K7)*Assumptions!$D$187*Assumptions!$E$187+(L8-K8)*Assumptions!$D$188*Assumptions!$E$188+(L9-K9)*Assumptions!$D$189*Assumptions!$E$189+(L10-K10)*Assumptions!$D$190*Assumptions!$E$190+(L11-K11)*Assumptions!$D$191*Assumptions!$E$191+(L12-K12)*Assumptions!$D$192*Assumptions!$E$192+(L13-K13)*Assumptions!$D$193*Assumptions!$E$193+(L14-K14)*Assumptions!$D$194*Assumptions!$E$194+(L15-K15)*Assumptions!$D$195*Assumptions!$E$195+(L16-K16)*Assumptions!$D$196*Assumptions!$E$196</f>
        <v>0</v>
      </c>
      <c r="M94" s="37" t="n">
        <f aca="false">(M7-L7)*Assumptions!$D$187*Assumptions!$E$187+(M8-L8)*Assumptions!$D$188*Assumptions!$E$188+(M9-L9)*Assumptions!$D$189*Assumptions!$E$189+(M10-L10)*Assumptions!$D$190*Assumptions!$E$190+(M11-L11)*Assumptions!$D$191*Assumptions!$E$191+(M12-L12)*Assumptions!$D$192*Assumptions!$E$192+(M13-L13)*Assumptions!$D$193*Assumptions!$E$193+(M14-L14)*Assumptions!$D$194*Assumptions!$E$194+(M15-L15)*Assumptions!$D$195*Assumptions!$E$195+(M16-L16)*Assumptions!$D$196*Assumptions!$E$196</f>
        <v>0</v>
      </c>
      <c r="N94" s="37" t="n">
        <f aca="false">(N7-M7)*Assumptions!$D$187*Assumptions!$E$187+(N8-M8)*Assumptions!$D$188*Assumptions!$E$188+(N9-M9)*Assumptions!$D$189*Assumptions!$E$189+(N10-M10)*Assumptions!$D$190*Assumptions!$E$190+(N11-M11)*Assumptions!$D$191*Assumptions!$E$191+(N12-M12)*Assumptions!$D$192*Assumptions!$E$192+(N13-M13)*Assumptions!$D$193*Assumptions!$E$193+(N14-M14)*Assumptions!$D$194*Assumptions!$E$194+(N15-M15)*Assumptions!$D$195*Assumptions!$E$195+(N16-M16)*Assumptions!$D$196*Assumptions!$E$196</f>
        <v>0</v>
      </c>
      <c r="O94" s="37" t="n">
        <f aca="false">(O7-N7)*Assumptions!$D$187*Assumptions!$E$187+(O8-N8)*Assumptions!$D$188*Assumptions!$E$188+(O9-N9)*Assumptions!$D$189*Assumptions!$E$189+(O10-N10)*Assumptions!$D$190*Assumptions!$E$190+(O11-N11)*Assumptions!$D$191*Assumptions!$E$191+(O12-N12)*Assumptions!$D$192*Assumptions!$E$192+(O13-N13)*Assumptions!$D$193*Assumptions!$E$193+(O14-N14)*Assumptions!$D$194*Assumptions!$E$194+(O15-N15)*Assumptions!$D$195*Assumptions!$E$195+(O16-N16)*Assumptions!$D$196*Assumptions!$E$196</f>
        <v>0</v>
      </c>
      <c r="P94" s="37" t="n">
        <f aca="false">(P7-O7)*Assumptions!$D$187*Assumptions!$E$187+(P8-O8)*Assumptions!$D$188*Assumptions!$E$188+(P9-O9)*Assumptions!$D$189*Assumptions!$E$189+(P10-O10)*Assumptions!$D$190*Assumptions!$E$190+(P11-O11)*Assumptions!$D$191*Assumptions!$E$191+(P12-O12)*Assumptions!$D$192*Assumptions!$E$192+(P13-O13)*Assumptions!$D$193*Assumptions!$E$193+(P14-O14)*Assumptions!$D$194*Assumptions!$E$194+(P15-O15)*Assumptions!$D$195*Assumptions!$E$195+(P16-O16)*Assumptions!$D$196*Assumptions!$E$196</f>
        <v>0</v>
      </c>
      <c r="Q94" s="37" t="n">
        <f aca="false">(Q7-P7)*Assumptions!$D$187*Assumptions!$E$187+(Q8-P8)*Assumptions!$D$188*Assumptions!$E$188+(Q9-P9)*Assumptions!$D$189*Assumptions!$E$189+(Q10-P10)*Assumptions!$D$190*Assumptions!$E$190+(Q11-P11)*Assumptions!$D$191*Assumptions!$E$191+(Q12-P12)*Assumptions!$D$192*Assumptions!$E$192+(Q13-P13)*Assumptions!$D$193*Assumptions!$E$193+(Q14-P14)*Assumptions!$D$194*Assumptions!$E$194+(Q15-P15)*Assumptions!$D$195*Assumptions!$E$195+(Q16-P16)*Assumptions!$D$196*Assumptions!$E$196</f>
        <v>0</v>
      </c>
      <c r="R94" s="37" t="n">
        <f aca="false">(R7-Q7)*Assumptions!$D$187*Assumptions!$E$187+(R8-Q8)*Assumptions!$D$188*Assumptions!$E$188+(R9-Q9)*Assumptions!$D$189*Assumptions!$E$189+(R10-Q10)*Assumptions!$D$190*Assumptions!$E$190+(R11-Q11)*Assumptions!$D$191*Assumptions!$E$191+(R12-Q12)*Assumptions!$D$192*Assumptions!$E$192+(R13-Q13)*Assumptions!$D$193*Assumptions!$E$193+(R14-Q14)*Assumptions!$D$194*Assumptions!$E$194+(R15-Q15)*Assumptions!$D$195*Assumptions!$E$195+(R16-Q16)*Assumptions!$D$196*Assumptions!$E$196</f>
        <v>0</v>
      </c>
      <c r="S94" s="37" t="n">
        <f aca="false">(S7-R7)*Assumptions!$D$187*Assumptions!$E$187+(S8-R8)*Assumptions!$D$188*Assumptions!$E$188+(S9-R9)*Assumptions!$D$189*Assumptions!$E$189+(S10-R10)*Assumptions!$D$190*Assumptions!$E$190+(S11-R11)*Assumptions!$D$191*Assumptions!$E$191+(S12-R12)*Assumptions!$D$192*Assumptions!$E$192+(S13-R13)*Assumptions!$D$193*Assumptions!$E$193+(S14-R14)*Assumptions!$D$194*Assumptions!$E$194+(S15-R15)*Assumptions!$D$195*Assumptions!$E$195+(S16-R16)*Assumptions!$D$196*Assumptions!$E$196</f>
        <v>0</v>
      </c>
      <c r="T94" s="37" t="n">
        <f aca="false">(T7-S7)*Assumptions!$D$187*Assumptions!$E$187+(T8-S8)*Assumptions!$D$188*Assumptions!$E$188+(T9-S9)*Assumptions!$D$189*Assumptions!$E$189+(T10-S10)*Assumptions!$D$190*Assumptions!$E$190+(T11-S11)*Assumptions!$D$191*Assumptions!$E$191+(T12-S12)*Assumptions!$D$192*Assumptions!$E$192+(T13-S13)*Assumptions!$D$193*Assumptions!$E$193+(T14-S14)*Assumptions!$D$194*Assumptions!$E$194+(T15-S15)*Assumptions!$D$195*Assumptions!$E$195+(T16-S16)*Assumptions!$D$196*Assumptions!$E$196</f>
        <v>0</v>
      </c>
      <c r="U94" s="37" t="n">
        <f aca="false">(U7-T7)*Assumptions!$D$187*Assumptions!$E$187+(U8-T8)*Assumptions!$D$188*Assumptions!$E$188+(U9-T9)*Assumptions!$D$189*Assumptions!$E$189+(U10-T10)*Assumptions!$D$190*Assumptions!$E$190+(U11-T11)*Assumptions!$D$191*Assumptions!$E$191+(U12-T12)*Assumptions!$D$192*Assumptions!$E$192+(U13-T13)*Assumptions!$D$193*Assumptions!$E$193+(U14-T14)*Assumptions!$D$194*Assumptions!$E$194+(U15-T15)*Assumptions!$D$195*Assumptions!$E$195+(U16-T16)*Assumptions!$D$196*Assumptions!$E$196</f>
        <v>0</v>
      </c>
      <c r="V94" s="37" t="n">
        <f aca="false">(V7-U7)*Assumptions!$D$187*Assumptions!$E$187+(V8-U8)*Assumptions!$D$188*Assumptions!$E$188+(V9-U9)*Assumptions!$D$189*Assumptions!$E$189+(V10-U10)*Assumptions!$D$190*Assumptions!$E$190+(V11-U11)*Assumptions!$D$191*Assumptions!$E$191+(V12-U12)*Assumptions!$D$192*Assumptions!$E$192+(V13-U13)*Assumptions!$D$193*Assumptions!$E$193+(V14-U14)*Assumptions!$D$194*Assumptions!$E$194+(V15-U15)*Assumptions!$D$195*Assumptions!$E$195+(V16-U16)*Assumptions!$D$196*Assumptions!$E$196</f>
        <v>0</v>
      </c>
      <c r="W94" s="37" t="n">
        <f aca="false">(W7-V7)*Assumptions!$D$187*Assumptions!$E$187+(W8-V8)*Assumptions!$D$188*Assumptions!$E$188+(W9-V9)*Assumptions!$D$189*Assumptions!$E$189+(W10-V10)*Assumptions!$D$190*Assumptions!$E$190+(W11-V11)*Assumptions!$D$191*Assumptions!$E$191+(W12-V12)*Assumptions!$D$192*Assumptions!$E$192+(W13-V13)*Assumptions!$D$193*Assumptions!$E$193+(W14-V14)*Assumptions!$D$194*Assumptions!$E$194+(W15-V15)*Assumptions!$D$195*Assumptions!$E$195+(W16-V16)*Assumptions!$D$196*Assumptions!$E$196</f>
        <v>0</v>
      </c>
      <c r="X94" s="37" t="n">
        <f aca="false">(X7-W7)*Assumptions!$D$187*Assumptions!$E$187+(X8-W8)*Assumptions!$D$188*Assumptions!$E$188+(X9-W9)*Assumptions!$D$189*Assumptions!$E$189+(X10-W10)*Assumptions!$D$190*Assumptions!$E$190+(X11-W11)*Assumptions!$D$191*Assumptions!$E$191+(X12-W12)*Assumptions!$D$192*Assumptions!$E$192+(X13-W13)*Assumptions!$D$193*Assumptions!$E$193+(X14-W14)*Assumptions!$D$194*Assumptions!$E$194+(X15-W15)*Assumptions!$D$195*Assumptions!$E$195+(X16-W16)*Assumptions!$D$196*Assumptions!$E$196</f>
        <v>0</v>
      </c>
      <c r="Y94" s="37" t="n">
        <f aca="false">(Y7-X7)*Assumptions!$D$187*Assumptions!$E$187+(Y8-X8)*Assumptions!$D$188*Assumptions!$E$188+(Y9-X9)*Assumptions!$D$189*Assumptions!$E$189+(Y10-X10)*Assumptions!$D$190*Assumptions!$E$190+(Y11-X11)*Assumptions!$D$191*Assumptions!$E$191+(Y12-X12)*Assumptions!$D$192*Assumptions!$E$192+(Y13-X13)*Assumptions!$D$193*Assumptions!$E$193+(Y14-X14)*Assumptions!$D$194*Assumptions!$E$194+(Y15-X15)*Assumptions!$D$195*Assumptions!$E$195+(Y16-X16)*Assumptions!$D$196*Assumptions!$E$196</f>
        <v>0</v>
      </c>
      <c r="Z94" s="37" t="n">
        <f aca="false">(Z7-Y7)*Assumptions!$D$187*Assumptions!$E$187+(Z8-Y8)*Assumptions!$D$188*Assumptions!$E$188+(Z9-Y9)*Assumptions!$D$189*Assumptions!$E$189+(Z10-Y10)*Assumptions!$D$190*Assumptions!$E$190+(Z11-Y11)*Assumptions!$D$191*Assumptions!$E$191+(Z12-Y12)*Assumptions!$D$192*Assumptions!$E$192+(Z13-Y13)*Assumptions!$D$193*Assumptions!$E$193+(Z14-Y14)*Assumptions!$D$194*Assumptions!$E$194+(Z15-Y15)*Assumptions!$D$195*Assumptions!$E$195+(Z16-Y16)*Assumptions!$D$196*Assumptions!$E$196</f>
        <v>0</v>
      </c>
      <c r="AA94" s="37" t="n">
        <f aca="false">(AA7-Z7)*Assumptions!$D$187*Assumptions!$E$187+(AA8-Z8)*Assumptions!$D$188*Assumptions!$E$188+(AA9-Z9)*Assumptions!$D$189*Assumptions!$E$189+(AA10-Z10)*Assumptions!$D$190*Assumptions!$E$190+(AA11-Z11)*Assumptions!$D$191*Assumptions!$E$191+(AA12-Z12)*Assumptions!$D$192*Assumptions!$E$192+(AA13-Z13)*Assumptions!$D$193*Assumptions!$E$193+(AA14-Z14)*Assumptions!$D$194*Assumptions!$E$194+(AA15-Z15)*Assumptions!$D$195*Assumptions!$E$195+(AA16-Z16)*Assumptions!$D$196*Assumptions!$E$196</f>
        <v>0</v>
      </c>
      <c r="AB94" s="37" t="n">
        <f aca="false">(AB7-AA7)*Assumptions!$D$187*Assumptions!$E$187+(AB8-AA8)*Assumptions!$D$188*Assumptions!$E$188+(AB9-AA9)*Assumptions!$D$189*Assumptions!$E$189+(AB10-AA10)*Assumptions!$D$190*Assumptions!$E$190+(AB11-AA11)*Assumptions!$D$191*Assumptions!$E$191+(AB12-AA12)*Assumptions!$D$192*Assumptions!$E$192+(AB13-AA13)*Assumptions!$D$193*Assumptions!$E$193+(AB14-AA14)*Assumptions!$D$194*Assumptions!$E$194+(AB15-AA15)*Assumptions!$D$195*Assumptions!$E$195+(AB16-AA16)*Assumptions!$D$196*Assumptions!$E$196</f>
        <v>0</v>
      </c>
      <c r="AC94" s="37" t="n">
        <f aca="false">(AC7-AB7)*Assumptions!$D$187*Assumptions!$E$187+(AC8-AB8)*Assumptions!$D$188*Assumptions!$E$188+(AC9-AB9)*Assumptions!$D$189*Assumptions!$E$189+(AC10-AB10)*Assumptions!$D$190*Assumptions!$E$190+(AC11-AB11)*Assumptions!$D$191*Assumptions!$E$191+(AC12-AB12)*Assumptions!$D$192*Assumptions!$E$192+(AC13-AB13)*Assumptions!$D$193*Assumptions!$E$193+(AC14-AB14)*Assumptions!$D$194*Assumptions!$E$194+(AC15-AB15)*Assumptions!$D$195*Assumptions!$E$195+(AC16-AB16)*Assumptions!$D$196*Assumptions!$E$196</f>
        <v>0</v>
      </c>
      <c r="AD94" s="37" t="n">
        <f aca="false">(AD7-AC7)*Assumptions!$D$187*Assumptions!$E$187+(AD8-AC8)*Assumptions!$D$188*Assumptions!$E$188+(AD9-AC9)*Assumptions!$D$189*Assumptions!$E$189+(AD10-AC10)*Assumptions!$D$190*Assumptions!$E$190+(AD11-AC11)*Assumptions!$D$191*Assumptions!$E$191+(AD12-AC12)*Assumptions!$D$192*Assumptions!$E$192+(AD13-AC13)*Assumptions!$D$193*Assumptions!$E$193+(AD14-AC14)*Assumptions!$D$194*Assumptions!$E$194+(AD15-AC15)*Assumptions!$D$195*Assumptions!$E$195+(AD16-AC16)*Assumptions!$D$196*Assumptions!$E$196</f>
        <v>0</v>
      </c>
      <c r="AE94" s="37" t="n">
        <f aca="false">(AE7-AD7)*Assumptions!$D$187*Assumptions!$E$187+(AE8-AD8)*Assumptions!$D$188*Assumptions!$E$188+(AE9-AD9)*Assumptions!$D$189*Assumptions!$E$189+(AE10-AD10)*Assumptions!$D$190*Assumptions!$E$190+(AE11-AD11)*Assumptions!$D$191*Assumptions!$E$191+(AE12-AD12)*Assumptions!$D$192*Assumptions!$E$192+(AE13-AD13)*Assumptions!$D$193*Assumptions!$E$193+(AE14-AD14)*Assumptions!$D$194*Assumptions!$E$194+(AE15-AD15)*Assumptions!$D$195*Assumptions!$E$195+(AE16-AD16)*Assumptions!$D$196*Assumptions!$E$196</f>
        <v>0</v>
      </c>
      <c r="AF94" s="37" t="n">
        <f aca="false">(AF7-AE7)*Assumptions!$D$187*Assumptions!$E$187+(AF8-AE8)*Assumptions!$D$188*Assumptions!$E$188+(AF9-AE9)*Assumptions!$D$189*Assumptions!$E$189+(AF10-AE10)*Assumptions!$D$190*Assumptions!$E$190+(AF11-AE11)*Assumptions!$D$191*Assumptions!$E$191+(AF12-AE12)*Assumptions!$D$192*Assumptions!$E$192+(AF13-AE13)*Assumptions!$D$193*Assumptions!$E$193+(AF14-AE14)*Assumptions!$D$194*Assumptions!$E$194+(AF15-AE15)*Assumptions!$D$195*Assumptions!$E$195+(AF16-AE16)*Assumptions!$D$196*Assumptions!$E$196</f>
        <v>12750</v>
      </c>
      <c r="AG94" s="37" t="n">
        <f aca="false">(AG7-AF7)*Assumptions!$D$187*Assumptions!$E$187+(AG8-AF8)*Assumptions!$D$188*Assumptions!$E$188+(AG9-AF9)*Assumptions!$D$189*Assumptions!$E$189+(AG10-AF10)*Assumptions!$D$190*Assumptions!$E$190+(AG11-AF11)*Assumptions!$D$191*Assumptions!$E$191+(AG12-AF12)*Assumptions!$D$192*Assumptions!$E$192+(AG13-AF13)*Assumptions!$D$193*Assumptions!$E$193+(AG14-AF14)*Assumptions!$D$194*Assumptions!$E$194+(AG15-AF15)*Assumptions!$D$195*Assumptions!$E$195+(AG16-AF16)*Assumptions!$D$196*Assumptions!$E$196</f>
        <v>0</v>
      </c>
      <c r="AH94" s="37" t="n">
        <f aca="false">(AH7-AG7)*Assumptions!$D$187*Assumptions!$E$187+(AH8-AG8)*Assumptions!$D$188*Assumptions!$E$188+(AH9-AG9)*Assumptions!$D$189*Assumptions!$E$189+(AH10-AG10)*Assumptions!$D$190*Assumptions!$E$190+(AH11-AG11)*Assumptions!$D$191*Assumptions!$E$191+(AH12-AG12)*Assumptions!$D$192*Assumptions!$E$192+(AH13-AG13)*Assumptions!$D$193*Assumptions!$E$193+(AH14-AG14)*Assumptions!$D$194*Assumptions!$E$194+(AH15-AG15)*Assumptions!$D$195*Assumptions!$E$195+(AH16-AG16)*Assumptions!$D$196*Assumptions!$E$196</f>
        <v>0</v>
      </c>
      <c r="AI94" s="37" t="n">
        <f aca="false">(AI7-AH7)*Assumptions!$D$187*Assumptions!$E$187+(AI8-AH8)*Assumptions!$D$188*Assumptions!$E$188+(AI9-AH9)*Assumptions!$D$189*Assumptions!$E$189+(AI10-AH10)*Assumptions!$D$190*Assumptions!$E$190+(AI11-AH11)*Assumptions!$D$191*Assumptions!$E$191+(AI12-AH12)*Assumptions!$D$192*Assumptions!$E$192+(AI13-AH13)*Assumptions!$D$193*Assumptions!$E$193+(AI14-AH14)*Assumptions!$D$194*Assumptions!$E$194+(AI15-AH15)*Assumptions!$D$195*Assumptions!$E$195+(AI16-AH16)*Assumptions!$D$196*Assumptions!$E$196</f>
        <v>0</v>
      </c>
      <c r="AJ94" s="37" t="n">
        <f aca="false">(AJ7-AI7)*Assumptions!$D$187*Assumptions!$E$187+(AJ8-AI8)*Assumptions!$D$188*Assumptions!$E$188+(AJ9-AI9)*Assumptions!$D$189*Assumptions!$E$189+(AJ10-AI10)*Assumptions!$D$190*Assumptions!$E$190+(AJ11-AI11)*Assumptions!$D$191*Assumptions!$E$191+(AJ12-AI12)*Assumptions!$D$192*Assumptions!$E$192+(AJ13-AI13)*Assumptions!$D$193*Assumptions!$E$193+(AJ14-AI14)*Assumptions!$D$194*Assumptions!$E$194+(AJ15-AI15)*Assumptions!$D$195*Assumptions!$E$195+(AJ16-AI16)*Assumptions!$D$196*Assumptions!$E$196</f>
        <v>0</v>
      </c>
      <c r="AK94" s="37" t="n">
        <f aca="false">(AK7-AJ7)*Assumptions!$D$187*Assumptions!$E$187+(AK8-AJ8)*Assumptions!$D$188*Assumptions!$E$188+(AK9-AJ9)*Assumptions!$D$189*Assumptions!$E$189+(AK10-AJ10)*Assumptions!$D$190*Assumptions!$E$190+(AK11-AJ11)*Assumptions!$D$191*Assumptions!$E$191+(AK12-AJ12)*Assumptions!$D$192*Assumptions!$E$192+(AK13-AJ13)*Assumptions!$D$193*Assumptions!$E$193+(AK14-AJ14)*Assumptions!$D$194*Assumptions!$E$194+(AK15-AJ15)*Assumptions!$D$195*Assumptions!$E$195+(AK16-AJ16)*Assumptions!$D$196*Assumptions!$E$196</f>
        <v>0</v>
      </c>
      <c r="AL94" s="37" t="n">
        <f aca="false">(AL7-AK7)*Assumptions!$D$187*Assumptions!$E$187+(AL8-AK8)*Assumptions!$D$188*Assumptions!$E$188+(AL9-AK9)*Assumptions!$D$189*Assumptions!$E$189+(AL10-AK10)*Assumptions!$D$190*Assumptions!$E$190+(AL11-AK11)*Assumptions!$D$191*Assumptions!$E$191+(AL12-AK12)*Assumptions!$D$192*Assumptions!$E$192+(AL13-AK13)*Assumptions!$D$193*Assumptions!$E$193+(AL14-AK14)*Assumptions!$D$194*Assumptions!$E$194+(AL15-AK15)*Assumptions!$D$195*Assumptions!$E$195+(AL16-AK16)*Assumptions!$D$196*Assumptions!$E$196</f>
        <v>0</v>
      </c>
    </row>
    <row r="95" customFormat="false" ht="15" hidden="false" customHeight="false" outlineLevel="0" collapsed="false">
      <c r="A95" s="9" t="s">
        <v>638</v>
      </c>
      <c r="B95" s="2" t="s">
        <v>105</v>
      </c>
      <c r="C95" s="37" t="n">
        <f aca="false">IF(C8=0,Assumptions!$D$163,0)</f>
        <v>2000</v>
      </c>
      <c r="D95" s="37" t="n">
        <f aca="false">IF(D8=0,Assumptions!$D$163,0)</f>
        <v>2000</v>
      </c>
      <c r="E95" s="37" t="n">
        <f aca="false">IF(E8=0,Assumptions!$D$163,0)</f>
        <v>2000</v>
      </c>
      <c r="F95" s="37" t="n">
        <f aca="false">IF(F8=0,Assumptions!$D$163,0)</f>
        <v>2000</v>
      </c>
      <c r="G95" s="37" t="n">
        <f aca="false">IF(G8=0,Assumptions!$D$163,0)</f>
        <v>2000</v>
      </c>
      <c r="H95" s="37" t="n">
        <f aca="false">IF(H8=0,Assumptions!$D$163,0)</f>
        <v>2000</v>
      </c>
      <c r="I95" s="37" t="n">
        <f aca="false">IF(I8=0,Assumptions!$D$163,0)</f>
        <v>2000</v>
      </c>
      <c r="J95" s="37" t="n">
        <f aca="false">IF(J8=0,Assumptions!$D$163,0)</f>
        <v>2000</v>
      </c>
      <c r="K95" s="37" t="n">
        <f aca="false">IF(K8=0,Assumptions!$D$163,0)</f>
        <v>2000</v>
      </c>
      <c r="L95" s="37" t="n">
        <f aca="false">IF(L8=0,Assumptions!$D$163,0)</f>
        <v>2000</v>
      </c>
      <c r="M95" s="37" t="n">
        <f aca="false">IF(M8=0,Assumptions!$D$163,0)</f>
        <v>2000</v>
      </c>
      <c r="N95" s="37" t="n">
        <f aca="false">IF(N8=0,Assumptions!$D$163,0)</f>
        <v>2000</v>
      </c>
      <c r="O95" s="37" t="n">
        <f aca="false">IF(O8=0,Assumptions!$D$163,0)</f>
        <v>2000</v>
      </c>
      <c r="P95" s="37" t="n">
        <f aca="false">IF(P8=0,Assumptions!$D$163,0)</f>
        <v>2000</v>
      </c>
      <c r="Q95" s="37" t="n">
        <f aca="false">IF(Q8=0,Assumptions!$D$163,0)</f>
        <v>2000</v>
      </c>
      <c r="R95" s="37" t="n">
        <f aca="false">IF(R8=0,Assumptions!$D$163,0)</f>
        <v>2000</v>
      </c>
      <c r="S95" s="37" t="n">
        <f aca="false">IF(S8=0,Assumptions!$D$163,0)</f>
        <v>2000</v>
      </c>
      <c r="T95" s="37" t="n">
        <f aca="false">IF(T8=0,Assumptions!$D$163,0)</f>
        <v>2000</v>
      </c>
      <c r="U95" s="37" t="n">
        <f aca="false">IF(U8=0,Assumptions!$D$163,0)</f>
        <v>2000</v>
      </c>
      <c r="V95" s="37" t="n">
        <f aca="false">IF(V8=0,Assumptions!$D$163,0)</f>
        <v>2000</v>
      </c>
      <c r="W95" s="37" t="n">
        <f aca="false">IF(W8=0,Assumptions!$D$163,0)</f>
        <v>2000</v>
      </c>
      <c r="X95" s="37" t="n">
        <f aca="false">IF(X8=0,Assumptions!$D$163,0)</f>
        <v>2000</v>
      </c>
      <c r="Y95" s="37" t="n">
        <f aca="false">IF(Y8=0,Assumptions!$D$163,0)</f>
        <v>2000</v>
      </c>
      <c r="Z95" s="37" t="n">
        <f aca="false">IF(Z8=0,Assumptions!$D$163,0)</f>
        <v>2000</v>
      </c>
      <c r="AA95" s="37" t="n">
        <f aca="false">IF(AA8=0,Assumptions!$D$163,0)</f>
        <v>2000</v>
      </c>
      <c r="AB95" s="37" t="n">
        <f aca="false">IF(AB8=0,Assumptions!$D$163,0)</f>
        <v>2000</v>
      </c>
      <c r="AC95" s="37" t="n">
        <f aca="false">IF(AC8=0,Assumptions!$D$163,0)</f>
        <v>2000</v>
      </c>
      <c r="AD95" s="37" t="n">
        <f aca="false">IF(AD8=0,Assumptions!$D$163,0)</f>
        <v>2000</v>
      </c>
      <c r="AE95" s="37" t="n">
        <f aca="false">IF(AE8=0,Assumptions!$D$163,0)</f>
        <v>2000</v>
      </c>
      <c r="AF95" s="37" t="n">
        <f aca="false">IF(AF8=0,Assumptions!$D$163,0)</f>
        <v>0</v>
      </c>
      <c r="AG95" s="37" t="n">
        <f aca="false">IF(AG8=0,Assumptions!$D$163,0)</f>
        <v>0</v>
      </c>
      <c r="AH95" s="37" t="n">
        <f aca="false">IF(AH8=0,Assumptions!$D$163,0)</f>
        <v>0</v>
      </c>
      <c r="AI95" s="37" t="n">
        <f aca="false">IF(AI8=0,Assumptions!$D$163,0)</f>
        <v>0</v>
      </c>
      <c r="AJ95" s="37" t="n">
        <f aca="false">IF(AJ8=0,Assumptions!$D$163,0)</f>
        <v>0</v>
      </c>
      <c r="AK95" s="37" t="n">
        <f aca="false">IF(AK8=0,Assumptions!$D$163,0)</f>
        <v>0</v>
      </c>
      <c r="AL95" s="37" t="n">
        <f aca="false">IF(AL8=0,Assumptions!$D$163,0)</f>
        <v>0</v>
      </c>
    </row>
    <row r="96" customFormat="false" ht="15" hidden="false" customHeight="false" outlineLevel="0" collapsed="false">
      <c r="A96" s="9" t="s">
        <v>639</v>
      </c>
      <c r="B96" s="2" t="s">
        <v>105</v>
      </c>
      <c r="C96" s="37" t="n">
        <f aca="false">Assumptions!$D$164+Assumptions!$D$165/12</f>
        <v>2250</v>
      </c>
      <c r="D96" s="37" t="n">
        <f aca="false">Assumptions!$D$164+Assumptions!$D$165/12</f>
        <v>2250</v>
      </c>
      <c r="E96" s="37" t="n">
        <f aca="false">Assumptions!$D$164+Assumptions!$D$165/12</f>
        <v>2250</v>
      </c>
      <c r="F96" s="37" t="n">
        <f aca="false">Assumptions!$D$164+Assumptions!$D$165/12</f>
        <v>2250</v>
      </c>
      <c r="G96" s="37" t="n">
        <f aca="false">Assumptions!$D$164+Assumptions!$D$165/12</f>
        <v>2250</v>
      </c>
      <c r="H96" s="37" t="n">
        <f aca="false">Assumptions!$D$164+Assumptions!$D$165/12</f>
        <v>2250</v>
      </c>
      <c r="I96" s="37" t="n">
        <f aca="false">Assumptions!$D$164+Assumptions!$D$165/12</f>
        <v>2250</v>
      </c>
      <c r="J96" s="37" t="n">
        <f aca="false">Assumptions!$D$164+Assumptions!$D$165/12</f>
        <v>2250</v>
      </c>
      <c r="K96" s="37" t="n">
        <f aca="false">Assumptions!$D$164+Assumptions!$D$165/12</f>
        <v>2250</v>
      </c>
      <c r="L96" s="37" t="n">
        <f aca="false">Assumptions!$D$164+Assumptions!$D$165/12</f>
        <v>2250</v>
      </c>
      <c r="M96" s="37" t="n">
        <f aca="false">Assumptions!$D$164+Assumptions!$D$165/12</f>
        <v>2250</v>
      </c>
      <c r="N96" s="37" t="n">
        <f aca="false">Assumptions!$D$164+Assumptions!$D$165/12</f>
        <v>2250</v>
      </c>
      <c r="O96" s="37" t="n">
        <f aca="false">Assumptions!$D$164+Assumptions!$D$165/12</f>
        <v>2250</v>
      </c>
      <c r="P96" s="37" t="n">
        <f aca="false">Assumptions!$D$164+Assumptions!$D$165/12</f>
        <v>2250</v>
      </c>
      <c r="Q96" s="37" t="n">
        <f aca="false">Assumptions!$D$164+Assumptions!$D$165/12</f>
        <v>2250</v>
      </c>
      <c r="R96" s="37" t="n">
        <f aca="false">Assumptions!$D$164+Assumptions!$D$165/12</f>
        <v>2250</v>
      </c>
      <c r="S96" s="37" t="n">
        <f aca="false">Assumptions!$D$164+Assumptions!$D$165/12</f>
        <v>2250</v>
      </c>
      <c r="T96" s="37" t="n">
        <f aca="false">Assumptions!$D$164+Assumptions!$D$165/12</f>
        <v>2250</v>
      </c>
      <c r="U96" s="37" t="n">
        <f aca="false">Assumptions!$D$164+Assumptions!$D$165/12</f>
        <v>2250</v>
      </c>
      <c r="V96" s="37" t="n">
        <f aca="false">Assumptions!$D$164+Assumptions!$D$165/12</f>
        <v>2250</v>
      </c>
      <c r="W96" s="37" t="n">
        <f aca="false">Assumptions!$D$164+Assumptions!$D$165/12</f>
        <v>2250</v>
      </c>
      <c r="X96" s="37" t="n">
        <f aca="false">Assumptions!$D$164+Assumptions!$D$165/12</f>
        <v>2250</v>
      </c>
      <c r="Y96" s="37" t="n">
        <f aca="false">Assumptions!$D$164+Assumptions!$D$165/12</f>
        <v>2250</v>
      </c>
      <c r="Z96" s="37" t="n">
        <f aca="false">Assumptions!$D$164+Assumptions!$D$165/12</f>
        <v>2250</v>
      </c>
      <c r="AA96" s="37" t="n">
        <f aca="false">Assumptions!$D$164+Assumptions!$D$165/12</f>
        <v>2250</v>
      </c>
      <c r="AB96" s="37" t="n">
        <f aca="false">Assumptions!$D$164+Assumptions!$D$165/12</f>
        <v>2250</v>
      </c>
      <c r="AC96" s="37" t="n">
        <f aca="false">Assumptions!$D$164+Assumptions!$D$165/12</f>
        <v>2250</v>
      </c>
      <c r="AD96" s="37" t="n">
        <f aca="false">Assumptions!$D$164+Assumptions!$D$165/12</f>
        <v>2250</v>
      </c>
      <c r="AE96" s="37" t="n">
        <f aca="false">Assumptions!$D$164+Assumptions!$D$165/12</f>
        <v>2250</v>
      </c>
      <c r="AF96" s="37" t="n">
        <f aca="false">Assumptions!$D$164+Assumptions!$D$165/12</f>
        <v>2250</v>
      </c>
      <c r="AG96" s="37" t="n">
        <f aca="false">Assumptions!$D$164+Assumptions!$D$165/12</f>
        <v>2250</v>
      </c>
      <c r="AH96" s="37" t="n">
        <f aca="false">Assumptions!$D$164+Assumptions!$D$165/12</f>
        <v>2250</v>
      </c>
      <c r="AI96" s="37" t="n">
        <f aca="false">Assumptions!$D$164+Assumptions!$D$165/12</f>
        <v>2250</v>
      </c>
      <c r="AJ96" s="37" t="n">
        <f aca="false">Assumptions!$D$164+Assumptions!$D$165/12</f>
        <v>2250</v>
      </c>
      <c r="AK96" s="37" t="n">
        <f aca="false">Assumptions!$D$164+Assumptions!$D$165/12</f>
        <v>2250</v>
      </c>
      <c r="AL96" s="37" t="n">
        <f aca="false">Assumptions!$D$164+Assumptions!$D$165/12</f>
        <v>2250</v>
      </c>
    </row>
    <row r="97" customFormat="false" ht="15" hidden="false" customHeight="false" outlineLevel="0" collapsed="false">
      <c r="A97" s="9" t="s">
        <v>640</v>
      </c>
      <c r="B97" s="2" t="s">
        <v>105</v>
      </c>
      <c r="C97" s="37" t="n">
        <f aca="false">Assumptions!$D$166/12+IF(C$3&gt;=Assumptions!$C$124,Assumptions!$D$167/12,0)</f>
        <v>125</v>
      </c>
      <c r="D97" s="37" t="n">
        <f aca="false">Assumptions!$D$166/12+IF(D$3&gt;=Assumptions!$C$124,Assumptions!$D$167/12,0)</f>
        <v>125</v>
      </c>
      <c r="E97" s="37" t="n">
        <f aca="false">Assumptions!$D$166/12+IF(E$3&gt;=Assumptions!$C$124,Assumptions!$D$167/12,0)</f>
        <v>125</v>
      </c>
      <c r="F97" s="37" t="n">
        <f aca="false">Assumptions!$D$166/12+IF(F$3&gt;=Assumptions!$C$124,Assumptions!$D$167/12,0)</f>
        <v>125</v>
      </c>
      <c r="G97" s="37" t="n">
        <f aca="false">Assumptions!$D$166/12+IF(G$3&gt;=Assumptions!$C$124,Assumptions!$D$167/12,0)</f>
        <v>125</v>
      </c>
      <c r="H97" s="37" t="n">
        <f aca="false">Assumptions!$D$166/12+IF(H$3&gt;=Assumptions!$C$124,Assumptions!$D$167/12,0)</f>
        <v>125</v>
      </c>
      <c r="I97" s="37" t="n">
        <f aca="false">Assumptions!$D$166/12+IF(I$3&gt;=Assumptions!$C$124,Assumptions!$D$167/12,0)</f>
        <v>125</v>
      </c>
      <c r="J97" s="37" t="n">
        <f aca="false">Assumptions!$D$166/12+IF(J$3&gt;=Assumptions!$C$124,Assumptions!$D$167/12,0)</f>
        <v>125</v>
      </c>
      <c r="K97" s="37" t="n">
        <f aca="false">Assumptions!$D$166/12+IF(K$3&gt;=Assumptions!$C$124,Assumptions!$D$167/12,0)</f>
        <v>125</v>
      </c>
      <c r="L97" s="37" t="n">
        <f aca="false">Assumptions!$D$166/12+IF(L$3&gt;=Assumptions!$C$124,Assumptions!$D$167/12,0)</f>
        <v>125</v>
      </c>
      <c r="M97" s="37" t="n">
        <f aca="false">Assumptions!$D$166/12+IF(M$3&gt;=Assumptions!$C$124,Assumptions!$D$167/12,0)</f>
        <v>125</v>
      </c>
      <c r="N97" s="37" t="n">
        <f aca="false">Assumptions!$D$166/12+IF(N$3&gt;=Assumptions!$C$124,Assumptions!$D$167/12,0)</f>
        <v>458.333333333333</v>
      </c>
      <c r="O97" s="37" t="n">
        <f aca="false">Assumptions!$D$166/12+IF(O$3&gt;=Assumptions!$C$124,Assumptions!$D$167/12,0)</f>
        <v>458.333333333333</v>
      </c>
      <c r="P97" s="37" t="n">
        <f aca="false">Assumptions!$D$166/12+IF(P$3&gt;=Assumptions!$C$124,Assumptions!$D$167/12,0)</f>
        <v>458.333333333333</v>
      </c>
      <c r="Q97" s="37" t="n">
        <f aca="false">Assumptions!$D$166/12+IF(Q$3&gt;=Assumptions!$C$124,Assumptions!$D$167/12,0)</f>
        <v>458.333333333333</v>
      </c>
      <c r="R97" s="37" t="n">
        <f aca="false">Assumptions!$D$166/12+IF(R$3&gt;=Assumptions!$C$124,Assumptions!$D$167/12,0)</f>
        <v>458.333333333333</v>
      </c>
      <c r="S97" s="37" t="n">
        <f aca="false">Assumptions!$D$166/12+IF(S$3&gt;=Assumptions!$C$124,Assumptions!$D$167/12,0)</f>
        <v>458.333333333333</v>
      </c>
      <c r="T97" s="37" t="n">
        <f aca="false">Assumptions!$D$166/12+IF(T$3&gt;=Assumptions!$C$124,Assumptions!$D$167/12,0)</f>
        <v>458.333333333333</v>
      </c>
      <c r="U97" s="37" t="n">
        <f aca="false">Assumptions!$D$166/12+IF(U$3&gt;=Assumptions!$C$124,Assumptions!$D$167/12,0)</f>
        <v>458.333333333333</v>
      </c>
      <c r="V97" s="37" t="n">
        <f aca="false">Assumptions!$D$166/12+IF(V$3&gt;=Assumptions!$C$124,Assumptions!$D$167/12,0)</f>
        <v>458.333333333333</v>
      </c>
      <c r="W97" s="37" t="n">
        <f aca="false">Assumptions!$D$166/12+IF(W$3&gt;=Assumptions!$C$124,Assumptions!$D$167/12,0)</f>
        <v>458.333333333333</v>
      </c>
      <c r="X97" s="37" t="n">
        <f aca="false">Assumptions!$D$166/12+IF(X$3&gt;=Assumptions!$C$124,Assumptions!$D$167/12,0)</f>
        <v>458.333333333333</v>
      </c>
      <c r="Y97" s="37" t="n">
        <f aca="false">Assumptions!$D$166/12+IF(Y$3&gt;=Assumptions!$C$124,Assumptions!$D$167/12,0)</f>
        <v>458.333333333333</v>
      </c>
      <c r="Z97" s="37" t="n">
        <f aca="false">Assumptions!$D$166/12+IF(Z$3&gt;=Assumptions!$C$124,Assumptions!$D$167/12,0)</f>
        <v>458.333333333333</v>
      </c>
      <c r="AA97" s="37" t="n">
        <f aca="false">Assumptions!$D$166/12+IF(AA$3&gt;=Assumptions!$C$124,Assumptions!$D$167/12,0)</f>
        <v>458.333333333333</v>
      </c>
      <c r="AB97" s="37" t="n">
        <f aca="false">Assumptions!$D$166/12+IF(AB$3&gt;=Assumptions!$C$124,Assumptions!$D$167/12,0)</f>
        <v>458.333333333333</v>
      </c>
      <c r="AC97" s="37" t="n">
        <f aca="false">Assumptions!$D$166/12+IF(AC$3&gt;=Assumptions!$C$124,Assumptions!$D$167/12,0)</f>
        <v>458.333333333333</v>
      </c>
      <c r="AD97" s="37" t="n">
        <f aca="false">Assumptions!$D$166/12+IF(AD$3&gt;=Assumptions!$C$124,Assumptions!$D$167/12,0)</f>
        <v>458.333333333333</v>
      </c>
      <c r="AE97" s="37" t="n">
        <f aca="false">Assumptions!$D$166/12+IF(AE$3&gt;=Assumptions!$C$124,Assumptions!$D$167/12,0)</f>
        <v>458.333333333333</v>
      </c>
      <c r="AF97" s="37" t="n">
        <f aca="false">Assumptions!$D$166/12+IF(AF$3&gt;=Assumptions!$C$124,Assumptions!$D$167/12,0)</f>
        <v>458.333333333333</v>
      </c>
      <c r="AG97" s="37" t="n">
        <f aca="false">Assumptions!$D$166/12+IF(AG$3&gt;=Assumptions!$C$124,Assumptions!$D$167/12,0)</f>
        <v>458.333333333333</v>
      </c>
      <c r="AH97" s="37" t="n">
        <f aca="false">Assumptions!$D$166/12+IF(AH$3&gt;=Assumptions!$C$124,Assumptions!$D$167/12,0)</f>
        <v>458.333333333333</v>
      </c>
      <c r="AI97" s="37" t="n">
        <f aca="false">Assumptions!$D$166/12+IF(AI$3&gt;=Assumptions!$C$124,Assumptions!$D$167/12,0)</f>
        <v>458.333333333333</v>
      </c>
      <c r="AJ97" s="37" t="n">
        <f aca="false">Assumptions!$D$166/12+IF(AJ$3&gt;=Assumptions!$C$124,Assumptions!$D$167/12,0)</f>
        <v>458.333333333333</v>
      </c>
      <c r="AK97" s="37" t="n">
        <f aca="false">Assumptions!$D$166/12+IF(AK$3&gt;=Assumptions!$C$124,Assumptions!$D$167/12,0)</f>
        <v>458.333333333333</v>
      </c>
      <c r="AL97" s="37" t="n">
        <f aca="false">Assumptions!$D$166/12+IF(AL$3&gt;=Assumptions!$C$124,Assumptions!$D$167/12,0)</f>
        <v>458.333333333333</v>
      </c>
    </row>
    <row r="98" customFormat="false" ht="15" hidden="false" customHeight="false" outlineLevel="0" collapsed="false">
      <c r="A98" s="9" t="s">
        <v>641</v>
      </c>
      <c r="B98" s="2" t="s">
        <v>105</v>
      </c>
      <c r="C98" s="37" t="n">
        <f aca="false">C63*Assumptions!$D$168</f>
        <v>0</v>
      </c>
      <c r="D98" s="37" t="n">
        <f aca="false">D63*Assumptions!$D$168</f>
        <v>0</v>
      </c>
      <c r="E98" s="37" t="n">
        <f aca="false">E63*Assumptions!$D$168</f>
        <v>0</v>
      </c>
      <c r="F98" s="37" t="n">
        <f aca="false">F63*Assumptions!$D$168</f>
        <v>0</v>
      </c>
      <c r="G98" s="37" t="n">
        <f aca="false">G63*Assumptions!$D$168</f>
        <v>0</v>
      </c>
      <c r="H98" s="37" t="n">
        <f aca="false">H63*Assumptions!$D$168</f>
        <v>0</v>
      </c>
      <c r="I98" s="37" t="n">
        <f aca="false">I63*Assumptions!$D$168</f>
        <v>0</v>
      </c>
      <c r="J98" s="37" t="n">
        <f aca="false">J63*Assumptions!$D$168</f>
        <v>0</v>
      </c>
      <c r="K98" s="37" t="n">
        <f aca="false">K63*Assumptions!$D$168</f>
        <v>5.2324</v>
      </c>
      <c r="L98" s="37" t="n">
        <f aca="false">L63*Assumptions!$D$168</f>
        <v>17.65384003</v>
      </c>
      <c r="M98" s="37" t="n">
        <f aca="false">M63*Assumptions!$D$168</f>
        <v>29.2988907421186</v>
      </c>
      <c r="N98" s="37" t="n">
        <f aca="false">N63*Assumptions!$D$168</f>
        <v>52.8133080151208</v>
      </c>
      <c r="O98" s="37" t="n">
        <f aca="false">O63*Assumptions!$D$168</f>
        <v>75.2363931639039</v>
      </c>
      <c r="P98" s="37" t="n">
        <f aca="false">P63*Assumptions!$D$168</f>
        <v>99.702435926509</v>
      </c>
      <c r="Q98" s="37" t="n">
        <f aca="false">Q63*Assumptions!$D$168</f>
        <v>126.159966220445</v>
      </c>
      <c r="R98" s="37" t="n">
        <f aca="false">R63*Assumptions!$D$168</f>
        <v>154.559189512535</v>
      </c>
      <c r="S98" s="37" t="n">
        <f aca="false">S63*Assumptions!$D$168</f>
        <v>184.851924733069</v>
      </c>
      <c r="T98" s="37" t="n">
        <f aca="false">T63*Assumptions!$D$168</f>
        <v>235.350794630957</v>
      </c>
      <c r="U98" s="37" t="n">
        <f aca="false">U63*Assumptions!$D$168</f>
        <v>279.698628470851</v>
      </c>
      <c r="V98" s="37" t="n">
        <f aca="false">V63*Assumptions!$D$168</f>
        <v>326.473261149175</v>
      </c>
      <c r="W98" s="37" t="n">
        <f aca="false">W63*Assumptions!$D$168</f>
        <v>375.628934487055</v>
      </c>
      <c r="X98" s="37" t="n">
        <f aca="false">X63*Assumptions!$D$168</f>
        <v>427.121246298447</v>
      </c>
      <c r="Y98" s="37" t="n">
        <f aca="false">Y63*Assumptions!$D$168</f>
        <v>480.907101444026</v>
      </c>
      <c r="Z98" s="37" t="n">
        <f aca="false">Z63*Assumptions!$D$168</f>
        <v>536.944664790633</v>
      </c>
      <c r="AA98" s="37" t="n">
        <f aca="false">AA63*Assumptions!$D$168</f>
        <v>595.193315999425</v>
      </c>
      <c r="AB98" s="37" t="n">
        <f aca="false">AB63*Assumptions!$D$168</f>
        <v>655.613606069008</v>
      </c>
      <c r="AC98" s="37" t="n">
        <f aca="false">AC63*Assumptions!$D$168</f>
        <v>718.16721556289</v>
      </c>
      <c r="AD98" s="37" t="n">
        <f aca="false">AD63*Assumptions!$D$168</f>
        <v>782.816914453496</v>
      </c>
      <c r="AE98" s="37" t="n">
        <f aca="false">AE63*Assumptions!$D$168</f>
        <v>849.526523517781</v>
      </c>
      <c r="AF98" s="37" t="n">
        <f aca="false">AF63*Assumptions!$D$168</f>
        <v>918.26087722213</v>
      </c>
      <c r="AG98" s="37" t="n">
        <f aca="false">AG63*Assumptions!$D$168</f>
        <v>988.985788036823</v>
      </c>
      <c r="AH98" s="37" t="n">
        <f aca="false">AH63*Assumptions!$D$168</f>
        <v>1061.66801212277</v>
      </c>
      <c r="AI98" s="37" t="n">
        <f aca="false">AI63*Assumptions!$D$168</f>
        <v>1136.27521633559</v>
      </c>
      <c r="AJ98" s="37" t="n">
        <f aca="false">AJ63*Assumptions!$D$168</f>
        <v>1212.77594649432</v>
      </c>
      <c r="AK98" s="37" t="n">
        <f aca="false">AK63*Assumptions!$D$168</f>
        <v>1291.13959686432</v>
      </c>
      <c r="AL98" s="37" t="n">
        <f aca="false">AL63*Assumptions!$D$168</f>
        <v>1371.3363808058</v>
      </c>
    </row>
    <row r="99" customFormat="false" ht="15" hidden="false" customHeight="false" outlineLevel="0" collapsed="false">
      <c r="A99" s="9" t="s">
        <v>642</v>
      </c>
      <c r="B99" s="2" t="s">
        <v>105</v>
      </c>
      <c r="C99" s="37" t="n">
        <f aca="false">IF(C18&gt;0,(C24*Assumptions!$D$75*Assumptions!$C$151+C25*Assumptions!$D$76*Assumptions!$C$152)*12*Assumptions!$D$169,0)</f>
        <v>0</v>
      </c>
      <c r="D99" s="37" t="n">
        <f aca="false">IF(D18&gt;0,(D24*Assumptions!$D$75*Assumptions!$C$151+D25*Assumptions!$D$76*Assumptions!$C$152)*12*Assumptions!$D$169,0)</f>
        <v>0</v>
      </c>
      <c r="E99" s="37" t="n">
        <f aca="false">IF(E18&gt;0,(E24*Assumptions!$D$75*Assumptions!$C$151+E25*Assumptions!$D$76*Assumptions!$C$152)*12*Assumptions!$D$169,0)</f>
        <v>0</v>
      </c>
      <c r="F99" s="37" t="n">
        <f aca="false">IF(F18&gt;0,(F24*Assumptions!$D$75*Assumptions!$C$151+F25*Assumptions!$D$76*Assumptions!$C$152)*12*Assumptions!$D$169,0)</f>
        <v>0</v>
      </c>
      <c r="G99" s="37" t="n">
        <f aca="false">IF(G18&gt;0,(G24*Assumptions!$D$75*Assumptions!$C$151+G25*Assumptions!$D$76*Assumptions!$C$152)*12*Assumptions!$D$169,0)</f>
        <v>0</v>
      </c>
      <c r="H99" s="37" t="n">
        <f aca="false">IF(H18&gt;0,(H24*Assumptions!$D$75*Assumptions!$C$151+H25*Assumptions!$D$76*Assumptions!$C$152)*12*Assumptions!$D$169,0)</f>
        <v>0</v>
      </c>
      <c r="I99" s="37" t="n">
        <f aca="false">IF(I18&gt;0,(I24*Assumptions!$D$75*Assumptions!$C$151+I25*Assumptions!$D$76*Assumptions!$C$152)*12*Assumptions!$D$169,0)</f>
        <v>0</v>
      </c>
      <c r="J99" s="37" t="n">
        <f aca="false">IF(J18&gt;0,(J24*Assumptions!$D$75*Assumptions!$C$151+J25*Assumptions!$D$76*Assumptions!$C$152)*12*Assumptions!$D$169,0)</f>
        <v>0</v>
      </c>
      <c r="K99" s="37" t="n">
        <f aca="false">IF(K18&gt;0,(K24*Assumptions!$D$75*Assumptions!$C$151+K25*Assumptions!$D$76*Assumptions!$C$152)*12*Assumptions!$D$169,0)</f>
        <v>0</v>
      </c>
      <c r="L99" s="37" t="n">
        <f aca="false">IF(L18&gt;0,(L24*Assumptions!$D$75*Assumptions!$C$151+L25*Assumptions!$D$76*Assumptions!$C$152)*12*Assumptions!$D$169,0)</f>
        <v>0</v>
      </c>
      <c r="M99" s="37" t="n">
        <f aca="false">IF(M18&gt;0,(M24*Assumptions!$D$75*Assumptions!$C$151+M25*Assumptions!$D$76*Assumptions!$C$152)*12*Assumptions!$D$169,0)</f>
        <v>0</v>
      </c>
      <c r="N99" s="37" t="n">
        <f aca="false">IF(N18&gt;0,(N24*Assumptions!$D$75*Assumptions!$C$151+N25*Assumptions!$D$76*Assumptions!$C$152)*12*Assumptions!$D$169,0)</f>
        <v>0</v>
      </c>
      <c r="O99" s="37" t="n">
        <f aca="false">IF(O18&gt;0,(O24*Assumptions!$D$75*Assumptions!$C$151+O25*Assumptions!$D$76*Assumptions!$C$152)*12*Assumptions!$D$169,0)</f>
        <v>0</v>
      </c>
      <c r="P99" s="37" t="n">
        <f aca="false">IF(P18&gt;0,(P24*Assumptions!$D$75*Assumptions!$C$151+P25*Assumptions!$D$76*Assumptions!$C$152)*12*Assumptions!$D$169,0)</f>
        <v>0</v>
      </c>
      <c r="Q99" s="37" t="n">
        <f aca="false">IF(Q18&gt;0,(Q24*Assumptions!$D$75*Assumptions!$C$151+Q25*Assumptions!$D$76*Assumptions!$C$152)*12*Assumptions!$D$169,0)</f>
        <v>0</v>
      </c>
      <c r="R99" s="37" t="n">
        <f aca="false">IF(R18&gt;0,(R24*Assumptions!$D$75*Assumptions!$C$151+R25*Assumptions!$D$76*Assumptions!$C$152)*12*Assumptions!$D$169,0)</f>
        <v>0</v>
      </c>
      <c r="S99" s="37" t="n">
        <f aca="false">IF(S18&gt;0,(S24*Assumptions!$D$75*Assumptions!$C$151+S25*Assumptions!$D$76*Assumptions!$C$152)*12*Assumptions!$D$169,0)</f>
        <v>0</v>
      </c>
      <c r="T99" s="37" t="n">
        <f aca="false">IF(T18&gt;0,(T24*Assumptions!$D$75*Assumptions!$C$151+T25*Assumptions!$D$76*Assumptions!$C$152)*12*Assumptions!$D$169,0)</f>
        <v>0</v>
      </c>
      <c r="U99" s="37" t="n">
        <f aca="false">IF(U18&gt;0,(U24*Assumptions!$D$75*Assumptions!$C$151+U25*Assumptions!$D$76*Assumptions!$C$152)*12*Assumptions!$D$169,0)</f>
        <v>0</v>
      </c>
      <c r="V99" s="37" t="n">
        <f aca="false">IF(V18&gt;0,(V24*Assumptions!$D$75*Assumptions!$C$151+V25*Assumptions!$D$76*Assumptions!$C$152)*12*Assumptions!$D$169,0)</f>
        <v>0</v>
      </c>
      <c r="W99" s="37" t="n">
        <f aca="false">IF(W18&gt;0,(W24*Assumptions!$D$75*Assumptions!$C$151+W25*Assumptions!$D$76*Assumptions!$C$152)*12*Assumptions!$D$169,0)</f>
        <v>0</v>
      </c>
      <c r="X99" s="37" t="n">
        <f aca="false">IF(X18&gt;0,(X24*Assumptions!$D$75*Assumptions!$C$151+X25*Assumptions!$D$76*Assumptions!$C$152)*12*Assumptions!$D$169,0)</f>
        <v>0</v>
      </c>
      <c r="Y99" s="37" t="n">
        <f aca="false">IF(Y18&gt;0,(Y24*Assumptions!$D$75*Assumptions!$C$151+Y25*Assumptions!$D$76*Assumptions!$C$152)*12*Assumptions!$D$169,0)</f>
        <v>0</v>
      </c>
      <c r="Z99" s="37" t="n">
        <f aca="false">IF(Z18&gt;0,(Z24*Assumptions!$D$75*Assumptions!$C$151+Z25*Assumptions!$D$76*Assumptions!$C$152)*12*Assumptions!$D$169,0)</f>
        <v>0</v>
      </c>
      <c r="AA99" s="37" t="n">
        <f aca="false">IF(AA18&gt;0,(AA24*Assumptions!$D$75*Assumptions!$C$151+AA25*Assumptions!$D$76*Assumptions!$C$152)*12*Assumptions!$D$169,0)</f>
        <v>0</v>
      </c>
      <c r="AB99" s="37" t="n">
        <f aca="false">IF(AB18&gt;0,(AB24*Assumptions!$D$75*Assumptions!$C$151+AB25*Assumptions!$D$76*Assumptions!$C$152)*12*Assumptions!$D$169,0)</f>
        <v>0</v>
      </c>
      <c r="AC99" s="37" t="n">
        <f aca="false">IF(AC18&gt;0,(AC24*Assumptions!$D$75*Assumptions!$C$151+AC25*Assumptions!$D$76*Assumptions!$C$152)*12*Assumptions!$D$169,0)</f>
        <v>0</v>
      </c>
      <c r="AD99" s="37" t="n">
        <f aca="false">IF(AD18&gt;0,(AD24*Assumptions!$D$75*Assumptions!$C$151+AD25*Assumptions!$D$76*Assumptions!$C$152)*12*Assumptions!$D$169,0)</f>
        <v>0</v>
      </c>
      <c r="AE99" s="37" t="n">
        <f aca="false">IF(AE18&gt;0,(AE24*Assumptions!$D$75*Assumptions!$C$151+AE25*Assumptions!$D$76*Assumptions!$C$152)*12*Assumptions!$D$169,0)</f>
        <v>0</v>
      </c>
      <c r="AF99" s="37" t="n">
        <f aca="false">IF(AF18&gt;0,(AF24*Assumptions!$D$75*Assumptions!$C$151+AF25*Assumptions!$D$76*Assumptions!$C$152)*12*Assumptions!$D$169,0)</f>
        <v>0</v>
      </c>
      <c r="AG99" s="37" t="n">
        <f aca="false">IF(AG18&gt;0,(AG24*Assumptions!$D$75*Assumptions!$C$151+AG25*Assumptions!$D$76*Assumptions!$C$152)*12*Assumptions!$D$169,0)</f>
        <v>0</v>
      </c>
      <c r="AH99" s="37" t="n">
        <f aca="false">IF(AH18&gt;0,(AH24*Assumptions!$D$75*Assumptions!$C$151+AH25*Assumptions!$D$76*Assumptions!$C$152)*12*Assumptions!$D$169,0)</f>
        <v>0</v>
      </c>
      <c r="AI99" s="37" t="n">
        <f aca="false">IF(AI18&gt;0,(AI24*Assumptions!$D$75*Assumptions!$C$151+AI25*Assumptions!$D$76*Assumptions!$C$152)*12*Assumptions!$D$169,0)</f>
        <v>0</v>
      </c>
      <c r="AJ99" s="37" t="n">
        <f aca="false">IF(AJ18&gt;0,(AJ24*Assumptions!$D$75*Assumptions!$C$151+AJ25*Assumptions!$D$76*Assumptions!$C$152)*12*Assumptions!$D$169,0)</f>
        <v>0</v>
      </c>
      <c r="AK99" s="37" t="n">
        <f aca="false">IF(AK18&gt;0,(AK24*Assumptions!$D$75*Assumptions!$C$151+AK25*Assumptions!$D$76*Assumptions!$C$152)*12*Assumptions!$D$169,0)</f>
        <v>0</v>
      </c>
      <c r="AL99" s="37" t="n">
        <f aca="false">IF(AL18&gt;0,(AL24*Assumptions!$D$75*Assumptions!$C$151+AL25*Assumptions!$D$76*Assumptions!$C$152)*12*Assumptions!$D$169,0)</f>
        <v>0</v>
      </c>
    </row>
    <row r="100" customFormat="false" ht="15" hidden="false" customHeight="false" outlineLevel="0" collapsed="false">
      <c r="A100" s="9" t="s">
        <v>643</v>
      </c>
      <c r="B100" s="2" t="s">
        <v>105</v>
      </c>
      <c r="C100" s="37" t="n">
        <f aca="false">Assumptions!$D$170+Assumptions!$D$171*C17</f>
        <v>440</v>
      </c>
      <c r="D100" s="37" t="n">
        <f aca="false">Assumptions!$D$170+Assumptions!$D$171*D17</f>
        <v>440</v>
      </c>
      <c r="E100" s="37" t="n">
        <f aca="false">Assumptions!$D$170+Assumptions!$D$171*E17</f>
        <v>440</v>
      </c>
      <c r="F100" s="37" t="n">
        <f aca="false">Assumptions!$D$170+Assumptions!$D$171*F17</f>
        <v>440</v>
      </c>
      <c r="G100" s="37" t="n">
        <f aca="false">Assumptions!$D$170+Assumptions!$D$171*G17</f>
        <v>440</v>
      </c>
      <c r="H100" s="37" t="n">
        <f aca="false">Assumptions!$D$170+Assumptions!$D$171*H17</f>
        <v>440</v>
      </c>
      <c r="I100" s="37" t="n">
        <f aca="false">Assumptions!$D$170+Assumptions!$D$171*I17</f>
        <v>440</v>
      </c>
      <c r="J100" s="37" t="n">
        <f aca="false">Assumptions!$D$170+Assumptions!$D$171*J17</f>
        <v>440</v>
      </c>
      <c r="K100" s="37" t="n">
        <f aca="false">Assumptions!$D$170+Assumptions!$D$171*K17</f>
        <v>440</v>
      </c>
      <c r="L100" s="37" t="n">
        <f aca="false">Assumptions!$D$170+Assumptions!$D$171*L17</f>
        <v>440</v>
      </c>
      <c r="M100" s="37" t="n">
        <f aca="false">Assumptions!$D$170+Assumptions!$D$171*M17</f>
        <v>440</v>
      </c>
      <c r="N100" s="37" t="n">
        <f aca="false">Assumptions!$D$170+Assumptions!$D$171*N17</f>
        <v>440</v>
      </c>
      <c r="O100" s="37" t="n">
        <f aca="false">Assumptions!$D$170+Assumptions!$D$171*O17</f>
        <v>440</v>
      </c>
      <c r="P100" s="37" t="n">
        <f aca="false">Assumptions!$D$170+Assumptions!$D$171*P17</f>
        <v>440</v>
      </c>
      <c r="Q100" s="37" t="n">
        <f aca="false">Assumptions!$D$170+Assumptions!$D$171*Q17</f>
        <v>440</v>
      </c>
      <c r="R100" s="37" t="n">
        <f aca="false">Assumptions!$D$170+Assumptions!$D$171*R17</f>
        <v>440</v>
      </c>
      <c r="S100" s="37" t="n">
        <f aca="false">Assumptions!$D$170+Assumptions!$D$171*S17</f>
        <v>440</v>
      </c>
      <c r="T100" s="37" t="n">
        <f aca="false">Assumptions!$D$170+Assumptions!$D$171*T17</f>
        <v>440</v>
      </c>
      <c r="U100" s="37" t="n">
        <f aca="false">Assumptions!$D$170+Assumptions!$D$171*U17</f>
        <v>440</v>
      </c>
      <c r="V100" s="37" t="n">
        <f aca="false">Assumptions!$D$170+Assumptions!$D$171*V17</f>
        <v>440</v>
      </c>
      <c r="W100" s="37" t="n">
        <f aca="false">Assumptions!$D$170+Assumptions!$D$171*W17</f>
        <v>440</v>
      </c>
      <c r="X100" s="37" t="n">
        <f aca="false">Assumptions!$D$170+Assumptions!$D$171*X17</f>
        <v>480</v>
      </c>
      <c r="Y100" s="37" t="n">
        <f aca="false">Assumptions!$D$170+Assumptions!$D$171*Y17</f>
        <v>480</v>
      </c>
      <c r="Z100" s="37" t="n">
        <f aca="false">Assumptions!$D$170+Assumptions!$D$171*Z17</f>
        <v>480</v>
      </c>
      <c r="AA100" s="37" t="n">
        <f aca="false">Assumptions!$D$170+Assumptions!$D$171*AA17</f>
        <v>480</v>
      </c>
      <c r="AB100" s="37" t="n">
        <f aca="false">Assumptions!$D$170+Assumptions!$D$171*AB17</f>
        <v>480</v>
      </c>
      <c r="AC100" s="37" t="n">
        <f aca="false">Assumptions!$D$170+Assumptions!$D$171*AC17</f>
        <v>480</v>
      </c>
      <c r="AD100" s="37" t="n">
        <f aca="false">Assumptions!$D$170+Assumptions!$D$171*AD17</f>
        <v>480</v>
      </c>
      <c r="AE100" s="37" t="n">
        <f aca="false">Assumptions!$D$170+Assumptions!$D$171*AE17</f>
        <v>480</v>
      </c>
      <c r="AF100" s="37" t="n">
        <f aca="false">Assumptions!$D$170+Assumptions!$D$171*AF17</f>
        <v>520</v>
      </c>
      <c r="AG100" s="37" t="n">
        <f aca="false">Assumptions!$D$170+Assumptions!$D$171*AG17</f>
        <v>520</v>
      </c>
      <c r="AH100" s="37" t="n">
        <f aca="false">Assumptions!$D$170+Assumptions!$D$171*AH17</f>
        <v>520</v>
      </c>
      <c r="AI100" s="37" t="n">
        <f aca="false">Assumptions!$D$170+Assumptions!$D$171*AI17</f>
        <v>520</v>
      </c>
      <c r="AJ100" s="37" t="n">
        <f aca="false">Assumptions!$D$170+Assumptions!$D$171*AJ17</f>
        <v>520</v>
      </c>
      <c r="AK100" s="37" t="n">
        <f aca="false">Assumptions!$D$170+Assumptions!$D$171*AK17</f>
        <v>520</v>
      </c>
      <c r="AL100" s="37" t="n">
        <f aca="false">Assumptions!$D$170+Assumptions!$D$171*AL17</f>
        <v>520</v>
      </c>
    </row>
    <row r="101" customFormat="false" ht="15" hidden="false" customHeight="false" outlineLevel="0" collapsed="false">
      <c r="A101" s="9" t="s">
        <v>644</v>
      </c>
      <c r="B101" s="2" t="s">
        <v>105</v>
      </c>
      <c r="C101" s="37" t="n">
        <f aca="false">IF(C$3&lt;Assumptions!$C$157,0,IF(C$3&lt;Assumptions!$C$157+12,Assumptions!$D$177/12,Assumptions!$D$178/12))</f>
        <v>0</v>
      </c>
      <c r="D101" s="37" t="n">
        <f aca="false">IF(D$3&lt;Assumptions!$C$157,0,IF(D$3&lt;Assumptions!$C$157+12,Assumptions!$D$177/12,Assumptions!$D$178/12))</f>
        <v>0</v>
      </c>
      <c r="E101" s="37" t="n">
        <f aca="false">IF(E$3&lt;Assumptions!$C$157,0,IF(E$3&lt;Assumptions!$C$157+12,Assumptions!$D$177/12,Assumptions!$D$178/12))</f>
        <v>0</v>
      </c>
      <c r="F101" s="37" t="n">
        <f aca="false">IF(F$3&lt;Assumptions!$C$157,0,IF(F$3&lt;Assumptions!$C$157+12,Assumptions!$D$177/12,Assumptions!$D$178/12))</f>
        <v>0</v>
      </c>
      <c r="G101" s="37" t="n">
        <f aca="false">IF(G$3&lt;Assumptions!$C$157,0,IF(G$3&lt;Assumptions!$C$157+12,Assumptions!$D$177/12,Assumptions!$D$178/12))</f>
        <v>0</v>
      </c>
      <c r="H101" s="37" t="n">
        <f aca="false">IF(H$3&lt;Assumptions!$C$157,0,IF(H$3&lt;Assumptions!$C$157+12,Assumptions!$D$177/12,Assumptions!$D$178/12))</f>
        <v>0</v>
      </c>
      <c r="I101" s="37" t="n">
        <f aca="false">IF(I$3&lt;Assumptions!$C$157,0,IF(I$3&lt;Assumptions!$C$157+12,Assumptions!$D$177/12,Assumptions!$D$178/12))</f>
        <v>0</v>
      </c>
      <c r="J101" s="37" t="n">
        <f aca="false">IF(J$3&lt;Assumptions!$C$157,0,IF(J$3&lt;Assumptions!$C$157+12,Assumptions!$D$177/12,Assumptions!$D$178/12))</f>
        <v>0</v>
      </c>
      <c r="K101" s="37" t="n">
        <f aca="false">IF(K$3&lt;Assumptions!$C$157,0,IF(K$3&lt;Assumptions!$C$157+12,Assumptions!$D$177/12,Assumptions!$D$178/12))</f>
        <v>0</v>
      </c>
      <c r="L101" s="37" t="n">
        <f aca="false">IF(L$3&lt;Assumptions!$C$157,0,IF(L$3&lt;Assumptions!$C$157+12,Assumptions!$D$177/12,Assumptions!$D$178/12))</f>
        <v>0</v>
      </c>
      <c r="M101" s="37" t="n">
        <f aca="false">IF(M$3&lt;Assumptions!$C$157,0,IF(M$3&lt;Assumptions!$C$157+12,Assumptions!$D$177/12,Assumptions!$D$178/12))</f>
        <v>0</v>
      </c>
      <c r="N101" s="37" t="n">
        <f aca="false">IF(N$3&lt;Assumptions!$C$157,0,IF(N$3&lt;Assumptions!$C$157+12,Assumptions!$D$177/12,Assumptions!$D$178/12))</f>
        <v>0</v>
      </c>
      <c r="O101" s="37" t="n">
        <f aca="false">IF(O$3&lt;Assumptions!$C$157,0,IF(O$3&lt;Assumptions!$C$157+12,Assumptions!$D$177/12,Assumptions!$D$178/12))</f>
        <v>0</v>
      </c>
      <c r="P101" s="37" t="n">
        <f aca="false">IF(P$3&lt;Assumptions!$C$157,0,IF(P$3&lt;Assumptions!$C$157+12,Assumptions!$D$177/12,Assumptions!$D$178/12))</f>
        <v>0</v>
      </c>
      <c r="Q101" s="37" t="n">
        <f aca="false">IF(Q$3&lt;Assumptions!$C$157,0,IF(Q$3&lt;Assumptions!$C$157+12,Assumptions!$D$177/12,Assumptions!$D$178/12))</f>
        <v>1666.66666666667</v>
      </c>
      <c r="R101" s="37" t="n">
        <f aca="false">IF(R$3&lt;Assumptions!$C$157,0,IF(R$3&lt;Assumptions!$C$157+12,Assumptions!$D$177/12,Assumptions!$D$178/12))</f>
        <v>1666.66666666667</v>
      </c>
      <c r="S101" s="37" t="n">
        <f aca="false">IF(S$3&lt;Assumptions!$C$157,0,IF(S$3&lt;Assumptions!$C$157+12,Assumptions!$D$177/12,Assumptions!$D$178/12))</f>
        <v>1666.66666666667</v>
      </c>
      <c r="T101" s="37" t="n">
        <f aca="false">IF(T$3&lt;Assumptions!$C$157,0,IF(T$3&lt;Assumptions!$C$157+12,Assumptions!$D$177/12,Assumptions!$D$178/12))</f>
        <v>1666.66666666667</v>
      </c>
      <c r="U101" s="37" t="n">
        <f aca="false">IF(U$3&lt;Assumptions!$C$157,0,IF(U$3&lt;Assumptions!$C$157+12,Assumptions!$D$177/12,Assumptions!$D$178/12))</f>
        <v>1666.66666666667</v>
      </c>
      <c r="V101" s="37" t="n">
        <f aca="false">IF(V$3&lt;Assumptions!$C$157,0,IF(V$3&lt;Assumptions!$C$157+12,Assumptions!$D$177/12,Assumptions!$D$178/12))</f>
        <v>1666.66666666667</v>
      </c>
      <c r="W101" s="37" t="n">
        <f aca="false">IF(W$3&lt;Assumptions!$C$157,0,IF(W$3&lt;Assumptions!$C$157+12,Assumptions!$D$177/12,Assumptions!$D$178/12))</f>
        <v>1666.66666666667</v>
      </c>
      <c r="X101" s="37" t="n">
        <f aca="false">IF(X$3&lt;Assumptions!$C$157,0,IF(X$3&lt;Assumptions!$C$157+12,Assumptions!$D$177/12,Assumptions!$D$178/12))</f>
        <v>1666.66666666667</v>
      </c>
      <c r="Y101" s="37" t="n">
        <f aca="false">IF(Y$3&lt;Assumptions!$C$157,0,IF(Y$3&lt;Assumptions!$C$157+12,Assumptions!$D$177/12,Assumptions!$D$178/12))</f>
        <v>1666.66666666667</v>
      </c>
      <c r="Z101" s="37" t="n">
        <f aca="false">IF(Z$3&lt;Assumptions!$C$157,0,IF(Z$3&lt;Assumptions!$C$157+12,Assumptions!$D$177/12,Assumptions!$D$178/12))</f>
        <v>1666.66666666667</v>
      </c>
      <c r="AA101" s="37" t="n">
        <f aca="false">IF(AA$3&lt;Assumptions!$C$157,0,IF(AA$3&lt;Assumptions!$C$157+12,Assumptions!$D$177/12,Assumptions!$D$178/12))</f>
        <v>1666.66666666667</v>
      </c>
      <c r="AB101" s="37" t="n">
        <f aca="false">IF(AB$3&lt;Assumptions!$C$157,0,IF(AB$3&lt;Assumptions!$C$157+12,Assumptions!$D$177/12,Assumptions!$D$178/12))</f>
        <v>1666.66666666667</v>
      </c>
      <c r="AC101" s="37" t="n">
        <f aca="false">IF(AC$3&lt;Assumptions!$C$157,0,IF(AC$3&lt;Assumptions!$C$157+12,Assumptions!$D$177/12,Assumptions!$D$178/12))</f>
        <v>833.333333333333</v>
      </c>
      <c r="AD101" s="37" t="n">
        <f aca="false">IF(AD$3&lt;Assumptions!$C$157,0,IF(AD$3&lt;Assumptions!$C$157+12,Assumptions!$D$177/12,Assumptions!$D$178/12))</f>
        <v>833.333333333333</v>
      </c>
      <c r="AE101" s="37" t="n">
        <f aca="false">IF(AE$3&lt;Assumptions!$C$157,0,IF(AE$3&lt;Assumptions!$C$157+12,Assumptions!$D$177/12,Assumptions!$D$178/12))</f>
        <v>833.333333333333</v>
      </c>
      <c r="AF101" s="37" t="n">
        <f aca="false">IF(AF$3&lt;Assumptions!$C$157,0,IF(AF$3&lt;Assumptions!$C$157+12,Assumptions!$D$177/12,Assumptions!$D$178/12))</f>
        <v>833.333333333333</v>
      </c>
      <c r="AG101" s="37" t="n">
        <f aca="false">IF(AG$3&lt;Assumptions!$C$157,0,IF(AG$3&lt;Assumptions!$C$157+12,Assumptions!$D$177/12,Assumptions!$D$178/12))</f>
        <v>833.333333333333</v>
      </c>
      <c r="AH101" s="37" t="n">
        <f aca="false">IF(AH$3&lt;Assumptions!$C$157,0,IF(AH$3&lt;Assumptions!$C$157+12,Assumptions!$D$177/12,Assumptions!$D$178/12))</f>
        <v>833.333333333333</v>
      </c>
      <c r="AI101" s="37" t="n">
        <f aca="false">IF(AI$3&lt;Assumptions!$C$157,0,IF(AI$3&lt;Assumptions!$C$157+12,Assumptions!$D$177/12,Assumptions!$D$178/12))</f>
        <v>833.333333333333</v>
      </c>
      <c r="AJ101" s="37" t="n">
        <f aca="false">IF(AJ$3&lt;Assumptions!$C$157,0,IF(AJ$3&lt;Assumptions!$C$157+12,Assumptions!$D$177/12,Assumptions!$D$178/12))</f>
        <v>833.333333333333</v>
      </c>
      <c r="AK101" s="37" t="n">
        <f aca="false">IF(AK$3&lt;Assumptions!$C$157,0,IF(AK$3&lt;Assumptions!$C$157+12,Assumptions!$D$177/12,Assumptions!$D$178/12))</f>
        <v>833.333333333333</v>
      </c>
      <c r="AL101" s="37" t="n">
        <f aca="false">IF(AL$3&lt;Assumptions!$C$157,0,IF(AL$3&lt;Assumptions!$C$157+12,Assumptions!$D$177/12,Assumptions!$D$178/12))</f>
        <v>833.333333333333</v>
      </c>
    </row>
    <row r="102" customFormat="false" ht="15" hidden="false" customHeight="false" outlineLevel="0" collapsed="false">
      <c r="A102" s="9" t="s">
        <v>645</v>
      </c>
      <c r="B102" s="2" t="s">
        <v>105</v>
      </c>
      <c r="C102" s="37" t="n">
        <f aca="false">Assumptions!$D$179/12</f>
        <v>333.333333333333</v>
      </c>
      <c r="D102" s="37" t="n">
        <f aca="false">Assumptions!$D$179/12</f>
        <v>333.333333333333</v>
      </c>
      <c r="E102" s="37" t="n">
        <f aca="false">Assumptions!$D$179/12</f>
        <v>333.333333333333</v>
      </c>
      <c r="F102" s="37" t="n">
        <f aca="false">Assumptions!$D$179/12</f>
        <v>333.333333333333</v>
      </c>
      <c r="G102" s="37" t="n">
        <f aca="false">Assumptions!$D$179/12</f>
        <v>333.333333333333</v>
      </c>
      <c r="H102" s="37" t="n">
        <f aca="false">Assumptions!$D$179/12</f>
        <v>333.333333333333</v>
      </c>
      <c r="I102" s="37" t="n">
        <f aca="false">Assumptions!$D$179/12</f>
        <v>333.333333333333</v>
      </c>
      <c r="J102" s="37" t="n">
        <f aca="false">Assumptions!$D$179/12</f>
        <v>333.333333333333</v>
      </c>
      <c r="K102" s="37" t="n">
        <f aca="false">Assumptions!$D$179/12</f>
        <v>333.333333333333</v>
      </c>
      <c r="L102" s="37" t="n">
        <f aca="false">Assumptions!$D$179/12</f>
        <v>333.333333333333</v>
      </c>
      <c r="M102" s="37" t="n">
        <f aca="false">Assumptions!$D$179/12</f>
        <v>333.333333333333</v>
      </c>
      <c r="N102" s="37" t="n">
        <f aca="false">Assumptions!$D$179/12</f>
        <v>333.333333333333</v>
      </c>
      <c r="O102" s="37" t="n">
        <f aca="false">Assumptions!$D$179/12</f>
        <v>333.333333333333</v>
      </c>
      <c r="P102" s="37" t="n">
        <f aca="false">Assumptions!$D$179/12</f>
        <v>333.333333333333</v>
      </c>
      <c r="Q102" s="37" t="n">
        <f aca="false">Assumptions!$D$179/12</f>
        <v>333.333333333333</v>
      </c>
      <c r="R102" s="37" t="n">
        <f aca="false">Assumptions!$D$179/12</f>
        <v>333.333333333333</v>
      </c>
      <c r="S102" s="37" t="n">
        <f aca="false">Assumptions!$D$179/12</f>
        <v>333.333333333333</v>
      </c>
      <c r="T102" s="37" t="n">
        <f aca="false">Assumptions!$D$179/12</f>
        <v>333.333333333333</v>
      </c>
      <c r="U102" s="37" t="n">
        <f aca="false">Assumptions!$D$179/12</f>
        <v>333.333333333333</v>
      </c>
      <c r="V102" s="37" t="n">
        <f aca="false">Assumptions!$D$179/12</f>
        <v>333.333333333333</v>
      </c>
      <c r="W102" s="37" t="n">
        <f aca="false">Assumptions!$D$179/12</f>
        <v>333.333333333333</v>
      </c>
      <c r="X102" s="37" t="n">
        <f aca="false">Assumptions!$D$179/12</f>
        <v>333.333333333333</v>
      </c>
      <c r="Y102" s="37" t="n">
        <f aca="false">Assumptions!$D$179/12</f>
        <v>333.333333333333</v>
      </c>
      <c r="Z102" s="37" t="n">
        <f aca="false">Assumptions!$D$179/12</f>
        <v>333.333333333333</v>
      </c>
      <c r="AA102" s="37" t="n">
        <f aca="false">Assumptions!$D$179/12</f>
        <v>333.333333333333</v>
      </c>
      <c r="AB102" s="37" t="n">
        <f aca="false">Assumptions!$D$179/12</f>
        <v>333.333333333333</v>
      </c>
      <c r="AC102" s="37" t="n">
        <f aca="false">Assumptions!$D$179/12</f>
        <v>333.333333333333</v>
      </c>
      <c r="AD102" s="37" t="n">
        <f aca="false">Assumptions!$D$179/12</f>
        <v>333.333333333333</v>
      </c>
      <c r="AE102" s="37" t="n">
        <f aca="false">Assumptions!$D$179/12</f>
        <v>333.333333333333</v>
      </c>
      <c r="AF102" s="37" t="n">
        <f aca="false">Assumptions!$D$179/12</f>
        <v>333.333333333333</v>
      </c>
      <c r="AG102" s="37" t="n">
        <f aca="false">Assumptions!$D$179/12</f>
        <v>333.333333333333</v>
      </c>
      <c r="AH102" s="37" t="n">
        <f aca="false">Assumptions!$D$179/12</f>
        <v>333.333333333333</v>
      </c>
      <c r="AI102" s="37" t="n">
        <f aca="false">Assumptions!$D$179/12</f>
        <v>333.333333333333</v>
      </c>
      <c r="AJ102" s="37" t="n">
        <f aca="false">Assumptions!$D$179/12</f>
        <v>333.333333333333</v>
      </c>
      <c r="AK102" s="37" t="n">
        <f aca="false">Assumptions!$D$179/12</f>
        <v>333.333333333333</v>
      </c>
      <c r="AL102" s="37" t="n">
        <f aca="false">Assumptions!$D$179/12</f>
        <v>333.333333333333</v>
      </c>
    </row>
    <row r="103" customFormat="false" ht="15" hidden="false" customHeight="false" outlineLevel="0" collapsed="false">
      <c r="A103" s="9" t="s">
        <v>428</v>
      </c>
      <c r="B103" s="2" t="s">
        <v>105</v>
      </c>
      <c r="C103" s="37" t="n">
        <f aca="false">Assumptions!$D$180+IF(C$3=1,Assumptions!$D$181,0)</f>
        <v>5400</v>
      </c>
      <c r="D103" s="37" t="n">
        <f aca="false">Assumptions!$D$180+IF(D$3=1,Assumptions!$D$181,0)</f>
        <v>400</v>
      </c>
      <c r="E103" s="37" t="n">
        <f aca="false">Assumptions!$D$180+IF(E$3=1,Assumptions!$D$181,0)</f>
        <v>400</v>
      </c>
      <c r="F103" s="37" t="n">
        <f aca="false">Assumptions!$D$180+IF(F$3=1,Assumptions!$D$181,0)</f>
        <v>400</v>
      </c>
      <c r="G103" s="37" t="n">
        <f aca="false">Assumptions!$D$180+IF(G$3=1,Assumptions!$D$181,0)</f>
        <v>400</v>
      </c>
      <c r="H103" s="37" t="n">
        <f aca="false">Assumptions!$D$180+IF(H$3=1,Assumptions!$D$181,0)</f>
        <v>400</v>
      </c>
      <c r="I103" s="37" t="n">
        <f aca="false">Assumptions!$D$180+IF(I$3=1,Assumptions!$D$181,0)</f>
        <v>400</v>
      </c>
      <c r="J103" s="37" t="n">
        <f aca="false">Assumptions!$D$180+IF(J$3=1,Assumptions!$D$181,0)</f>
        <v>400</v>
      </c>
      <c r="K103" s="37" t="n">
        <f aca="false">Assumptions!$D$180+IF(K$3=1,Assumptions!$D$181,0)</f>
        <v>400</v>
      </c>
      <c r="L103" s="37" t="n">
        <f aca="false">Assumptions!$D$180+IF(L$3=1,Assumptions!$D$181,0)</f>
        <v>400</v>
      </c>
      <c r="M103" s="37" t="n">
        <f aca="false">Assumptions!$D$180+IF(M$3=1,Assumptions!$D$181,0)</f>
        <v>400</v>
      </c>
      <c r="N103" s="37" t="n">
        <f aca="false">Assumptions!$D$180+IF(N$3=1,Assumptions!$D$181,0)</f>
        <v>400</v>
      </c>
      <c r="O103" s="37" t="n">
        <f aca="false">Assumptions!$D$180+IF(O$3=1,Assumptions!$D$181,0)</f>
        <v>400</v>
      </c>
      <c r="P103" s="37" t="n">
        <f aca="false">Assumptions!$D$180+IF(P$3=1,Assumptions!$D$181,0)</f>
        <v>400</v>
      </c>
      <c r="Q103" s="37" t="n">
        <f aca="false">Assumptions!$D$180+IF(Q$3=1,Assumptions!$D$181,0)</f>
        <v>400</v>
      </c>
      <c r="R103" s="37" t="n">
        <f aca="false">Assumptions!$D$180+IF(R$3=1,Assumptions!$D$181,0)</f>
        <v>400</v>
      </c>
      <c r="S103" s="37" t="n">
        <f aca="false">Assumptions!$D$180+IF(S$3=1,Assumptions!$D$181,0)</f>
        <v>400</v>
      </c>
      <c r="T103" s="37" t="n">
        <f aca="false">Assumptions!$D$180+IF(T$3=1,Assumptions!$D$181,0)</f>
        <v>400</v>
      </c>
      <c r="U103" s="37" t="n">
        <f aca="false">Assumptions!$D$180+IF(U$3=1,Assumptions!$D$181,0)</f>
        <v>400</v>
      </c>
      <c r="V103" s="37" t="n">
        <f aca="false">Assumptions!$D$180+IF(V$3=1,Assumptions!$D$181,0)</f>
        <v>400</v>
      </c>
      <c r="W103" s="37" t="n">
        <f aca="false">Assumptions!$D$180+IF(W$3=1,Assumptions!$D$181,0)</f>
        <v>400</v>
      </c>
      <c r="X103" s="37" t="n">
        <f aca="false">Assumptions!$D$180+IF(X$3=1,Assumptions!$D$181,0)</f>
        <v>400</v>
      </c>
      <c r="Y103" s="37" t="n">
        <f aca="false">Assumptions!$D$180+IF(Y$3=1,Assumptions!$D$181,0)</f>
        <v>400</v>
      </c>
      <c r="Z103" s="37" t="n">
        <f aca="false">Assumptions!$D$180+IF(Z$3=1,Assumptions!$D$181,0)</f>
        <v>400</v>
      </c>
      <c r="AA103" s="37" t="n">
        <f aca="false">Assumptions!$D$180+IF(AA$3=1,Assumptions!$D$181,0)</f>
        <v>400</v>
      </c>
      <c r="AB103" s="37" t="n">
        <f aca="false">Assumptions!$D$180+IF(AB$3=1,Assumptions!$D$181,0)</f>
        <v>400</v>
      </c>
      <c r="AC103" s="37" t="n">
        <f aca="false">Assumptions!$D$180+IF(AC$3=1,Assumptions!$D$181,0)</f>
        <v>400</v>
      </c>
      <c r="AD103" s="37" t="n">
        <f aca="false">Assumptions!$D$180+IF(AD$3=1,Assumptions!$D$181,0)</f>
        <v>400</v>
      </c>
      <c r="AE103" s="37" t="n">
        <f aca="false">Assumptions!$D$180+IF(AE$3=1,Assumptions!$D$181,0)</f>
        <v>400</v>
      </c>
      <c r="AF103" s="37" t="n">
        <f aca="false">Assumptions!$D$180+IF(AF$3=1,Assumptions!$D$181,0)</f>
        <v>400</v>
      </c>
      <c r="AG103" s="37" t="n">
        <f aca="false">Assumptions!$D$180+IF(AG$3=1,Assumptions!$D$181,0)</f>
        <v>400</v>
      </c>
      <c r="AH103" s="37" t="n">
        <f aca="false">Assumptions!$D$180+IF(AH$3=1,Assumptions!$D$181,0)</f>
        <v>400</v>
      </c>
      <c r="AI103" s="37" t="n">
        <f aca="false">Assumptions!$D$180+IF(AI$3=1,Assumptions!$D$181,0)</f>
        <v>400</v>
      </c>
      <c r="AJ103" s="37" t="n">
        <f aca="false">Assumptions!$D$180+IF(AJ$3=1,Assumptions!$D$181,0)</f>
        <v>400</v>
      </c>
      <c r="AK103" s="37" t="n">
        <f aca="false">Assumptions!$D$180+IF(AK$3=1,Assumptions!$D$181,0)</f>
        <v>400</v>
      </c>
      <c r="AL103" s="37" t="n">
        <f aca="false">Assumptions!$D$180+IF(AL$3=1,Assumptions!$D$181,0)</f>
        <v>400</v>
      </c>
    </row>
    <row r="104" customFormat="false" ht="15" hidden="false" customHeight="false" outlineLevel="0" collapsed="false">
      <c r="A104" s="3" t="s">
        <v>646</v>
      </c>
      <c r="B104" s="2" t="s">
        <v>105</v>
      </c>
      <c r="C104" s="46" t="n">
        <f aca="false">SUM(C83:C103)</f>
        <v>13548.3333333333</v>
      </c>
      <c r="D104" s="46" t="n">
        <f aca="false">SUM(D83:D103)</f>
        <v>8548.33333333333</v>
      </c>
      <c r="E104" s="46" t="n">
        <f aca="false">SUM(E83:E103)</f>
        <v>8548.33333333333</v>
      </c>
      <c r="F104" s="46" t="n">
        <f aca="false">SUM(F83:F103)</f>
        <v>8548.33333333333</v>
      </c>
      <c r="G104" s="46" t="n">
        <f aca="false">SUM(G83:G103)</f>
        <v>8548.33333333333</v>
      </c>
      <c r="H104" s="46" t="n">
        <f aca="false">SUM(H83:H103)</f>
        <v>8548.33333333333</v>
      </c>
      <c r="I104" s="46" t="n">
        <f aca="false">SUM(I83:I103)</f>
        <v>8548.33333333333</v>
      </c>
      <c r="J104" s="46" t="n">
        <f aca="false">SUM(J83:J103)</f>
        <v>8548.33333333333</v>
      </c>
      <c r="K104" s="46" t="n">
        <f aca="false">SUM(K83:K103)</f>
        <v>8553.56573333333</v>
      </c>
      <c r="L104" s="46" t="n">
        <f aca="false">SUM(L83:L103)</f>
        <v>8565.98717336333</v>
      </c>
      <c r="M104" s="46" t="n">
        <f aca="false">SUM(M83:M103)</f>
        <v>8577.63222407545</v>
      </c>
      <c r="N104" s="46" t="n">
        <f aca="false">SUM(N83:N103)</f>
        <v>8934.47997468179</v>
      </c>
      <c r="O104" s="46" t="n">
        <f aca="false">SUM(O83:O103)</f>
        <v>8956.90305983057</v>
      </c>
      <c r="P104" s="46" t="n">
        <f aca="false">SUM(P83:P103)</f>
        <v>8981.36910259318</v>
      </c>
      <c r="Q104" s="46" t="n">
        <f aca="false">SUM(Q83:Q103)</f>
        <v>10674.4932995538</v>
      </c>
      <c r="R104" s="46" t="n">
        <f aca="false">SUM(R83:R103)</f>
        <v>10702.8925228459</v>
      </c>
      <c r="S104" s="46" t="n">
        <f aca="false">SUM(S83:S103)</f>
        <v>10733.1852580664</v>
      </c>
      <c r="T104" s="46" t="n">
        <f aca="false">SUM(T83:T103)</f>
        <v>10783.6841279643</v>
      </c>
      <c r="U104" s="46" t="n">
        <f aca="false">SUM(U83:U103)</f>
        <v>10828.0319618042</v>
      </c>
      <c r="V104" s="46" t="n">
        <f aca="false">SUM(V83:V103)</f>
        <v>10874.8065944825</v>
      </c>
      <c r="W104" s="46" t="n">
        <f aca="false">SUM(W83:W103)</f>
        <v>10923.9622678204</v>
      </c>
      <c r="X104" s="46" t="n">
        <f aca="false">SUM(X83:X103)</f>
        <v>14215.4545796318</v>
      </c>
      <c r="Y104" s="46" t="n">
        <f aca="false">SUM(Y83:Y103)</f>
        <v>14269.2404347774</v>
      </c>
      <c r="Z104" s="46" t="n">
        <f aca="false">SUM(Z83:Z103)</f>
        <v>14325.277998124</v>
      </c>
      <c r="AA104" s="46" t="n">
        <f aca="false">SUM(AA83:AA103)</f>
        <v>14383.5266493328</v>
      </c>
      <c r="AB104" s="46" t="n">
        <f aca="false">SUM(AB83:AB103)</f>
        <v>14443.9469394023</v>
      </c>
      <c r="AC104" s="46" t="n">
        <f aca="false">SUM(AC83:AC103)</f>
        <v>13673.1672155629</v>
      </c>
      <c r="AD104" s="46" t="n">
        <f aca="false">SUM(AD83:AD103)</f>
        <v>13737.8169144535</v>
      </c>
      <c r="AE104" s="46" t="n">
        <f aca="false">SUM(AE83:AE103)</f>
        <v>13804.5265235178</v>
      </c>
      <c r="AF104" s="46" t="n">
        <f aca="false">SUM(AF83:AF103)</f>
        <v>33163.2608772221</v>
      </c>
      <c r="AG104" s="46" t="n">
        <f aca="false">SUM(AG83:AG103)</f>
        <v>20483.9857880368</v>
      </c>
      <c r="AH104" s="46" t="n">
        <f aca="false">SUM(AH83:AH103)</f>
        <v>20556.6680121228</v>
      </c>
      <c r="AI104" s="46" t="n">
        <f aca="false">SUM(AI83:AI103)</f>
        <v>20631.2752163356</v>
      </c>
      <c r="AJ104" s="46" t="n">
        <f aca="false">SUM(AJ83:AJ103)</f>
        <v>20707.7759464943</v>
      </c>
      <c r="AK104" s="46" t="n">
        <f aca="false">SUM(AK83:AK103)</f>
        <v>20786.1395968643</v>
      </c>
      <c r="AL104" s="46" t="n">
        <f aca="false">SUM(AL83:AL103)</f>
        <v>20866.3363808058</v>
      </c>
    </row>
    <row r="105" customFormat="false" ht="15" hidden="false" customHeight="false" outlineLevel="0" collapsed="false">
      <c r="A105" s="9" t="s">
        <v>647</v>
      </c>
      <c r="B105" s="2" t="s">
        <v>105</v>
      </c>
      <c r="C105" s="37" t="n">
        <f aca="false">C85+C88+C92+C95</f>
        <v>2000</v>
      </c>
      <c r="D105" s="37" t="n">
        <f aca="false">D85+D88+D92+D95</f>
        <v>2000</v>
      </c>
      <c r="E105" s="37" t="n">
        <f aca="false">E85+E88+E92+E95</f>
        <v>2000</v>
      </c>
      <c r="F105" s="37" t="n">
        <f aca="false">F85+F88+F92+F95</f>
        <v>2000</v>
      </c>
      <c r="G105" s="37" t="n">
        <f aca="false">G85+G88+G92+G95</f>
        <v>2000</v>
      </c>
      <c r="H105" s="37" t="n">
        <f aca="false">H85+H88+H92+H95</f>
        <v>2000</v>
      </c>
      <c r="I105" s="37" t="n">
        <f aca="false">I85+I88+I92+I95</f>
        <v>2000</v>
      </c>
      <c r="J105" s="37" t="n">
        <f aca="false">J85+J88+J92+J95</f>
        <v>2000</v>
      </c>
      <c r="K105" s="37" t="n">
        <f aca="false">K85+K88+K92+K95</f>
        <v>2000</v>
      </c>
      <c r="L105" s="37" t="n">
        <f aca="false">L85+L88+L92+L95</f>
        <v>2000</v>
      </c>
      <c r="M105" s="37" t="n">
        <f aca="false">M85+M88+M92+M95</f>
        <v>2000</v>
      </c>
      <c r="N105" s="37" t="n">
        <f aca="false">N85+N88+N92+N95</f>
        <v>2000</v>
      </c>
      <c r="O105" s="37" t="n">
        <f aca="false">O85+O88+O92+O95</f>
        <v>2000</v>
      </c>
      <c r="P105" s="37" t="n">
        <f aca="false">P85+P88+P92+P95</f>
        <v>2000</v>
      </c>
      <c r="Q105" s="37" t="n">
        <f aca="false">Q85+Q88+Q92+Q95</f>
        <v>2000</v>
      </c>
      <c r="R105" s="37" t="n">
        <f aca="false">R85+R88+R92+R95</f>
        <v>2000</v>
      </c>
      <c r="S105" s="37" t="n">
        <f aca="false">S85+S88+S92+S95</f>
        <v>2000</v>
      </c>
      <c r="T105" s="37" t="n">
        <f aca="false">T85+T88+T92+T95</f>
        <v>2000</v>
      </c>
      <c r="U105" s="37" t="n">
        <f aca="false">U85+U88+U92+U95</f>
        <v>2000</v>
      </c>
      <c r="V105" s="37" t="n">
        <f aca="false">V85+V88+V92+V95</f>
        <v>2000</v>
      </c>
      <c r="W105" s="37" t="n">
        <f aca="false">W85+W88+W92+W95</f>
        <v>2000</v>
      </c>
      <c r="X105" s="37" t="n">
        <f aca="false">X85+X88+X92+X95</f>
        <v>2000</v>
      </c>
      <c r="Y105" s="37" t="n">
        <f aca="false">Y85+Y88+Y92+Y95</f>
        <v>2000</v>
      </c>
      <c r="Z105" s="37" t="n">
        <f aca="false">Z85+Z88+Z92+Z95</f>
        <v>2000</v>
      </c>
      <c r="AA105" s="37" t="n">
        <f aca="false">AA85+AA88+AA92+AA95</f>
        <v>2000</v>
      </c>
      <c r="AB105" s="37" t="n">
        <f aca="false">AB85+AB88+AB92+AB95</f>
        <v>2000</v>
      </c>
      <c r="AC105" s="37" t="n">
        <f aca="false">AC85+AC88+AC92+AC95</f>
        <v>2000</v>
      </c>
      <c r="AD105" s="37" t="n">
        <f aca="false">AD85+AD88+AD92+AD95</f>
        <v>2000</v>
      </c>
      <c r="AE105" s="37" t="n">
        <f aca="false">AE85+AE88+AE92+AE95</f>
        <v>2000</v>
      </c>
      <c r="AF105" s="37" t="n">
        <f aca="false">AF85+AF88+AF92+AF95</f>
        <v>8500</v>
      </c>
      <c r="AG105" s="37" t="n">
        <f aca="false">AG85+AG88+AG92+AG95</f>
        <v>8500</v>
      </c>
      <c r="AH105" s="37" t="n">
        <f aca="false">AH85+AH88+AH92+AH95</f>
        <v>8500</v>
      </c>
      <c r="AI105" s="37" t="n">
        <f aca="false">AI85+AI88+AI92+AI95</f>
        <v>8500</v>
      </c>
      <c r="AJ105" s="37" t="n">
        <f aca="false">AJ85+AJ88+AJ92+AJ95</f>
        <v>8500</v>
      </c>
      <c r="AK105" s="37" t="n">
        <f aca="false">AK85+AK88+AK92+AK95</f>
        <v>8500</v>
      </c>
      <c r="AL105" s="37" t="n">
        <f aca="false">AL85+AL88+AL92+AL95</f>
        <v>8500</v>
      </c>
    </row>
    <row r="106" customFormat="false" ht="15" hidden="false" customHeight="false" outlineLevel="0" collapsed="false">
      <c r="A106" s="9" t="s">
        <v>648</v>
      </c>
      <c r="B106" s="2" t="s">
        <v>105</v>
      </c>
      <c r="C106" s="37" t="n">
        <f aca="false">C86+C91+C90+C96+C97+C98+C99</f>
        <v>2375</v>
      </c>
      <c r="D106" s="37" t="n">
        <f aca="false">D86+D91+D90+D96+D97+D98+D99</f>
        <v>2375</v>
      </c>
      <c r="E106" s="37" t="n">
        <f aca="false">E86+E91+E90+E96+E97+E98+E99</f>
        <v>2375</v>
      </c>
      <c r="F106" s="37" t="n">
        <f aca="false">F86+F91+F90+F96+F97+F98+F99</f>
        <v>2375</v>
      </c>
      <c r="G106" s="37" t="n">
        <f aca="false">G86+G91+G90+G96+G97+G98+G99</f>
        <v>2375</v>
      </c>
      <c r="H106" s="37" t="n">
        <f aca="false">H86+H91+H90+H96+H97+H98+H99</f>
        <v>2375</v>
      </c>
      <c r="I106" s="37" t="n">
        <f aca="false">I86+I91+I90+I96+I97+I98+I99</f>
        <v>2375</v>
      </c>
      <c r="J106" s="37" t="n">
        <f aca="false">J86+J91+J90+J96+J97+J98+J99</f>
        <v>2375</v>
      </c>
      <c r="K106" s="37" t="n">
        <f aca="false">K86+K91+K90+K96+K97+K98+K99</f>
        <v>2380.2324</v>
      </c>
      <c r="L106" s="37" t="n">
        <f aca="false">L86+L91+L90+L96+L97+L98+L99</f>
        <v>2392.65384003</v>
      </c>
      <c r="M106" s="37" t="n">
        <f aca="false">M86+M91+M90+M96+M97+M98+M99</f>
        <v>2404.29889074212</v>
      </c>
      <c r="N106" s="37" t="n">
        <f aca="false">N86+N91+N90+N96+N97+N98+N99</f>
        <v>2761.14664134845</v>
      </c>
      <c r="O106" s="37" t="n">
        <f aca="false">O86+O91+O90+O96+O97+O98+O99</f>
        <v>2783.56972649724</v>
      </c>
      <c r="P106" s="37" t="n">
        <f aca="false">P86+P91+P90+P96+P97+P98+P99</f>
        <v>2808.03576925984</v>
      </c>
      <c r="Q106" s="37" t="n">
        <f aca="false">Q86+Q91+Q90+Q96+Q97+Q98+Q99</f>
        <v>2834.49329955378</v>
      </c>
      <c r="R106" s="37" t="n">
        <f aca="false">R86+R91+R90+R96+R97+R98+R99</f>
        <v>2862.89252284587</v>
      </c>
      <c r="S106" s="37" t="n">
        <f aca="false">S86+S91+S90+S96+S97+S98+S99</f>
        <v>2893.1852580664</v>
      </c>
      <c r="T106" s="37" t="n">
        <f aca="false">T86+T91+T90+T96+T97+T98+T99</f>
        <v>2943.68412796429</v>
      </c>
      <c r="U106" s="37" t="n">
        <f aca="false">U86+U91+U90+U96+U97+U98+U99</f>
        <v>2988.03196180418</v>
      </c>
      <c r="V106" s="37" t="n">
        <f aca="false">V86+V91+V90+V96+V97+V98+V99</f>
        <v>3034.80659448251</v>
      </c>
      <c r="W106" s="37" t="n">
        <f aca="false">W86+W91+W90+W96+W97+W98+W99</f>
        <v>3083.96226782039</v>
      </c>
      <c r="X106" s="37" t="n">
        <f aca="false">X86+X91+X90+X96+X97+X98+X99</f>
        <v>3135.45457963178</v>
      </c>
      <c r="Y106" s="37" t="n">
        <f aca="false">Y86+Y91+Y90+Y96+Y97+Y98+Y99</f>
        <v>3189.24043477736</v>
      </c>
      <c r="Z106" s="37" t="n">
        <f aca="false">Z86+Z91+Z90+Z96+Z97+Z98+Z99</f>
        <v>3245.27799812397</v>
      </c>
      <c r="AA106" s="37" t="n">
        <f aca="false">AA86+AA91+AA90+AA96+AA97+AA98+AA99</f>
        <v>3303.52664933276</v>
      </c>
      <c r="AB106" s="37" t="n">
        <f aca="false">AB86+AB91+AB90+AB96+AB97+AB98+AB99</f>
        <v>3363.94693940234</v>
      </c>
      <c r="AC106" s="37" t="n">
        <f aca="false">AC86+AC91+AC90+AC96+AC97+AC98+AC99</f>
        <v>3426.50054889622</v>
      </c>
      <c r="AD106" s="37" t="n">
        <f aca="false">AD86+AD91+AD90+AD96+AD97+AD98+AD99</f>
        <v>3491.15024778683</v>
      </c>
      <c r="AE106" s="37" t="n">
        <f aca="false">AE86+AE91+AE90+AE96+AE97+AE98+AE99</f>
        <v>3557.85985685111</v>
      </c>
      <c r="AF106" s="37" t="n">
        <f aca="false">AF86+AF91+AF90+AF96+AF97+AF98+AF99</f>
        <v>3626.59421055546</v>
      </c>
      <c r="AG106" s="37" t="n">
        <f aca="false">AG86+AG91+AG90+AG96+AG97+AG98+AG99</f>
        <v>3697.31912137016</v>
      </c>
      <c r="AH106" s="37" t="n">
        <f aca="false">AH86+AH91+AH90+AH96+AH97+AH98+AH99</f>
        <v>3770.0013454561</v>
      </c>
      <c r="AI106" s="37" t="n">
        <f aca="false">AI86+AI91+AI90+AI96+AI97+AI98+AI99</f>
        <v>3844.60854966892</v>
      </c>
      <c r="AJ106" s="37" t="n">
        <f aca="false">AJ86+AJ91+AJ90+AJ96+AJ97+AJ98+AJ99</f>
        <v>3921.10927982765</v>
      </c>
      <c r="AK106" s="37" t="n">
        <f aca="false">AK86+AK91+AK90+AK96+AK97+AK98+AK99</f>
        <v>3999.47293019766</v>
      </c>
      <c r="AL106" s="37" t="n">
        <f aca="false">AL86+AL91+AL90+AL96+AL97+AL98+AL99</f>
        <v>4079.66971413914</v>
      </c>
    </row>
    <row r="107" customFormat="false" ht="15" hidden="false" customHeight="false" outlineLevel="0" collapsed="false">
      <c r="A107" s="9" t="s">
        <v>649</v>
      </c>
      <c r="B107" s="2" t="s">
        <v>105</v>
      </c>
      <c r="C107" s="37" t="n">
        <f aca="false">C84+C89+C93</f>
        <v>0</v>
      </c>
      <c r="D107" s="37" t="n">
        <f aca="false">D84+D89+D93</f>
        <v>0</v>
      </c>
      <c r="E107" s="37" t="n">
        <f aca="false">E84+E89+E93</f>
        <v>0</v>
      </c>
      <c r="F107" s="37" t="n">
        <f aca="false">F84+F89+F93</f>
        <v>0</v>
      </c>
      <c r="G107" s="37" t="n">
        <f aca="false">G84+G89+G93</f>
        <v>0</v>
      </c>
      <c r="H107" s="37" t="n">
        <f aca="false">H84+H89+H93</f>
        <v>0</v>
      </c>
      <c r="I107" s="37" t="n">
        <f aca="false">I84+I89+I93</f>
        <v>0</v>
      </c>
      <c r="J107" s="37" t="n">
        <f aca="false">J84+J89+J93</f>
        <v>0</v>
      </c>
      <c r="K107" s="37" t="n">
        <f aca="false">K84+K89+K93</f>
        <v>0</v>
      </c>
      <c r="L107" s="37" t="n">
        <f aca="false">L84+L89+L93</f>
        <v>0</v>
      </c>
      <c r="M107" s="37" t="n">
        <f aca="false">M84+M89+M93</f>
        <v>0</v>
      </c>
      <c r="N107" s="37" t="n">
        <f aca="false">N84+N89+N93</f>
        <v>0</v>
      </c>
      <c r="O107" s="37" t="n">
        <f aca="false">O84+O89+O93</f>
        <v>0</v>
      </c>
      <c r="P107" s="37" t="n">
        <f aca="false">P84+P89+P93</f>
        <v>0</v>
      </c>
      <c r="Q107" s="37" t="n">
        <f aca="false">Q84+Q89+Q93</f>
        <v>0</v>
      </c>
      <c r="R107" s="37" t="n">
        <f aca="false">R84+R89+R93</f>
        <v>0</v>
      </c>
      <c r="S107" s="37" t="n">
        <f aca="false">S84+S89+S93</f>
        <v>0</v>
      </c>
      <c r="T107" s="37" t="n">
        <f aca="false">T84+T89+T93</f>
        <v>0</v>
      </c>
      <c r="U107" s="37" t="n">
        <f aca="false">U84+U89+U93</f>
        <v>0</v>
      </c>
      <c r="V107" s="37" t="n">
        <f aca="false">V84+V89+V93</f>
        <v>0</v>
      </c>
      <c r="W107" s="37" t="n">
        <f aca="false">W84+W89+W93</f>
        <v>0</v>
      </c>
      <c r="X107" s="37" t="n">
        <f aca="false">X84+X89+X93</f>
        <v>3200</v>
      </c>
      <c r="Y107" s="37" t="n">
        <f aca="false">Y84+Y89+Y93</f>
        <v>3200</v>
      </c>
      <c r="Z107" s="37" t="n">
        <f aca="false">Z84+Z89+Z93</f>
        <v>3200</v>
      </c>
      <c r="AA107" s="37" t="n">
        <f aca="false">AA84+AA89+AA93</f>
        <v>3200</v>
      </c>
      <c r="AB107" s="37" t="n">
        <f aca="false">AB84+AB89+AB93</f>
        <v>3200</v>
      </c>
      <c r="AC107" s="37" t="n">
        <f aca="false">AC84+AC89+AC93</f>
        <v>3200</v>
      </c>
      <c r="AD107" s="37" t="n">
        <f aca="false">AD84+AD89+AD93</f>
        <v>3200</v>
      </c>
      <c r="AE107" s="37" t="n">
        <f aca="false">AE84+AE89+AE93</f>
        <v>3200</v>
      </c>
      <c r="AF107" s="37" t="n">
        <f aca="false">AF84+AF89+AF93</f>
        <v>3200</v>
      </c>
      <c r="AG107" s="37" t="n">
        <f aca="false">AG84+AG89+AG93</f>
        <v>3200</v>
      </c>
      <c r="AH107" s="37" t="n">
        <f aca="false">AH84+AH89+AH93</f>
        <v>3200</v>
      </c>
      <c r="AI107" s="37" t="n">
        <f aca="false">AI84+AI89+AI93</f>
        <v>3200</v>
      </c>
      <c r="AJ107" s="37" t="n">
        <f aca="false">AJ84+AJ89+AJ93</f>
        <v>3200</v>
      </c>
      <c r="AK107" s="37" t="n">
        <f aca="false">AK84+AK89+AK93</f>
        <v>3200</v>
      </c>
      <c r="AL107" s="37" t="n">
        <f aca="false">AL84+AL89+AL93</f>
        <v>3200</v>
      </c>
    </row>
    <row r="108" customFormat="false" ht="1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ustomFormat="false" ht="15" hidden="false" customHeight="false" outlineLevel="0" collapsed="false">
      <c r="A109" s="5" t="s">
        <v>650</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row>
    <row r="110" customFormat="false" ht="15" hidden="false" customHeight="false" outlineLevel="0" collapsed="false">
      <c r="A110" s="9" t="s">
        <v>651</v>
      </c>
      <c r="B110" s="2" t="s">
        <v>105</v>
      </c>
      <c r="C110" s="37" t="n">
        <f aca="false">C79-C96-C97-C98-C99</f>
        <v>-2675</v>
      </c>
      <c r="D110" s="37" t="n">
        <f aca="false">D79-D96-D97-D98-D99</f>
        <v>-2675</v>
      </c>
      <c r="E110" s="37" t="n">
        <f aca="false">E79-E96-E97-E98-E99</f>
        <v>-2675</v>
      </c>
      <c r="F110" s="37" t="n">
        <f aca="false">F79-F96-F97-F98-F99</f>
        <v>-2675</v>
      </c>
      <c r="G110" s="37" t="n">
        <f aca="false">G79-G96-G97-G98-G99</f>
        <v>-2675</v>
      </c>
      <c r="H110" s="37" t="n">
        <f aca="false">H79-H96-H97-H98-H99</f>
        <v>-2675</v>
      </c>
      <c r="I110" s="37" t="n">
        <f aca="false">I79-I96-I97-I98-I99</f>
        <v>-2675</v>
      </c>
      <c r="J110" s="37" t="n">
        <f aca="false">J79-J96-J97-J98-J99</f>
        <v>-8337.5</v>
      </c>
      <c r="K110" s="37" t="n">
        <f aca="false">K79-K96-K97-K98-K99</f>
        <v>-2671.01859394667</v>
      </c>
      <c r="L110" s="37" t="n">
        <f aca="false">L79-L96-L97-L98-L99</f>
        <v>-2629.08272545538</v>
      </c>
      <c r="M110" s="37" t="n">
        <f aca="false">M79-M96-M97-M98-M99</f>
        <v>-2605.57236684225</v>
      </c>
      <c r="N110" s="37" t="n">
        <f aca="false">N79-N96-N97-N98-N99</f>
        <v>-2830.06207827032</v>
      </c>
      <c r="O110" s="37" t="n">
        <f aca="false">O79-O96-O97-O98-O99</f>
        <v>-2749.45129303539</v>
      </c>
      <c r="P110" s="37" t="n">
        <f aca="false">P79-P96-P97-P98-P99</f>
        <v>-2661.07575854082</v>
      </c>
      <c r="Q110" s="37" t="n">
        <f aca="false">Q79-Q96-Q97-Q98-Q99</f>
        <v>-2564.99887459777</v>
      </c>
      <c r="R110" s="37" t="n">
        <f aca="false">R79-R96-R97-R98-R99</f>
        <v>-2461.28376218308</v>
      </c>
      <c r="S110" s="37" t="n">
        <f aca="false">S79-S96-S97-S98-S99</f>
        <v>-2349.99324992357</v>
      </c>
      <c r="T110" s="37" t="n">
        <f aca="false">T79-T96-T97-T98-T99</f>
        <v>-2105.50633295941</v>
      </c>
      <c r="U110" s="37" t="n">
        <f aca="false">U79-U96-U97-U98-U99</f>
        <v>-1966.28436649674</v>
      </c>
      <c r="V110" s="37" t="n">
        <f aca="false">V79-V96-V97-V98-V99</f>
        <v>-5216.16038459834</v>
      </c>
      <c r="W110" s="37" t="n">
        <f aca="false">W79-W96-W97-W98-W99</f>
        <v>-1662.64540574721</v>
      </c>
      <c r="X110" s="37" t="n">
        <f aca="false">X79-X96-X97-X98-X99</f>
        <v>-1498.25091406032</v>
      </c>
      <c r="Y110" s="37" t="n">
        <f aca="false">Y79-Y96-Y97-Y98-Y99</f>
        <v>-1325.48884136526</v>
      </c>
      <c r="Z110" s="37" t="n">
        <f aca="false">Z79-Z96-Z97-Z98-Z99</f>
        <v>-1144.37155009656</v>
      </c>
      <c r="AA110" s="37" t="n">
        <f aca="false">AA79-AA96-AA97-AA98-AA99</f>
        <v>-954.911816970849</v>
      </c>
      <c r="AB110" s="37" t="n">
        <f aca="false">AB79-AB96-AB97-AB98-AB99</f>
        <v>-757.122817401909</v>
      </c>
      <c r="AC110" s="37" t="n">
        <f aca="false">AC79-AC96-AC97-AC98-AC99</f>
        <v>-551.018110618519</v>
      </c>
      <c r="AD110" s="37" t="n">
        <f aca="false">AD79-AD96-AD97-AD98-AD99</f>
        <v>-336.611625450018</v>
      </c>
      <c r="AE110" s="37" t="n">
        <f aca="false">AE79-AE96-AE97-AE98-AE99</f>
        <v>-113.917646745998</v>
      </c>
      <c r="AF110" s="37" t="n">
        <f aca="false">AF79-AF96-AF97-AF98-AF99</f>
        <v>117.049197601503</v>
      </c>
      <c r="AG110" s="37" t="n">
        <f aca="false">AG79-AG96-AG97-AG98-AG99</f>
        <v>356.273949063726</v>
      </c>
      <c r="AH110" s="37" t="n">
        <f aca="false">AH79-AH96-AH97-AH98-AH99</f>
        <v>-2793.75866966258</v>
      </c>
      <c r="AI110" s="37" t="n">
        <f aca="false">AI79-AI96-AI97-AI98-AI99</f>
        <v>859.435756690953</v>
      </c>
      <c r="AJ110" s="37" t="n">
        <f aca="false">AJ79-AJ96-AJ97-AJ98-AJ99</f>
        <v>1123.3413468202</v>
      </c>
      <c r="AK110" s="37" t="n">
        <f aca="false">AK79-AK96-AK97-AK98-AK99</f>
        <v>1395.44193323892</v>
      </c>
      <c r="AL110" s="37" t="n">
        <f aca="false">AL79-AL96-AL97-AL98-AL99</f>
        <v>1675.72107222705</v>
      </c>
    </row>
    <row r="111" customFormat="false" ht="15" hidden="false" customHeight="false" outlineLevel="0" collapsed="false">
      <c r="A111" s="9" t="s">
        <v>652</v>
      </c>
      <c r="B111" s="2" t="s">
        <v>165</v>
      </c>
      <c r="C111" s="32" t="n">
        <f aca="false">IF(C63=0,0,C110/C63)</f>
        <v>0</v>
      </c>
      <c r="D111" s="32" t="n">
        <f aca="false">IF(D63=0,0,D110/D63)</f>
        <v>0</v>
      </c>
      <c r="E111" s="32" t="n">
        <f aca="false">IF(E63=0,0,E110/E63)</f>
        <v>0</v>
      </c>
      <c r="F111" s="32" t="n">
        <f aca="false">IF(F63=0,0,F110/F63)</f>
        <v>0</v>
      </c>
      <c r="G111" s="32" t="n">
        <f aca="false">IF(G63=0,0,G110/G63)</f>
        <v>0</v>
      </c>
      <c r="H111" s="32" t="n">
        <f aca="false">IF(H63=0,0,H110/H63)</f>
        <v>0</v>
      </c>
      <c r="I111" s="32" t="n">
        <f aca="false">IF(I63=0,0,I110/I63)</f>
        <v>0</v>
      </c>
      <c r="J111" s="32" t="n">
        <f aca="false">IF(J63=0,0,J110/J63)</f>
        <v>0</v>
      </c>
      <c r="K111" s="32" t="n">
        <f aca="false">IF(K63=0,0,K110/K63)</f>
        <v>-25.5238379514818</v>
      </c>
      <c r="L111" s="32" t="n">
        <f aca="false">IF(L63=0,0,L110/L63)</f>
        <v>-7.44620638055985</v>
      </c>
      <c r="M111" s="32" t="n">
        <f aca="false">IF(M63=0,0,M110/M63)</f>
        <v>-4.44653756651717</v>
      </c>
      <c r="N111" s="32" t="n">
        <f aca="false">IF(N63=0,0,N110/N63)</f>
        <v>-2.67930772056548</v>
      </c>
      <c r="O111" s="32" t="n">
        <f aca="false">IF(O63=0,0,O110/O63)</f>
        <v>-1.827208334566</v>
      </c>
      <c r="P111" s="32" t="n">
        <f aca="false">IF(P63=0,0,P110/P63)</f>
        <v>-1.33450889830932</v>
      </c>
      <c r="Q111" s="32" t="n">
        <f aca="false">IF(Q63=0,0,Q110/Q63)</f>
        <v>-1.01656609122573</v>
      </c>
      <c r="R111" s="32" t="n">
        <f aca="false">IF(R63=0,0,R110/R63)</f>
        <v>-0.796226924437728</v>
      </c>
      <c r="S111" s="32" t="n">
        <f aca="false">IF(S63=0,0,S110/S63)</f>
        <v>-0.635642083066493</v>
      </c>
      <c r="T111" s="32" t="n">
        <f aca="false">IF(T63=0,0,T110/T63)</f>
        <v>-0.447312348416107</v>
      </c>
      <c r="U111" s="32" t="n">
        <f aca="false">IF(U63=0,0,U110/U63)</f>
        <v>-0.351500537783591</v>
      </c>
      <c r="V111" s="32" t="n">
        <f aca="false">IF(V63=0,0,V110/V63)</f>
        <v>-0.798864869704434</v>
      </c>
      <c r="W111" s="32" t="n">
        <f aca="false">IF(W63=0,0,W110/W63)</f>
        <v>-0.221314873948363</v>
      </c>
      <c r="X111" s="32" t="n">
        <f aca="false">IF(X63=0,0,X110/X63)</f>
        <v>-0.175389415422972</v>
      </c>
      <c r="Y111" s="32" t="n">
        <f aca="false">IF(Y63=0,0,Y110/Y63)</f>
        <v>-0.137811319211673</v>
      </c>
      <c r="Z111" s="32" t="n">
        <f aca="false">IF(Z63=0,0,Z110/Z63)</f>
        <v>-0.106563266676909</v>
      </c>
      <c r="AA111" s="32" t="n">
        <f aca="false">IF(AA63=0,0,AA110/AA63)</f>
        <v>-0.0802186274023759</v>
      </c>
      <c r="AB111" s="32" t="n">
        <f aca="false">IF(AB63=0,0,AB110/AB63)</f>
        <v>-0.0577415424568092</v>
      </c>
      <c r="AC111" s="32" t="n">
        <f aca="false">IF(AC63=0,0,AC110/AC63)</f>
        <v>-0.0383628003811507</v>
      </c>
      <c r="AD111" s="32" t="n">
        <f aca="false">IF(AD63=0,0,AD110/AD63)</f>
        <v>-0.021500022497918</v>
      </c>
      <c r="AE111" s="32" t="n">
        <f aca="false">IF(AE63=0,0,AE110/AE63)</f>
        <v>-0.00670477281122897</v>
      </c>
      <c r="AF111" s="32" t="n">
        <f aca="false">IF(AF63=0,0,AF110/AF63)</f>
        <v>0.00637341742989167</v>
      </c>
      <c r="AG111" s="32" t="n">
        <f aca="false">IF(AG63=0,0,AG110/AG63)</f>
        <v>0.0180120863905913</v>
      </c>
      <c r="AH111" s="32" t="n">
        <f aca="false">IF(AH63=0,0,AH110/AH63)</f>
        <v>-0.13157402491936</v>
      </c>
      <c r="AI111" s="32" t="n">
        <f aca="false">IF(AI63=0,0,AI110/AI63)</f>
        <v>0.037818115907807</v>
      </c>
      <c r="AJ111" s="32" t="n">
        <f aca="false">IF(AJ63=0,0,AJ110/AJ63)</f>
        <v>0.0463128144183332</v>
      </c>
      <c r="AK111" s="32" t="n">
        <f aca="false">IF(AK63=0,0,AK110/AK63)</f>
        <v>0.0540391579898837</v>
      </c>
      <c r="AL111" s="32" t="n">
        <f aca="false">IF(AL63=0,0,AL110/AL63)</f>
        <v>0.0610981045818382</v>
      </c>
    </row>
    <row r="112" customFormat="false" ht="15" hidden="false" customHeight="false" outlineLevel="0" collapsed="false">
      <c r="A112" s="3" t="s">
        <v>653</v>
      </c>
      <c r="B112" s="2" t="s">
        <v>105</v>
      </c>
      <c r="C112" s="45" t="n">
        <f aca="false">C79-C104</f>
        <v>-13848.3333333333</v>
      </c>
      <c r="D112" s="45" t="n">
        <f aca="false">D79-D104</f>
        <v>-8848.33333333333</v>
      </c>
      <c r="E112" s="45" t="n">
        <f aca="false">E79-E104</f>
        <v>-8848.33333333333</v>
      </c>
      <c r="F112" s="45" t="n">
        <f aca="false">F79-F104</f>
        <v>-8848.33333333333</v>
      </c>
      <c r="G112" s="45" t="n">
        <f aca="false">G79-G104</f>
        <v>-8848.33333333333</v>
      </c>
      <c r="H112" s="45" t="n">
        <f aca="false">H79-H104</f>
        <v>-8848.33333333333</v>
      </c>
      <c r="I112" s="45" t="n">
        <f aca="false">I79-I104</f>
        <v>-8848.33333333333</v>
      </c>
      <c r="J112" s="45" t="n">
        <f aca="false">J79-J104</f>
        <v>-14510.8333333333</v>
      </c>
      <c r="K112" s="45" t="n">
        <f aca="false">K79-K104</f>
        <v>-8844.35192728</v>
      </c>
      <c r="L112" s="45" t="n">
        <f aca="false">L79-L104</f>
        <v>-8802.41605878871</v>
      </c>
      <c r="M112" s="45" t="n">
        <f aca="false">M79-M104</f>
        <v>-8778.90570017559</v>
      </c>
      <c r="N112" s="45" t="n">
        <f aca="false">N79-N104</f>
        <v>-9003.39541160365</v>
      </c>
      <c r="O112" s="45" t="n">
        <f aca="false">O79-O104</f>
        <v>-8922.78462636872</v>
      </c>
      <c r="P112" s="45" t="n">
        <f aca="false">P79-P104</f>
        <v>-8834.40909187415</v>
      </c>
      <c r="Q112" s="45" t="n">
        <f aca="false">Q79-Q104</f>
        <v>-10404.9988745978</v>
      </c>
      <c r="R112" s="45" t="n">
        <f aca="false">R79-R104</f>
        <v>-10301.2837621831</v>
      </c>
      <c r="S112" s="45" t="n">
        <f aca="false">S79-S104</f>
        <v>-10189.9932499236</v>
      </c>
      <c r="T112" s="45" t="n">
        <f aca="false">T79-T104</f>
        <v>-9945.50633295941</v>
      </c>
      <c r="U112" s="45" t="n">
        <f aca="false">U79-U104</f>
        <v>-9806.28436649674</v>
      </c>
      <c r="V112" s="45" t="n">
        <f aca="false">V79-V104</f>
        <v>-13056.1603845983</v>
      </c>
      <c r="W112" s="45" t="n">
        <f aca="false">W79-W104</f>
        <v>-9502.64540574721</v>
      </c>
      <c r="X112" s="45" t="n">
        <f aca="false">X79-X104</f>
        <v>-12578.2509140603</v>
      </c>
      <c r="Y112" s="45" t="n">
        <f aca="false">Y79-Y104</f>
        <v>-12405.4888413653</v>
      </c>
      <c r="Z112" s="45" t="n">
        <f aca="false">Z79-Z104</f>
        <v>-12224.3715500966</v>
      </c>
      <c r="AA112" s="45" t="n">
        <f aca="false">AA79-AA104</f>
        <v>-12034.9118169708</v>
      </c>
      <c r="AB112" s="45" t="n">
        <f aca="false">AB79-AB104</f>
        <v>-11837.1228174019</v>
      </c>
      <c r="AC112" s="45" t="n">
        <f aca="false">AC79-AC104</f>
        <v>-10797.6847772852</v>
      </c>
      <c r="AD112" s="45" t="n">
        <f aca="false">AD79-AD104</f>
        <v>-10583.2782921167</v>
      </c>
      <c r="AE112" s="45" t="n">
        <f aca="false">AE79-AE104</f>
        <v>-10360.5843134127</v>
      </c>
      <c r="AF112" s="45" t="n">
        <f aca="false">AF79-AF104</f>
        <v>-29419.6174690652</v>
      </c>
      <c r="AG112" s="45" t="n">
        <f aca="false">AG79-AG104</f>
        <v>-16430.3927176029</v>
      </c>
      <c r="AH112" s="45" t="n">
        <f aca="false">AH79-AH104</f>
        <v>-19580.4253363292</v>
      </c>
      <c r="AI112" s="45" t="n">
        <f aca="false">AI79-AI104</f>
        <v>-15927.2309099757</v>
      </c>
      <c r="AJ112" s="45" t="n">
        <f aca="false">AJ79-AJ104</f>
        <v>-15663.3253198465</v>
      </c>
      <c r="AK112" s="45" t="n">
        <f aca="false">AK79-AK104</f>
        <v>-15391.2247334277</v>
      </c>
      <c r="AL112" s="45" t="n">
        <f aca="false">AL79-AL104</f>
        <v>-15110.9455944396</v>
      </c>
    </row>
    <row r="113" customFormat="false" ht="15" hidden="false" customHeight="false" outlineLevel="0" collapsed="false">
      <c r="A113" s="9" t="s">
        <v>654</v>
      </c>
      <c r="B113" s="2" t="s">
        <v>165</v>
      </c>
      <c r="C113" s="32" t="n">
        <f aca="false">IF(C63=0,0,C112/C63)</f>
        <v>0</v>
      </c>
      <c r="D113" s="32" t="n">
        <f aca="false">IF(D63=0,0,D112/D63)</f>
        <v>0</v>
      </c>
      <c r="E113" s="32" t="n">
        <f aca="false">IF(E63=0,0,E112/E63)</f>
        <v>0</v>
      </c>
      <c r="F113" s="32" t="n">
        <f aca="false">IF(F63=0,0,F112/F63)</f>
        <v>0</v>
      </c>
      <c r="G113" s="32" t="n">
        <f aca="false">IF(G63=0,0,G112/G63)</f>
        <v>0</v>
      </c>
      <c r="H113" s="32" t="n">
        <f aca="false">IF(H63=0,0,H112/H63)</f>
        <v>0</v>
      </c>
      <c r="I113" s="32" t="n">
        <f aca="false">IF(I63=0,0,I112/I63)</f>
        <v>0</v>
      </c>
      <c r="J113" s="32" t="n">
        <f aca="false">IF(J63=0,0,J112/J63)</f>
        <v>0</v>
      </c>
      <c r="K113" s="32" t="n">
        <f aca="false">IF(K63=0,0,K112/K63)</f>
        <v>-84.5152504326887</v>
      </c>
      <c r="L113" s="32" t="n">
        <f aca="false">IF(L63=0,0,L112/L63)</f>
        <v>-24.9305987927566</v>
      </c>
      <c r="M113" s="32" t="n">
        <f aca="false">IF(M63=0,0,M112/M63)</f>
        <v>-14.981634931925</v>
      </c>
      <c r="N113" s="32" t="n">
        <f aca="false">IF(N63=0,0,N112/N63)</f>
        <v>-8.52379423859031</v>
      </c>
      <c r="O113" s="32" t="n">
        <f aca="false">IF(O63=0,0,O112/O63)</f>
        <v>-5.92983279177822</v>
      </c>
      <c r="P113" s="32" t="n">
        <f aca="false">IF(P63=0,0,P112/P63)</f>
        <v>-4.43038778831142</v>
      </c>
      <c r="Q113" s="32" t="n">
        <f aca="false">IF(Q63=0,0,Q112/Q63)</f>
        <v>-4.12373242729655</v>
      </c>
      <c r="R113" s="32" t="n">
        <f aca="false">IF(R63=0,0,R112/R63)</f>
        <v>-3.33247210815233</v>
      </c>
      <c r="S113" s="32" t="n">
        <f aca="false">IF(S63=0,0,S112/S63)</f>
        <v>-2.75625835777425</v>
      </c>
      <c r="T113" s="32" t="n">
        <f aca="false">IF(T63=0,0,T112/T63)</f>
        <v>-2.11291114367268</v>
      </c>
      <c r="U113" s="32" t="n">
        <f aca="false">IF(U63=0,0,U112/U63)</f>
        <v>-1.75300901904829</v>
      </c>
      <c r="V113" s="32" t="n">
        <f aca="false">IF(V63=0,0,V112/V63)</f>
        <v>-1.99957575984035</v>
      </c>
      <c r="W113" s="32" t="n">
        <f aca="false">IF(W63=0,0,W112/W63)</f>
        <v>-1.26489795291245</v>
      </c>
      <c r="X113" s="32" t="n">
        <f aca="false">IF(X63=0,0,X112/X63)</f>
        <v>-1.47244500514397</v>
      </c>
      <c r="Y113" s="32" t="n">
        <f aca="false">IF(Y63=0,0,Y112/Y63)</f>
        <v>-1.28980096198571</v>
      </c>
      <c r="Z113" s="32" t="n">
        <f aca="false">IF(Z63=0,0,Z112/Z63)</f>
        <v>-1.13832694052963</v>
      </c>
      <c r="AA113" s="32" t="n">
        <f aca="false">IF(AA63=0,0,AA112/AA63)</f>
        <v>-1.01100864991757</v>
      </c>
      <c r="AB113" s="32" t="n">
        <f aca="false">IF(AB63=0,0,AB112/AB63)</f>
        <v>-0.902751461213265</v>
      </c>
      <c r="AC113" s="32" t="n">
        <f aca="false">IF(AC63=0,0,AC112/AC63)</f>
        <v>-0.751752832996011</v>
      </c>
      <c r="AD113" s="32" t="n">
        <f aca="false">IF(AD63=0,0,AD112/AD63)</f>
        <v>-0.675974043017781</v>
      </c>
      <c r="AE113" s="32" t="n">
        <f aca="false">IF(AE63=0,0,AE112/AE63)</f>
        <v>-0.609785805775128</v>
      </c>
      <c r="AF113" s="32" t="n">
        <f aca="false">IF(AF63=0,0,AF112/AF63)</f>
        <v>-1.60192044542199</v>
      </c>
      <c r="AG113" s="32" t="n">
        <f aca="false">IF(AG63=0,0,AG112/AG63)</f>
        <v>-0.830668798093547</v>
      </c>
      <c r="AH113" s="32" t="n">
        <f aca="false">IF(AH63=0,0,AH112/AH63)</f>
        <v>-0.922153870736805</v>
      </c>
      <c r="AI113" s="32" t="n">
        <f aca="false">IF(AI63=0,0,AI112/AI63)</f>
        <v>-0.700852693123943</v>
      </c>
      <c r="AJ113" s="32" t="n">
        <f aca="false">IF(AJ63=0,0,AJ112/AJ63)</f>
        <v>-0.645763356583847</v>
      </c>
      <c r="AK113" s="32" t="n">
        <f aca="false">IF(AK63=0,0,AK112/AK63)</f>
        <v>-0.596032558013364</v>
      </c>
      <c r="AL113" s="32" t="n">
        <f aca="false">IF(AL63=0,0,AL112/AL63)</f>
        <v>-0.550956928071884</v>
      </c>
    </row>
    <row r="114" customFormat="false" ht="15" hidden="false" customHeight="false" outlineLevel="0" collapsed="false">
      <c r="A114" s="9" t="s">
        <v>655</v>
      </c>
      <c r="B114" s="2" t="s">
        <v>105</v>
      </c>
      <c r="C114" s="37" t="n">
        <f aca="false">C112</f>
        <v>-13848.3333333333</v>
      </c>
      <c r="D114" s="37" t="n">
        <f aca="false">C114+D112</f>
        <v>-22696.6666666667</v>
      </c>
      <c r="E114" s="37" t="n">
        <f aca="false">D114+E112</f>
        <v>-31545</v>
      </c>
      <c r="F114" s="37" t="n">
        <f aca="false">E114+F112</f>
        <v>-40393.3333333333</v>
      </c>
      <c r="G114" s="37" t="n">
        <f aca="false">F114+G112</f>
        <v>-49241.6666666667</v>
      </c>
      <c r="H114" s="37" t="n">
        <f aca="false">G114+H112</f>
        <v>-58090</v>
      </c>
      <c r="I114" s="37" t="n">
        <f aca="false">H114+I112</f>
        <v>-66938.3333333333</v>
      </c>
      <c r="J114" s="37" t="n">
        <f aca="false">I114+J112</f>
        <v>-81449.1666666666</v>
      </c>
      <c r="K114" s="37" t="n">
        <f aca="false">J114+K112</f>
        <v>-90293.5185939467</v>
      </c>
      <c r="L114" s="37" t="n">
        <f aca="false">K114+L112</f>
        <v>-99095.9346527354</v>
      </c>
      <c r="M114" s="37" t="n">
        <f aca="false">L114+M112</f>
        <v>-107874.840352911</v>
      </c>
      <c r="N114" s="37" t="n">
        <f aca="false">M114+N112</f>
        <v>-116878.235764515</v>
      </c>
      <c r="O114" s="37" t="n">
        <f aca="false">N114+O112</f>
        <v>-125801.020390883</v>
      </c>
      <c r="P114" s="37" t="n">
        <f aca="false">O114+P112</f>
        <v>-134635.429482757</v>
      </c>
      <c r="Q114" s="37" t="n">
        <f aca="false">P114+Q112</f>
        <v>-145040.428357355</v>
      </c>
      <c r="R114" s="37" t="n">
        <f aca="false">Q114+R112</f>
        <v>-155341.712119538</v>
      </c>
      <c r="S114" s="37" t="n">
        <f aca="false">R114+S112</f>
        <v>-165531.705369462</v>
      </c>
      <c r="T114" s="37" t="n">
        <f aca="false">S114+T112</f>
        <v>-175477.211702421</v>
      </c>
      <c r="U114" s="37" t="n">
        <f aca="false">T114+U112</f>
        <v>-185283.496068918</v>
      </c>
      <c r="V114" s="37" t="n">
        <f aca="false">U114+V112</f>
        <v>-198339.656453516</v>
      </c>
      <c r="W114" s="37" t="n">
        <f aca="false">V114+W112</f>
        <v>-207842.301859264</v>
      </c>
      <c r="X114" s="37" t="n">
        <f aca="false">W114+X112</f>
        <v>-220420.552773324</v>
      </c>
      <c r="Y114" s="37" t="n">
        <f aca="false">X114+Y112</f>
        <v>-232826.041614689</v>
      </c>
      <c r="Z114" s="37" t="n">
        <f aca="false">Y114+Z112</f>
        <v>-245050.413164786</v>
      </c>
      <c r="AA114" s="37" t="n">
        <f aca="false">Z114+AA112</f>
        <v>-257085.324981757</v>
      </c>
      <c r="AB114" s="37" t="n">
        <f aca="false">AA114+AB112</f>
        <v>-268922.447799158</v>
      </c>
      <c r="AC114" s="37" t="n">
        <f aca="false">AB114+AC112</f>
        <v>-279720.132576444</v>
      </c>
      <c r="AD114" s="37" t="n">
        <f aca="false">AC114+AD112</f>
        <v>-290303.41086856</v>
      </c>
      <c r="AE114" s="37" t="n">
        <f aca="false">AD114+AE112</f>
        <v>-300663.995181973</v>
      </c>
      <c r="AF114" s="37" t="n">
        <f aca="false">AE114+AF112</f>
        <v>-330083.612651038</v>
      </c>
      <c r="AG114" s="37" t="n">
        <f aca="false">AF114+AG112</f>
        <v>-346514.005368641</v>
      </c>
      <c r="AH114" s="37" t="n">
        <f aca="false">AG114+AH112</f>
        <v>-366094.43070497</v>
      </c>
      <c r="AI114" s="37" t="n">
        <f aca="false">AH114+AI112</f>
        <v>-382021.661614946</v>
      </c>
      <c r="AJ114" s="37" t="n">
        <f aca="false">AI114+AJ112</f>
        <v>-397684.986934793</v>
      </c>
      <c r="AK114" s="37" t="n">
        <f aca="false">AJ114+AK112</f>
        <v>-413076.21166822</v>
      </c>
      <c r="AL114" s="37" t="n">
        <f aca="false">AK114+AL112</f>
        <v>-428187.15726266</v>
      </c>
    </row>
    <row r="115" customFormat="false" ht="15" hidden="false" customHeight="false" outlineLevel="0" collapsed="false">
      <c r="A115" s="9" t="s">
        <v>656</v>
      </c>
      <c r="B115" s="2" t="s">
        <v>105</v>
      </c>
      <c r="C115" s="37" t="n">
        <f aca="false">Assumptions!$D$7</f>
        <v>50000</v>
      </c>
      <c r="D115" s="37" t="n">
        <f aca="false">C116</f>
        <v>36151.6666666667</v>
      </c>
      <c r="E115" s="37" t="n">
        <f aca="false">D116</f>
        <v>27303.3333333333</v>
      </c>
      <c r="F115" s="37" t="n">
        <f aca="false">E116</f>
        <v>18455</v>
      </c>
      <c r="G115" s="37" t="n">
        <f aca="false">F116</f>
        <v>9606.66666666668</v>
      </c>
      <c r="H115" s="37" t="n">
        <f aca="false">G116</f>
        <v>758.333333333343</v>
      </c>
      <c r="I115" s="37" t="n">
        <f aca="false">H116</f>
        <v>-8089.99999999999</v>
      </c>
      <c r="J115" s="37" t="n">
        <f aca="false">I116</f>
        <v>-16938.3333333333</v>
      </c>
      <c r="K115" s="37" t="n">
        <f aca="false">J116</f>
        <v>-31449.1666666667</v>
      </c>
      <c r="L115" s="37" t="n">
        <f aca="false">K116</f>
        <v>-40293.5185939467</v>
      </c>
      <c r="M115" s="37" t="n">
        <f aca="false">L116</f>
        <v>-49095.9346527354</v>
      </c>
      <c r="N115" s="37" t="n">
        <f aca="false">M116</f>
        <v>-57874.840352911</v>
      </c>
      <c r="O115" s="37" t="n">
        <f aca="false">N116</f>
        <v>-66878.2357645146</v>
      </c>
      <c r="P115" s="37" t="n">
        <f aca="false">O116</f>
        <v>-75801.0203908833</v>
      </c>
      <c r="Q115" s="37" t="n">
        <f aca="false">P116</f>
        <v>-84635.4294827575</v>
      </c>
      <c r="R115" s="37" t="n">
        <f aca="false">Q116</f>
        <v>-95040.4283573552</v>
      </c>
      <c r="S115" s="37" t="n">
        <f aca="false">R116</f>
        <v>-105341.712119538</v>
      </c>
      <c r="T115" s="37" t="n">
        <f aca="false">S116</f>
        <v>-115531.705369462</v>
      </c>
      <c r="U115" s="37" t="n">
        <f aca="false">T116</f>
        <v>-125477.211702421</v>
      </c>
      <c r="V115" s="37" t="n">
        <f aca="false">U116</f>
        <v>-135283.496068918</v>
      </c>
      <c r="W115" s="37" t="n">
        <f aca="false">V116</f>
        <v>-148339.656453516</v>
      </c>
      <c r="X115" s="37" t="n">
        <f aca="false">W116</f>
        <v>-157842.301859264</v>
      </c>
      <c r="Y115" s="37" t="n">
        <f aca="false">X116</f>
        <v>-170420.552773324</v>
      </c>
      <c r="Z115" s="37" t="n">
        <f aca="false">Y116</f>
        <v>-182826.041614689</v>
      </c>
      <c r="AA115" s="37" t="n">
        <f aca="false">Z116</f>
        <v>-195050.413164786</v>
      </c>
      <c r="AB115" s="37" t="n">
        <f aca="false">AA116</f>
        <v>-207085.324981757</v>
      </c>
      <c r="AC115" s="37" t="n">
        <f aca="false">AB116</f>
        <v>-218922.447799158</v>
      </c>
      <c r="AD115" s="37" t="n">
        <f aca="false">AC116</f>
        <v>-229720.132576444</v>
      </c>
      <c r="AE115" s="37" t="n">
        <f aca="false">AD116</f>
        <v>-240303.41086856</v>
      </c>
      <c r="AF115" s="37" t="n">
        <f aca="false">AE116</f>
        <v>-250663.995181973</v>
      </c>
      <c r="AG115" s="37" t="n">
        <f aca="false">AF116</f>
        <v>-280083.612651038</v>
      </c>
      <c r="AH115" s="37" t="n">
        <f aca="false">AG116</f>
        <v>-296514.005368641</v>
      </c>
      <c r="AI115" s="37" t="n">
        <f aca="false">AH116</f>
        <v>-316094.43070497</v>
      </c>
      <c r="AJ115" s="37" t="n">
        <f aca="false">AI116</f>
        <v>-332021.661614946</v>
      </c>
      <c r="AK115" s="37" t="n">
        <f aca="false">AJ116</f>
        <v>-347684.986934793</v>
      </c>
      <c r="AL115" s="37" t="n">
        <f aca="false">AK116</f>
        <v>-363076.21166822</v>
      </c>
    </row>
    <row r="116" customFormat="false" ht="15" hidden="false" customHeight="false" outlineLevel="0" collapsed="false">
      <c r="A116" s="3" t="s">
        <v>657</v>
      </c>
      <c r="B116" s="2" t="s">
        <v>105</v>
      </c>
      <c r="C116" s="45" t="n">
        <f aca="false">C115+C112</f>
        <v>36151.6666666667</v>
      </c>
      <c r="D116" s="45" t="n">
        <f aca="false">D115+D112</f>
        <v>27303.3333333333</v>
      </c>
      <c r="E116" s="45" t="n">
        <f aca="false">E115+E112</f>
        <v>18455</v>
      </c>
      <c r="F116" s="45" t="n">
        <f aca="false">F115+F112</f>
        <v>9606.66666666668</v>
      </c>
      <c r="G116" s="45" t="n">
        <f aca="false">G115+G112</f>
        <v>758.333333333343</v>
      </c>
      <c r="H116" s="45" t="n">
        <f aca="false">H115+H112</f>
        <v>-8089.99999999999</v>
      </c>
      <c r="I116" s="45" t="n">
        <f aca="false">I115+I112</f>
        <v>-16938.3333333333</v>
      </c>
      <c r="J116" s="45" t="n">
        <f aca="false">J115+J112</f>
        <v>-31449.1666666667</v>
      </c>
      <c r="K116" s="45" t="n">
        <f aca="false">K115+K112</f>
        <v>-40293.5185939467</v>
      </c>
      <c r="L116" s="45" t="n">
        <f aca="false">L115+L112</f>
        <v>-49095.9346527354</v>
      </c>
      <c r="M116" s="45" t="n">
        <f aca="false">M115+M112</f>
        <v>-57874.840352911</v>
      </c>
      <c r="N116" s="45" t="n">
        <f aca="false">N115+N112</f>
        <v>-66878.2357645146</v>
      </c>
      <c r="O116" s="45" t="n">
        <f aca="false">O115+O112</f>
        <v>-75801.0203908833</v>
      </c>
      <c r="P116" s="45" t="n">
        <f aca="false">P115+P112</f>
        <v>-84635.4294827575</v>
      </c>
      <c r="Q116" s="45" t="n">
        <f aca="false">Q115+Q112</f>
        <v>-95040.4283573552</v>
      </c>
      <c r="R116" s="45" t="n">
        <f aca="false">R115+R112</f>
        <v>-105341.712119538</v>
      </c>
      <c r="S116" s="45" t="n">
        <f aca="false">S115+S112</f>
        <v>-115531.705369462</v>
      </c>
      <c r="T116" s="45" t="n">
        <f aca="false">T115+T112</f>
        <v>-125477.211702421</v>
      </c>
      <c r="U116" s="45" t="n">
        <f aca="false">U115+U112</f>
        <v>-135283.496068918</v>
      </c>
      <c r="V116" s="45" t="n">
        <f aca="false">V115+V112</f>
        <v>-148339.656453516</v>
      </c>
      <c r="W116" s="45" t="n">
        <f aca="false">W115+W112</f>
        <v>-157842.301859264</v>
      </c>
      <c r="X116" s="45" t="n">
        <f aca="false">X115+X112</f>
        <v>-170420.552773324</v>
      </c>
      <c r="Y116" s="45" t="n">
        <f aca="false">Y115+Y112</f>
        <v>-182826.041614689</v>
      </c>
      <c r="Z116" s="45" t="n">
        <f aca="false">Z115+Z112</f>
        <v>-195050.413164786</v>
      </c>
      <c r="AA116" s="45" t="n">
        <f aca="false">AA115+AA112</f>
        <v>-207085.324981757</v>
      </c>
      <c r="AB116" s="45" t="n">
        <f aca="false">AB115+AB112</f>
        <v>-218922.447799158</v>
      </c>
      <c r="AC116" s="45" t="n">
        <f aca="false">AC115+AC112</f>
        <v>-229720.132576444</v>
      </c>
      <c r="AD116" s="45" t="n">
        <f aca="false">AD115+AD112</f>
        <v>-240303.41086856</v>
      </c>
      <c r="AE116" s="45" t="n">
        <f aca="false">AE115+AE112</f>
        <v>-250663.995181973</v>
      </c>
      <c r="AF116" s="45" t="n">
        <f aca="false">AF115+AF112</f>
        <v>-280083.612651038</v>
      </c>
      <c r="AG116" s="45" t="n">
        <f aca="false">AG115+AG112</f>
        <v>-296514.005368641</v>
      </c>
      <c r="AH116" s="45" t="n">
        <f aca="false">AH115+AH112</f>
        <v>-316094.43070497</v>
      </c>
      <c r="AI116" s="45" t="n">
        <f aca="false">AI115+AI112</f>
        <v>-332021.661614946</v>
      </c>
      <c r="AJ116" s="45" t="n">
        <f aca="false">AJ115+AJ112</f>
        <v>-347684.986934793</v>
      </c>
      <c r="AK116" s="45" t="n">
        <f aca="false">AK115+AK112</f>
        <v>-363076.21166822</v>
      </c>
      <c r="AL116" s="45" t="n">
        <f aca="false">AL115+AL112</f>
        <v>-378187.15726266</v>
      </c>
    </row>
    <row r="117" customFormat="false" ht="15" hidden="false" customHeight="false" outlineLevel="0" collapsed="false">
      <c r="A117" s="9" t="s">
        <v>658</v>
      </c>
      <c r="B117" s="2" t="s">
        <v>105</v>
      </c>
      <c r="C117" s="37" t="n">
        <f aca="false">MAX(0,-C112)</f>
        <v>13848.3333333333</v>
      </c>
      <c r="D117" s="37" t="n">
        <f aca="false">MAX(0,-D112)</f>
        <v>8848.33333333333</v>
      </c>
      <c r="E117" s="37" t="n">
        <f aca="false">MAX(0,-E112)</f>
        <v>8848.33333333333</v>
      </c>
      <c r="F117" s="37" t="n">
        <f aca="false">MAX(0,-F112)</f>
        <v>8848.33333333333</v>
      </c>
      <c r="G117" s="37" t="n">
        <f aca="false">MAX(0,-G112)</f>
        <v>8848.33333333333</v>
      </c>
      <c r="H117" s="37" t="n">
        <f aca="false">MAX(0,-H112)</f>
        <v>8848.33333333333</v>
      </c>
      <c r="I117" s="37" t="n">
        <f aca="false">MAX(0,-I112)</f>
        <v>8848.33333333333</v>
      </c>
      <c r="J117" s="37" t="n">
        <f aca="false">MAX(0,-J112)</f>
        <v>14510.8333333333</v>
      </c>
      <c r="K117" s="37" t="n">
        <f aca="false">MAX(0,-K112)</f>
        <v>8844.35192728</v>
      </c>
      <c r="L117" s="37" t="n">
        <f aca="false">MAX(0,-L112)</f>
        <v>8802.41605878871</v>
      </c>
      <c r="M117" s="37" t="n">
        <f aca="false">MAX(0,-M112)</f>
        <v>8778.90570017559</v>
      </c>
      <c r="N117" s="37" t="n">
        <f aca="false">MAX(0,-N112)</f>
        <v>9003.39541160365</v>
      </c>
      <c r="O117" s="37" t="n">
        <f aca="false">MAX(0,-O112)</f>
        <v>8922.78462636872</v>
      </c>
      <c r="P117" s="37" t="n">
        <f aca="false">MAX(0,-P112)</f>
        <v>8834.40909187415</v>
      </c>
      <c r="Q117" s="37" t="n">
        <f aca="false">MAX(0,-Q112)</f>
        <v>10404.9988745978</v>
      </c>
      <c r="R117" s="37" t="n">
        <f aca="false">MAX(0,-R112)</f>
        <v>10301.2837621831</v>
      </c>
      <c r="S117" s="37" t="n">
        <f aca="false">MAX(0,-S112)</f>
        <v>10189.9932499236</v>
      </c>
      <c r="T117" s="37" t="n">
        <f aca="false">MAX(0,-T112)</f>
        <v>9945.50633295941</v>
      </c>
      <c r="U117" s="37" t="n">
        <f aca="false">MAX(0,-U112)</f>
        <v>9806.28436649674</v>
      </c>
      <c r="V117" s="37" t="n">
        <f aca="false">MAX(0,-V112)</f>
        <v>13056.1603845983</v>
      </c>
      <c r="W117" s="37" t="n">
        <f aca="false">MAX(0,-W112)</f>
        <v>9502.64540574721</v>
      </c>
      <c r="X117" s="37" t="n">
        <f aca="false">MAX(0,-X112)</f>
        <v>12578.2509140603</v>
      </c>
      <c r="Y117" s="37" t="n">
        <f aca="false">MAX(0,-Y112)</f>
        <v>12405.4888413653</v>
      </c>
      <c r="Z117" s="37" t="n">
        <f aca="false">MAX(0,-Z112)</f>
        <v>12224.3715500966</v>
      </c>
      <c r="AA117" s="37" t="n">
        <f aca="false">MAX(0,-AA112)</f>
        <v>12034.9118169708</v>
      </c>
      <c r="AB117" s="37" t="n">
        <f aca="false">MAX(0,-AB112)</f>
        <v>11837.1228174019</v>
      </c>
      <c r="AC117" s="37" t="n">
        <f aca="false">MAX(0,-AC112)</f>
        <v>10797.6847772852</v>
      </c>
      <c r="AD117" s="37" t="n">
        <f aca="false">MAX(0,-AD112)</f>
        <v>10583.2782921167</v>
      </c>
      <c r="AE117" s="37" t="n">
        <f aca="false">MAX(0,-AE112)</f>
        <v>10360.5843134127</v>
      </c>
      <c r="AF117" s="37" t="n">
        <f aca="false">MAX(0,-AF112)</f>
        <v>29419.6174690652</v>
      </c>
      <c r="AG117" s="37" t="n">
        <f aca="false">MAX(0,-AG112)</f>
        <v>16430.3927176029</v>
      </c>
      <c r="AH117" s="37" t="n">
        <f aca="false">MAX(0,-AH112)</f>
        <v>19580.4253363292</v>
      </c>
      <c r="AI117" s="37" t="n">
        <f aca="false">MAX(0,-AI112)</f>
        <v>15927.2309099757</v>
      </c>
      <c r="AJ117" s="37" t="n">
        <f aca="false">MAX(0,-AJ112)</f>
        <v>15663.3253198465</v>
      </c>
      <c r="AK117" s="37" t="n">
        <f aca="false">MAX(0,-AK112)</f>
        <v>15391.2247334277</v>
      </c>
      <c r="AL117" s="37" t="n">
        <f aca="false">MAX(0,-AL112)</f>
        <v>15110.9455944396</v>
      </c>
    </row>
    <row r="118" customFormat="false" ht="15" hidden="false" customHeight="false" outlineLevel="0" collapsed="false">
      <c r="A118" s="9" t="s">
        <v>659</v>
      </c>
      <c r="B118" s="2" t="s">
        <v>109</v>
      </c>
      <c r="C118" s="42" t="n">
        <f aca="false">IF(C117=0,"cash+",IF(C116&lt;=0,0,C116/C117))</f>
        <v>2.610542784932</v>
      </c>
      <c r="D118" s="42" t="n">
        <f aca="false">IF(D117=0,"cash+",IF(D116&lt;=0,0,D116/D117))</f>
        <v>3.08570352232059</v>
      </c>
      <c r="E118" s="42" t="n">
        <f aca="false">IF(E117=0,"cash+",IF(E116&lt;=0,0,E116/E117))</f>
        <v>2.08570352232059</v>
      </c>
      <c r="F118" s="42" t="n">
        <f aca="false">IF(F117=0,"cash+",IF(F116&lt;=0,0,F116/F117))</f>
        <v>1.08570352232059</v>
      </c>
      <c r="G118" s="42" t="n">
        <f aca="false">IF(G117=0,"cash+",IF(G116&lt;=0,0,G116/G117))</f>
        <v>0.0857035223205888</v>
      </c>
      <c r="H118" s="42" t="n">
        <f aca="false">IF(H117=0,"cash+",IF(H116&lt;=0,0,H116/H117))</f>
        <v>0</v>
      </c>
      <c r="I118" s="42" t="n">
        <f aca="false">IF(I117=0,"cash+",IF(I116&lt;=0,0,I116/I117))</f>
        <v>0</v>
      </c>
      <c r="J118" s="42" t="n">
        <f aca="false">IF(J117=0,"cash+",IF(J116&lt;=0,0,J116/J117))</f>
        <v>0</v>
      </c>
      <c r="K118" s="42" t="n">
        <f aca="false">IF(K117=0,"cash+",IF(K116&lt;=0,0,K116/K117))</f>
        <v>0</v>
      </c>
      <c r="L118" s="42" t="n">
        <f aca="false">IF(L117=0,"cash+",IF(L116&lt;=0,0,L116/L117))</f>
        <v>0</v>
      </c>
      <c r="M118" s="42" t="n">
        <f aca="false">IF(M117=0,"cash+",IF(M116&lt;=0,0,M116/M117))</f>
        <v>0</v>
      </c>
      <c r="N118" s="42" t="n">
        <f aca="false">IF(N117=0,"cash+",IF(N116&lt;=0,0,N116/N117))</f>
        <v>0</v>
      </c>
      <c r="O118" s="42" t="n">
        <f aca="false">IF(O117=0,"cash+",IF(O116&lt;=0,0,O116/O117))</f>
        <v>0</v>
      </c>
      <c r="P118" s="42" t="n">
        <f aca="false">IF(P117=0,"cash+",IF(P116&lt;=0,0,P116/P117))</f>
        <v>0</v>
      </c>
      <c r="Q118" s="42" t="n">
        <f aca="false">IF(Q117=0,"cash+",IF(Q116&lt;=0,0,Q116/Q117))</f>
        <v>0</v>
      </c>
      <c r="R118" s="42" t="n">
        <f aca="false">IF(R117=0,"cash+",IF(R116&lt;=0,0,R116/R117))</f>
        <v>0</v>
      </c>
      <c r="S118" s="42" t="n">
        <f aca="false">IF(S117=0,"cash+",IF(S116&lt;=0,0,S116/S117))</f>
        <v>0</v>
      </c>
      <c r="T118" s="42" t="n">
        <f aca="false">IF(T117=0,"cash+",IF(T116&lt;=0,0,T116/T117))</f>
        <v>0</v>
      </c>
      <c r="U118" s="42" t="n">
        <f aca="false">IF(U117=0,"cash+",IF(U116&lt;=0,0,U116/U117))</f>
        <v>0</v>
      </c>
      <c r="V118" s="42" t="n">
        <f aca="false">IF(V117=0,"cash+",IF(V116&lt;=0,0,V116/V117))</f>
        <v>0</v>
      </c>
      <c r="W118" s="42" t="n">
        <f aca="false">IF(W117=0,"cash+",IF(W116&lt;=0,0,W116/W117))</f>
        <v>0</v>
      </c>
      <c r="X118" s="42" t="n">
        <f aca="false">IF(X117=0,"cash+",IF(X116&lt;=0,0,X116/X117))</f>
        <v>0</v>
      </c>
      <c r="Y118" s="42" t="n">
        <f aca="false">IF(Y117=0,"cash+",IF(Y116&lt;=0,0,Y116/Y117))</f>
        <v>0</v>
      </c>
      <c r="Z118" s="42" t="n">
        <f aca="false">IF(Z117=0,"cash+",IF(Z116&lt;=0,0,Z116/Z117))</f>
        <v>0</v>
      </c>
      <c r="AA118" s="42" t="n">
        <f aca="false">IF(AA117=0,"cash+",IF(AA116&lt;=0,0,AA116/AA117))</f>
        <v>0</v>
      </c>
      <c r="AB118" s="42" t="n">
        <f aca="false">IF(AB117=0,"cash+",IF(AB116&lt;=0,0,AB116/AB117))</f>
        <v>0</v>
      </c>
      <c r="AC118" s="42" t="n">
        <f aca="false">IF(AC117=0,"cash+",IF(AC116&lt;=0,0,AC116/AC117))</f>
        <v>0</v>
      </c>
      <c r="AD118" s="42" t="n">
        <f aca="false">IF(AD117=0,"cash+",IF(AD116&lt;=0,0,AD116/AD117))</f>
        <v>0</v>
      </c>
      <c r="AE118" s="42" t="n">
        <f aca="false">IF(AE117=0,"cash+",IF(AE116&lt;=0,0,AE116/AE117))</f>
        <v>0</v>
      </c>
      <c r="AF118" s="42" t="n">
        <f aca="false">IF(AF117=0,"cash+",IF(AF116&lt;=0,0,AF116/AF117))</f>
        <v>0</v>
      </c>
      <c r="AG118" s="42" t="n">
        <f aca="false">IF(AG117=0,"cash+",IF(AG116&lt;=0,0,AG116/AG117))</f>
        <v>0</v>
      </c>
      <c r="AH118" s="42" t="n">
        <f aca="false">IF(AH117=0,"cash+",IF(AH116&lt;=0,0,AH116/AH117))</f>
        <v>0</v>
      </c>
      <c r="AI118" s="42" t="n">
        <f aca="false">IF(AI117=0,"cash+",IF(AI116&lt;=0,0,AI116/AI117))</f>
        <v>0</v>
      </c>
      <c r="AJ118" s="42" t="n">
        <f aca="false">IF(AJ117=0,"cash+",IF(AJ116&lt;=0,0,AJ116/AJ117))</f>
        <v>0</v>
      </c>
      <c r="AK118" s="42" t="n">
        <f aca="false">IF(AK117=0,"cash+",IF(AK116&lt;=0,0,AK116/AK117))</f>
        <v>0</v>
      </c>
      <c r="AL118" s="42" t="n">
        <f aca="false">IF(AL117=0,"cash+",IF(AL116&lt;=0,0,AL116/AL117))</f>
        <v>0</v>
      </c>
    </row>
    <row r="119" customFormat="false" ht="1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ustomFormat="false" ht="15" hidden="false" customHeight="false" outlineLevel="0" collapsed="false">
      <c r="A120" s="5" t="s">
        <v>660</v>
      </c>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row>
    <row r="121" customFormat="false" ht="15" hidden="false" customHeight="false" outlineLevel="0" collapsed="false">
      <c r="A121" s="9" t="s">
        <v>661</v>
      </c>
      <c r="B121" s="2" t="s">
        <v>105</v>
      </c>
      <c r="C121" s="37" t="n">
        <f aca="false">C43</f>
        <v>0</v>
      </c>
      <c r="D121" s="37" t="n">
        <f aca="false">MAX(C121,D43)</f>
        <v>0</v>
      </c>
      <c r="E121" s="37" t="n">
        <f aca="false">MAX(D121,E43)</f>
        <v>0</v>
      </c>
      <c r="F121" s="37" t="n">
        <f aca="false">MAX(E121,F43)</f>
        <v>0</v>
      </c>
      <c r="G121" s="37" t="n">
        <f aca="false">MAX(F121,G43)</f>
        <v>0</v>
      </c>
      <c r="H121" s="37" t="n">
        <f aca="false">MAX(G121,H43)</f>
        <v>0</v>
      </c>
      <c r="I121" s="37" t="n">
        <f aca="false">MAX(H121,I43)</f>
        <v>0</v>
      </c>
      <c r="J121" s="37" t="n">
        <f aca="false">MAX(I121,J43)</f>
        <v>0</v>
      </c>
      <c r="K121" s="37" t="n">
        <f aca="false">MAX(J121,K43)</f>
        <v>101.32</v>
      </c>
      <c r="L121" s="37" t="n">
        <f aca="false">MAX(K121,L43)</f>
        <v>293.2153606</v>
      </c>
      <c r="M121" s="37" t="n">
        <f aca="false">MAX(L121,M43)</f>
        <v>508.777979642373</v>
      </c>
      <c r="N121" s="37" t="n">
        <f aca="false">MAX(M121,N43)</f>
        <v>874.540485286417</v>
      </c>
      <c r="O121" s="37" t="n">
        <f aca="false">MAX(N121,O43)</f>
        <v>1279.9422713718</v>
      </c>
      <c r="P121" s="37" t="n">
        <f aca="false">MAX(O121,P43)</f>
        <v>1723.97130112299</v>
      </c>
      <c r="Q121" s="37" t="n">
        <f aca="false">MAX(P121,Q43)</f>
        <v>2205.64884076414</v>
      </c>
      <c r="R121" s="37" t="n">
        <f aca="false">MAX(Q121,R43)</f>
        <v>2724.02821866579</v>
      </c>
      <c r="S121" s="37" t="n">
        <f aca="false">MAX(R121,S43)</f>
        <v>3278.19363339329</v>
      </c>
      <c r="T121" s="37" t="n">
        <f aca="false">MAX(S121,T43)</f>
        <v>4042.25900867089</v>
      </c>
      <c r="U121" s="37" t="n">
        <f aca="false">MAX(T121,U43)</f>
        <v>4853.48314335809</v>
      </c>
      <c r="V121" s="37" t="n">
        <f aca="false">MAX(U121,V43)</f>
        <v>5710.96991755081</v>
      </c>
      <c r="W121" s="37" t="n">
        <f aca="false">MAX(V121,W43)</f>
        <v>6613.85009874292</v>
      </c>
      <c r="X121" s="37" t="n">
        <f aca="false">MAX(W121,X43)</f>
        <v>7561.28036449995</v>
      </c>
      <c r="Y121" s="37" t="n">
        <f aca="false">MAX(X121,Y43)</f>
        <v>8552.44236329478</v>
      </c>
      <c r="Z121" s="37" t="n">
        <f aca="false">MAX(Y121,Z43)</f>
        <v>9586.54181196395</v>
      </c>
      <c r="AA121" s="37" t="n">
        <f aca="false">MAX(Z121,AA43)</f>
        <v>10662.8076283068</v>
      </c>
      <c r="AB121" s="37" t="n">
        <f aca="false">MAX(AA121,AB43)</f>
        <v>11780.4910974103</v>
      </c>
      <c r="AC121" s="37" t="n">
        <f aca="false">MAX(AB121,AC43)</f>
        <v>12938.8650703423</v>
      </c>
      <c r="AD121" s="37" t="n">
        <f aca="false">MAX(AC121,AD43)</f>
        <v>14137.2231939081</v>
      </c>
      <c r="AE121" s="37" t="n">
        <f aca="false">MAX(AD121,AE43)</f>
        <v>15374.8791702251</v>
      </c>
      <c r="AF121" s="37" t="n">
        <f aca="false">MAX(AE121,AF43)</f>
        <v>16651.1660449139</v>
      </c>
      <c r="AG121" s="37" t="n">
        <f aca="false">MAX(AF121,AG43)</f>
        <v>17965.4355227609</v>
      </c>
      <c r="AH121" s="37" t="n">
        <f aca="false">MAX(AG121,AH43)</f>
        <v>19317.0573097492</v>
      </c>
      <c r="AI121" s="37" t="n">
        <f aca="false">MAX(AH121,AI43)</f>
        <v>20705.4184804016</v>
      </c>
      <c r="AJ121" s="37" t="n">
        <f aca="false">MAX(AI121,AJ43)</f>
        <v>22129.9228694249</v>
      </c>
      <c r="AK121" s="37" t="n">
        <f aca="false">MAX(AJ121,AK43)</f>
        <v>23589.9904866817</v>
      </c>
      <c r="AL121" s="37" t="n">
        <f aca="false">MAX(AK121,AL43)</f>
        <v>25085.0569545599</v>
      </c>
    </row>
    <row r="122" customFormat="false" ht="15" hidden="false" customHeight="false" outlineLevel="0" collapsed="false">
      <c r="A122" s="9" t="s">
        <v>662</v>
      </c>
      <c r="B122" s="2" t="s">
        <v>552</v>
      </c>
      <c r="C122" s="40" t="n">
        <f aca="false">IF(C112&gt;=0,1,0)</f>
        <v>0</v>
      </c>
      <c r="D122" s="40" t="n">
        <f aca="false">IF(D112&gt;=0,1,0)</f>
        <v>0</v>
      </c>
      <c r="E122" s="40" t="n">
        <f aca="false">IF(E112&gt;=0,1,0)</f>
        <v>0</v>
      </c>
      <c r="F122" s="40" t="n">
        <f aca="false">IF(F112&gt;=0,1,0)</f>
        <v>0</v>
      </c>
      <c r="G122" s="40" t="n">
        <f aca="false">IF(G112&gt;=0,1,0)</f>
        <v>0</v>
      </c>
      <c r="H122" s="40" t="n">
        <f aca="false">IF(H112&gt;=0,1,0)</f>
        <v>0</v>
      </c>
      <c r="I122" s="40" t="n">
        <f aca="false">IF(I112&gt;=0,1,0)</f>
        <v>0</v>
      </c>
      <c r="J122" s="40" t="n">
        <f aca="false">IF(J112&gt;=0,1,0)</f>
        <v>0</v>
      </c>
      <c r="K122" s="40" t="n">
        <f aca="false">IF(K112&gt;=0,1,0)</f>
        <v>0</v>
      </c>
      <c r="L122" s="40" t="n">
        <f aca="false">IF(L112&gt;=0,1,0)</f>
        <v>0</v>
      </c>
      <c r="M122" s="40" t="n">
        <f aca="false">IF(M112&gt;=0,1,0)</f>
        <v>0</v>
      </c>
      <c r="N122" s="40" t="n">
        <f aca="false">IF(N112&gt;=0,1,0)</f>
        <v>0</v>
      </c>
      <c r="O122" s="40" t="n">
        <f aca="false">IF(O112&gt;=0,1,0)</f>
        <v>0</v>
      </c>
      <c r="P122" s="40" t="n">
        <f aca="false">IF(P112&gt;=0,1,0)</f>
        <v>0</v>
      </c>
      <c r="Q122" s="40" t="n">
        <f aca="false">IF(Q112&gt;=0,1,0)</f>
        <v>0</v>
      </c>
      <c r="R122" s="40" t="n">
        <f aca="false">IF(R112&gt;=0,1,0)</f>
        <v>0</v>
      </c>
      <c r="S122" s="40" t="n">
        <f aca="false">IF(S112&gt;=0,1,0)</f>
        <v>0</v>
      </c>
      <c r="T122" s="40" t="n">
        <f aca="false">IF(T112&gt;=0,1,0)</f>
        <v>0</v>
      </c>
      <c r="U122" s="40" t="n">
        <f aca="false">IF(U112&gt;=0,1,0)</f>
        <v>0</v>
      </c>
      <c r="V122" s="40" t="n">
        <f aca="false">IF(V112&gt;=0,1,0)</f>
        <v>0</v>
      </c>
      <c r="W122" s="40" t="n">
        <f aca="false">IF(W112&gt;=0,1,0)</f>
        <v>0</v>
      </c>
      <c r="X122" s="40" t="n">
        <f aca="false">IF(X112&gt;=0,1,0)</f>
        <v>0</v>
      </c>
      <c r="Y122" s="40" t="n">
        <f aca="false">IF(Y112&gt;=0,1,0)</f>
        <v>0</v>
      </c>
      <c r="Z122" s="40" t="n">
        <f aca="false">IF(Z112&gt;=0,1,0)</f>
        <v>0</v>
      </c>
      <c r="AA122" s="40" t="n">
        <f aca="false">IF(AA112&gt;=0,1,0)</f>
        <v>0</v>
      </c>
      <c r="AB122" s="40" t="n">
        <f aca="false">IF(AB112&gt;=0,1,0)</f>
        <v>0</v>
      </c>
      <c r="AC122" s="40" t="n">
        <f aca="false">IF(AC112&gt;=0,1,0)</f>
        <v>0</v>
      </c>
      <c r="AD122" s="40" t="n">
        <f aca="false">IF(AD112&gt;=0,1,0)</f>
        <v>0</v>
      </c>
      <c r="AE122" s="40" t="n">
        <f aca="false">IF(AE112&gt;=0,1,0)</f>
        <v>0</v>
      </c>
      <c r="AF122" s="40" t="n">
        <f aca="false">IF(AF112&gt;=0,1,0)</f>
        <v>0</v>
      </c>
      <c r="AG122" s="40" t="n">
        <f aca="false">IF(AG112&gt;=0,1,0)</f>
        <v>0</v>
      </c>
      <c r="AH122" s="40" t="n">
        <f aca="false">IF(AH112&gt;=0,1,0)</f>
        <v>0</v>
      </c>
      <c r="AI122" s="40" t="n">
        <f aca="false">IF(AI112&gt;=0,1,0)</f>
        <v>0</v>
      </c>
      <c r="AJ122" s="40" t="n">
        <f aca="false">IF(AJ112&gt;=0,1,0)</f>
        <v>0</v>
      </c>
      <c r="AK122" s="40" t="n">
        <f aca="false">IF(AK112&gt;=0,1,0)</f>
        <v>0</v>
      </c>
      <c r="AL122" s="40" t="n">
        <f aca="false">IF(AL112&gt;=0,1,0)</f>
        <v>0</v>
      </c>
    </row>
    <row r="123" customFormat="false" ht="15" hidden="false" customHeight="false" outlineLevel="0" collapsed="false">
      <c r="A123" s="2" t="s">
        <v>663</v>
      </c>
      <c r="B123" s="2" t="s">
        <v>552</v>
      </c>
      <c r="C123" s="40" t="n">
        <f aca="false">IF(AND(C122=1,D123=1),1,0)</f>
        <v>0</v>
      </c>
      <c r="D123" s="40" t="n">
        <f aca="false">IF(AND(D122=1,E123=1),1,0)</f>
        <v>0</v>
      </c>
      <c r="E123" s="40" t="n">
        <f aca="false">IF(AND(E122=1,F123=1),1,0)</f>
        <v>0</v>
      </c>
      <c r="F123" s="40" t="n">
        <f aca="false">IF(AND(F122=1,G123=1),1,0)</f>
        <v>0</v>
      </c>
      <c r="G123" s="40" t="n">
        <f aca="false">IF(AND(G122=1,H123=1),1,0)</f>
        <v>0</v>
      </c>
      <c r="H123" s="40" t="n">
        <f aca="false">IF(AND(H122=1,I123=1),1,0)</f>
        <v>0</v>
      </c>
      <c r="I123" s="40" t="n">
        <f aca="false">IF(AND(I122=1,J123=1),1,0)</f>
        <v>0</v>
      </c>
      <c r="J123" s="40" t="n">
        <f aca="false">IF(AND(J122=1,K123=1),1,0)</f>
        <v>0</v>
      </c>
      <c r="K123" s="40" t="n">
        <f aca="false">IF(AND(K122=1,L123=1),1,0)</f>
        <v>0</v>
      </c>
      <c r="L123" s="40" t="n">
        <f aca="false">IF(AND(L122=1,M123=1),1,0)</f>
        <v>0</v>
      </c>
      <c r="M123" s="40" t="n">
        <f aca="false">IF(AND(M122=1,N123=1),1,0)</f>
        <v>0</v>
      </c>
      <c r="N123" s="40" t="n">
        <f aca="false">IF(AND(N122=1,O123=1),1,0)</f>
        <v>0</v>
      </c>
      <c r="O123" s="40" t="n">
        <f aca="false">IF(AND(O122=1,P123=1),1,0)</f>
        <v>0</v>
      </c>
      <c r="P123" s="40" t="n">
        <f aca="false">IF(AND(P122=1,Q123=1),1,0)</f>
        <v>0</v>
      </c>
      <c r="Q123" s="40" t="n">
        <f aca="false">IF(AND(Q122=1,R123=1),1,0)</f>
        <v>0</v>
      </c>
      <c r="R123" s="40" t="n">
        <f aca="false">IF(AND(R122=1,S123=1),1,0)</f>
        <v>0</v>
      </c>
      <c r="S123" s="40" t="n">
        <f aca="false">IF(AND(S122=1,T123=1),1,0)</f>
        <v>0</v>
      </c>
      <c r="T123" s="40" t="n">
        <f aca="false">IF(AND(T122=1,U123=1),1,0)</f>
        <v>0</v>
      </c>
      <c r="U123" s="40" t="n">
        <f aca="false">IF(AND(U122=1,V123=1),1,0)</f>
        <v>0</v>
      </c>
      <c r="V123" s="40" t="n">
        <f aca="false">IF(AND(V122=1,W123=1),1,0)</f>
        <v>0</v>
      </c>
      <c r="W123" s="40" t="n">
        <f aca="false">IF(AND(W122=1,X123=1),1,0)</f>
        <v>0</v>
      </c>
      <c r="X123" s="40" t="n">
        <f aca="false">IF(AND(X122=1,Y123=1),1,0)</f>
        <v>0</v>
      </c>
      <c r="Y123" s="40" t="n">
        <f aca="false">IF(AND(Y122=1,Z123=1),1,0)</f>
        <v>0</v>
      </c>
      <c r="Z123" s="40" t="n">
        <f aca="false">IF(AND(Z122=1,AA123=1),1,0)</f>
        <v>0</v>
      </c>
      <c r="AA123" s="40" t="n">
        <f aca="false">IF(AND(AA122=1,AB123=1),1,0)</f>
        <v>0</v>
      </c>
      <c r="AB123" s="40" t="n">
        <f aca="false">IF(AND(AB122=1,AC123=1),1,0)</f>
        <v>0</v>
      </c>
      <c r="AC123" s="40" t="n">
        <f aca="false">IF(AND(AC122=1,AD123=1),1,0)</f>
        <v>0</v>
      </c>
      <c r="AD123" s="40" t="n">
        <f aca="false">IF(AND(AD122=1,AE123=1),1,0)</f>
        <v>0</v>
      </c>
      <c r="AE123" s="40" t="n">
        <f aca="false">IF(AND(AE122=1,AF123=1),1,0)</f>
        <v>0</v>
      </c>
      <c r="AF123" s="40" t="n">
        <f aca="false">IF(AND(AF122=1,AG123=1),1,0)</f>
        <v>0</v>
      </c>
      <c r="AG123" s="40" t="n">
        <f aca="false">IF(AND(AG122=1,AH123=1),1,0)</f>
        <v>0</v>
      </c>
      <c r="AH123" s="40" t="n">
        <f aca="false">IF(AND(AH122=1,AI123=1),1,0)</f>
        <v>0</v>
      </c>
      <c r="AI123" s="40" t="n">
        <f aca="false">IF(AND(AI122=1,AJ123=1),1,0)</f>
        <v>0</v>
      </c>
      <c r="AJ123" s="40" t="n">
        <f aca="false">IF(AND(AJ122=1,AK123=1),1,0)</f>
        <v>0</v>
      </c>
      <c r="AK123" s="40" t="n">
        <f aca="false">IF(AND(AK122=1,AL123=1),1,0)</f>
        <v>0</v>
      </c>
      <c r="AL123" s="40" t="n">
        <f aca="false">AL122</f>
        <v>0</v>
      </c>
    </row>
    <row r="124" customFormat="false" ht="15" hidden="false" customHeight="false" outlineLevel="0" collapsed="false">
      <c r="A124" s="9" t="s">
        <v>664</v>
      </c>
      <c r="B124" s="2" t="s">
        <v>146</v>
      </c>
      <c r="C124" s="42" t="n">
        <f aca="false">(C30*Pricing!$B$6*(Assumptions!$C$153+Assumptions!$C$154)*CHOOSE(Assumptions!$C$121,Pricing!$B$23,Pricing!$B$33,Pricing!$B$43)+C31*Pricing!$C$6*(Assumptions!$C$153+Assumptions!$C$154)*CHOOSE(Assumptions!$C$121,Pricing!$C$23,Pricing!$C$33,Pricing!$C$43)+C32*Pricing!$D$6*(Assumptions!$C$153+Assumptions!$C$154)*CHOOSE(Assumptions!$C$121,Pricing!$D$23,Pricing!$D$33,Pricing!$D$43)+C33*Pricing!$E$6*(Assumptions!$C$153+Assumptions!$C$154)*CHOOSE(Assumptions!$C$121,Pricing!$E$23,Pricing!$E$33,Pricing!$E$43))/60+(C22*Assumptions!$D$105+C23*Assumptions!$D$106+C24*Assumptions!$D$107+C25*Assumptions!$D$108)</f>
        <v>0</v>
      </c>
      <c r="D124" s="42" t="n">
        <f aca="false">(D30*Pricing!$B$6*(Assumptions!$C$153+Assumptions!$C$154)*CHOOSE(Assumptions!$C$121,Pricing!$B$23,Pricing!$B$33,Pricing!$B$43)+D31*Pricing!$C$6*(Assumptions!$C$153+Assumptions!$C$154)*CHOOSE(Assumptions!$C$121,Pricing!$C$23,Pricing!$C$33,Pricing!$C$43)+D32*Pricing!$D$6*(Assumptions!$C$153+Assumptions!$C$154)*CHOOSE(Assumptions!$C$121,Pricing!$D$23,Pricing!$D$33,Pricing!$D$43)+D33*Pricing!$E$6*(Assumptions!$C$153+Assumptions!$C$154)*CHOOSE(Assumptions!$C$121,Pricing!$E$23,Pricing!$E$33,Pricing!$E$43))/60+(D22*Assumptions!$D$105+D23*Assumptions!$D$106+D24*Assumptions!$D$107+D25*Assumptions!$D$108)</f>
        <v>0</v>
      </c>
      <c r="E124" s="42" t="n">
        <f aca="false">(E30*Pricing!$B$6*(Assumptions!$C$153+Assumptions!$C$154)*CHOOSE(Assumptions!$C$121,Pricing!$B$23,Pricing!$B$33,Pricing!$B$43)+E31*Pricing!$C$6*(Assumptions!$C$153+Assumptions!$C$154)*CHOOSE(Assumptions!$C$121,Pricing!$C$23,Pricing!$C$33,Pricing!$C$43)+E32*Pricing!$D$6*(Assumptions!$C$153+Assumptions!$C$154)*CHOOSE(Assumptions!$C$121,Pricing!$D$23,Pricing!$D$33,Pricing!$D$43)+E33*Pricing!$E$6*(Assumptions!$C$153+Assumptions!$C$154)*CHOOSE(Assumptions!$C$121,Pricing!$E$23,Pricing!$E$33,Pricing!$E$43))/60+(E22*Assumptions!$D$105+E23*Assumptions!$D$106+E24*Assumptions!$D$107+E25*Assumptions!$D$108)</f>
        <v>0</v>
      </c>
      <c r="F124" s="42" t="n">
        <f aca="false">(F30*Pricing!$B$6*(Assumptions!$C$153+Assumptions!$C$154)*CHOOSE(Assumptions!$C$121,Pricing!$B$23,Pricing!$B$33,Pricing!$B$43)+F31*Pricing!$C$6*(Assumptions!$C$153+Assumptions!$C$154)*CHOOSE(Assumptions!$C$121,Pricing!$C$23,Pricing!$C$33,Pricing!$C$43)+F32*Pricing!$D$6*(Assumptions!$C$153+Assumptions!$C$154)*CHOOSE(Assumptions!$C$121,Pricing!$D$23,Pricing!$D$33,Pricing!$D$43)+F33*Pricing!$E$6*(Assumptions!$C$153+Assumptions!$C$154)*CHOOSE(Assumptions!$C$121,Pricing!$E$23,Pricing!$E$33,Pricing!$E$43))/60+(F22*Assumptions!$D$105+F23*Assumptions!$D$106+F24*Assumptions!$D$107+F25*Assumptions!$D$108)</f>
        <v>0</v>
      </c>
      <c r="G124" s="42" t="n">
        <f aca="false">(G30*Pricing!$B$6*(Assumptions!$C$153+Assumptions!$C$154)*CHOOSE(Assumptions!$C$121,Pricing!$B$23,Pricing!$B$33,Pricing!$B$43)+G31*Pricing!$C$6*(Assumptions!$C$153+Assumptions!$C$154)*CHOOSE(Assumptions!$C$121,Pricing!$C$23,Pricing!$C$33,Pricing!$C$43)+G32*Pricing!$D$6*(Assumptions!$C$153+Assumptions!$C$154)*CHOOSE(Assumptions!$C$121,Pricing!$D$23,Pricing!$D$33,Pricing!$D$43)+G33*Pricing!$E$6*(Assumptions!$C$153+Assumptions!$C$154)*CHOOSE(Assumptions!$C$121,Pricing!$E$23,Pricing!$E$33,Pricing!$E$43))/60+(G22*Assumptions!$D$105+G23*Assumptions!$D$106+G24*Assumptions!$D$107+G25*Assumptions!$D$108)</f>
        <v>0</v>
      </c>
      <c r="H124" s="42" t="n">
        <f aca="false">(H30*Pricing!$B$6*(Assumptions!$C$153+Assumptions!$C$154)*CHOOSE(Assumptions!$C$121,Pricing!$B$23,Pricing!$B$33,Pricing!$B$43)+H31*Pricing!$C$6*(Assumptions!$C$153+Assumptions!$C$154)*CHOOSE(Assumptions!$C$121,Pricing!$C$23,Pricing!$C$33,Pricing!$C$43)+H32*Pricing!$D$6*(Assumptions!$C$153+Assumptions!$C$154)*CHOOSE(Assumptions!$C$121,Pricing!$D$23,Pricing!$D$33,Pricing!$D$43)+H33*Pricing!$E$6*(Assumptions!$C$153+Assumptions!$C$154)*CHOOSE(Assumptions!$C$121,Pricing!$E$23,Pricing!$E$33,Pricing!$E$43))/60+(H22*Assumptions!$D$105+H23*Assumptions!$D$106+H24*Assumptions!$D$107+H25*Assumptions!$D$108)</f>
        <v>0</v>
      </c>
      <c r="I124" s="42" t="n">
        <f aca="false">(I30*Pricing!$B$6*(Assumptions!$C$153+Assumptions!$C$154)*CHOOSE(Assumptions!$C$121,Pricing!$B$23,Pricing!$B$33,Pricing!$B$43)+I31*Pricing!$C$6*(Assumptions!$C$153+Assumptions!$C$154)*CHOOSE(Assumptions!$C$121,Pricing!$C$23,Pricing!$C$33,Pricing!$C$43)+I32*Pricing!$D$6*(Assumptions!$C$153+Assumptions!$C$154)*CHOOSE(Assumptions!$C$121,Pricing!$D$23,Pricing!$D$33,Pricing!$D$43)+I33*Pricing!$E$6*(Assumptions!$C$153+Assumptions!$C$154)*CHOOSE(Assumptions!$C$121,Pricing!$E$23,Pricing!$E$33,Pricing!$E$43))/60+(I22*Assumptions!$D$105+I23*Assumptions!$D$106+I24*Assumptions!$D$107+I25*Assumptions!$D$108)</f>
        <v>0</v>
      </c>
      <c r="J124" s="42" t="n">
        <f aca="false">(J30*Pricing!$B$6*(Assumptions!$C$153+Assumptions!$C$154)*CHOOSE(Assumptions!$C$121,Pricing!$B$23,Pricing!$B$33,Pricing!$B$43)+J31*Pricing!$C$6*(Assumptions!$C$153+Assumptions!$C$154)*CHOOSE(Assumptions!$C$121,Pricing!$C$23,Pricing!$C$33,Pricing!$C$43)+J32*Pricing!$D$6*(Assumptions!$C$153+Assumptions!$C$154)*CHOOSE(Assumptions!$C$121,Pricing!$D$23,Pricing!$D$33,Pricing!$D$43)+J33*Pricing!$E$6*(Assumptions!$C$153+Assumptions!$C$154)*CHOOSE(Assumptions!$C$121,Pricing!$E$23,Pricing!$E$33,Pricing!$E$43))/60+(J22*Assumptions!$D$105+J23*Assumptions!$D$106+J24*Assumptions!$D$107+J25*Assumptions!$D$108)</f>
        <v>0</v>
      </c>
      <c r="K124" s="42" t="n">
        <f aca="false">(K30*Pricing!$B$6*(Assumptions!$C$153+Assumptions!$C$154)*CHOOSE(Assumptions!$C$121,Pricing!$B$23,Pricing!$B$33,Pricing!$B$43)+K31*Pricing!$C$6*(Assumptions!$C$153+Assumptions!$C$154)*CHOOSE(Assumptions!$C$121,Pricing!$C$23,Pricing!$C$33,Pricing!$C$43)+K32*Pricing!$D$6*(Assumptions!$C$153+Assumptions!$C$154)*CHOOSE(Assumptions!$C$121,Pricing!$D$23,Pricing!$D$33,Pricing!$D$43)+K33*Pricing!$E$6*(Assumptions!$C$153+Assumptions!$C$154)*CHOOSE(Assumptions!$C$121,Pricing!$E$23,Pricing!$E$33,Pricing!$E$43))/60+(K22*Assumptions!$D$105+K23*Assumptions!$D$106+K24*Assumptions!$D$107+K25*Assumptions!$D$108)</f>
        <v>2.02726666666667</v>
      </c>
      <c r="L124" s="42" t="n">
        <f aca="false">(L30*Pricing!$B$6*(Assumptions!$C$153+Assumptions!$C$154)*CHOOSE(Assumptions!$C$121,Pricing!$B$23,Pricing!$B$33,Pricing!$B$43)+L31*Pricing!$C$6*(Assumptions!$C$153+Assumptions!$C$154)*CHOOSE(Assumptions!$C$121,Pricing!$C$23,Pricing!$C$33,Pricing!$C$43)+L32*Pricing!$D$6*(Assumptions!$C$153+Assumptions!$C$154)*CHOOSE(Assumptions!$C$121,Pricing!$D$23,Pricing!$D$33,Pricing!$D$43)+L33*Pricing!$E$6*(Assumptions!$C$153+Assumptions!$C$154)*CHOOSE(Assumptions!$C$121,Pricing!$E$23,Pricing!$E$33,Pricing!$E$43))/60+(L22*Assumptions!$D$105+L23*Assumptions!$D$106+L24*Assumptions!$D$107+L25*Assumptions!$D$108)</f>
        <v>5.93984077777778</v>
      </c>
      <c r="M124" s="42" t="n">
        <f aca="false">(M30*Pricing!$B$6*(Assumptions!$C$153+Assumptions!$C$154)*CHOOSE(Assumptions!$C$121,Pricing!$B$23,Pricing!$B$33,Pricing!$B$43)+M31*Pricing!$C$6*(Assumptions!$C$153+Assumptions!$C$154)*CHOOSE(Assumptions!$C$121,Pricing!$C$23,Pricing!$C$33,Pricing!$C$43)+M32*Pricing!$D$6*(Assumptions!$C$153+Assumptions!$C$154)*CHOOSE(Assumptions!$C$121,Pricing!$D$23,Pricing!$D$33,Pricing!$D$43)+M33*Pricing!$E$6*(Assumptions!$C$153+Assumptions!$C$154)*CHOOSE(Assumptions!$C$121,Pricing!$E$23,Pricing!$E$33,Pricing!$E$43))/60+(M22*Assumptions!$D$105+M23*Assumptions!$D$106+M24*Assumptions!$D$107+M25*Assumptions!$D$108)</f>
        <v>9.77557238722222</v>
      </c>
      <c r="N124" s="42" t="n">
        <f aca="false">(N30*Pricing!$B$6*(Assumptions!$C$153+Assumptions!$C$154)*CHOOSE(Assumptions!$C$121,Pricing!$B$23,Pricing!$B$33,Pricing!$B$43)+N31*Pricing!$C$6*(Assumptions!$C$153+Assumptions!$C$154)*CHOOSE(Assumptions!$C$121,Pricing!$C$23,Pricing!$C$33,Pricing!$C$43)+N32*Pricing!$D$6*(Assumptions!$C$153+Assumptions!$C$154)*CHOOSE(Assumptions!$C$121,Pricing!$D$23,Pricing!$D$33,Pricing!$D$43)+N33*Pricing!$E$6*(Assumptions!$C$153+Assumptions!$C$154)*CHOOSE(Assumptions!$C$121,Pricing!$E$23,Pricing!$E$33,Pricing!$E$43))/60+(N22*Assumptions!$D$105+N23*Assumptions!$D$106+N24*Assumptions!$D$107+N25*Assumptions!$D$108)</f>
        <v>15.7415414631306</v>
      </c>
      <c r="O124" s="42" t="n">
        <f aca="false">(O30*Pricing!$B$6*(Assumptions!$C$153+Assumptions!$C$154)*CHOOSE(Assumptions!$C$121,Pricing!$B$23,Pricing!$B$33,Pricing!$B$43)+O31*Pricing!$C$6*(Assumptions!$C$153+Assumptions!$C$154)*CHOOSE(Assumptions!$C$121,Pricing!$C$23,Pricing!$C$33,Pricing!$C$43)+O32*Pricing!$D$6*(Assumptions!$C$153+Assumptions!$C$154)*CHOOSE(Assumptions!$C$121,Pricing!$D$23,Pricing!$D$33,Pricing!$D$43)+O33*Pricing!$E$6*(Assumptions!$C$153+Assumptions!$C$154)*CHOOSE(Assumptions!$C$121,Pricing!$E$23,Pricing!$E$33,Pricing!$E$43))/60+(O22*Assumptions!$D$105+O23*Assumptions!$D$106+O24*Assumptions!$D$107+O25*Assumptions!$D$108)</f>
        <v>21.5270889364564</v>
      </c>
      <c r="P124" s="42" t="n">
        <f aca="false">(P30*Pricing!$B$6*(Assumptions!$C$153+Assumptions!$C$154)*CHOOSE(Assumptions!$C$121,Pricing!$B$23,Pricing!$B$33,Pricing!$B$43)+P31*Pricing!$C$6*(Assumptions!$C$153+Assumptions!$C$154)*CHOOSE(Assumptions!$C$121,Pricing!$C$23,Pricing!$C$33,Pricing!$C$43)+P32*Pricing!$D$6*(Assumptions!$C$153+Assumptions!$C$154)*CHOOSE(Assumptions!$C$121,Pricing!$D$23,Pricing!$D$33,Pricing!$D$43)+P33*Pricing!$E$6*(Assumptions!$C$153+Assumptions!$C$154)*CHOOSE(Assumptions!$C$121,Pricing!$E$23,Pricing!$E$33,Pricing!$E$43))/60+(P22*Assumptions!$D$105+P23*Assumptions!$D$106+P24*Assumptions!$D$107+P25*Assumptions!$D$108)</f>
        <v>27.7957869941117</v>
      </c>
      <c r="Q124" s="42" t="n">
        <f aca="false">(Q30*Pricing!$B$6*(Assumptions!$C$153+Assumptions!$C$154)*CHOOSE(Assumptions!$C$121,Pricing!$B$23,Pricing!$B$33,Pricing!$B$43)+Q31*Pricing!$C$6*(Assumptions!$C$153+Assumptions!$C$154)*CHOOSE(Assumptions!$C$121,Pricing!$C$23,Pricing!$C$33,Pricing!$C$43)+Q32*Pricing!$D$6*(Assumptions!$C$153+Assumptions!$C$154)*CHOOSE(Assumptions!$C$121,Pricing!$D$23,Pricing!$D$33,Pricing!$D$43)+Q33*Pricing!$E$6*(Assumptions!$C$153+Assumptions!$C$154)*CHOOSE(Assumptions!$C$121,Pricing!$E$23,Pricing!$E$33,Pricing!$E$43))/60+(Q22*Assumptions!$D$105+Q23*Assumptions!$D$106+Q24*Assumptions!$D$107+Q25*Assumptions!$D$108)</f>
        <v>34.5318115806796</v>
      </c>
      <c r="R124" s="42" t="n">
        <f aca="false">(R30*Pricing!$B$6*(Assumptions!$C$153+Assumptions!$C$154)*CHOOSE(Assumptions!$C$121,Pricing!$B$23,Pricing!$B$33,Pricing!$B$43)+R31*Pricing!$C$6*(Assumptions!$C$153+Assumptions!$C$154)*CHOOSE(Assumptions!$C$121,Pricing!$C$23,Pricing!$C$33,Pricing!$C$43)+R32*Pricing!$D$6*(Assumptions!$C$153+Assumptions!$C$154)*CHOOSE(Assumptions!$C$121,Pricing!$D$23,Pricing!$D$33,Pricing!$D$43)+R33*Pricing!$E$6*(Assumptions!$C$153+Assumptions!$C$154)*CHOOSE(Assumptions!$C$121,Pricing!$E$23,Pricing!$E$33,Pricing!$E$43))/60+(R22*Assumptions!$D$105+R23*Assumptions!$D$106+R24*Assumptions!$D$107+R25*Assumptions!$D$108)</f>
        <v>41.7199188260774</v>
      </c>
      <c r="S124" s="42" t="n">
        <f aca="false">(S30*Pricing!$B$6*(Assumptions!$C$153+Assumptions!$C$154)*CHOOSE(Assumptions!$C$121,Pricing!$B$23,Pricing!$B$33,Pricing!$B$43)+S31*Pricing!$C$6*(Assumptions!$C$153+Assumptions!$C$154)*CHOOSE(Assumptions!$C$121,Pricing!$C$23,Pricing!$C$33,Pricing!$C$43)+S32*Pricing!$D$6*(Assumptions!$C$153+Assumptions!$C$154)*CHOOSE(Assumptions!$C$121,Pricing!$D$23,Pricing!$D$33,Pricing!$D$43)+S33*Pricing!$E$6*(Assumptions!$C$153+Assumptions!$C$154)*CHOOSE(Assumptions!$C$121,Pricing!$E$23,Pricing!$E$33,Pricing!$E$43))/60+(S22*Assumptions!$D$105+S23*Assumptions!$D$106+S24*Assumptions!$D$107+S25*Assumptions!$D$108)</f>
        <v>49.3454224252707</v>
      </c>
      <c r="T124" s="42" t="n">
        <f aca="false">(T30*Pricing!$B$6*(Assumptions!$C$153+Assumptions!$C$154)*CHOOSE(Assumptions!$C$121,Pricing!$B$23,Pricing!$B$33,Pricing!$B$43)+T31*Pricing!$C$6*(Assumptions!$C$153+Assumptions!$C$154)*CHOOSE(Assumptions!$C$121,Pricing!$C$23,Pricing!$C$33,Pricing!$C$43)+T32*Pricing!$D$6*(Assumptions!$C$153+Assumptions!$C$154)*CHOOSE(Assumptions!$C$121,Pricing!$D$23,Pricing!$D$33,Pricing!$D$43)+T33*Pricing!$E$6*(Assumptions!$C$153+Assumptions!$C$154)*CHOOSE(Assumptions!$C$121,Pricing!$E$23,Pricing!$E$33,Pricing!$E$43))/60+(T22*Assumptions!$D$105+T23*Assumptions!$D$106+T24*Assumptions!$D$107+T25*Assumptions!$D$108)</f>
        <v>60.7334024863</v>
      </c>
      <c r="U124" s="42" t="n">
        <f aca="false">(U30*Pricing!$B$6*(Assumptions!$C$153+Assumptions!$C$154)*CHOOSE(Assumptions!$C$121,Pricing!$B$23,Pricing!$B$33,Pricing!$B$43)+U31*Pricing!$C$6*(Assumptions!$C$153+Assumptions!$C$154)*CHOOSE(Assumptions!$C$121,Pricing!$C$23,Pricing!$C$33,Pricing!$C$43)+U32*Pricing!$D$6*(Assumptions!$C$153+Assumptions!$C$154)*CHOOSE(Assumptions!$C$121,Pricing!$D$23,Pricing!$D$33,Pricing!$D$43)+U33*Pricing!$E$6*(Assumptions!$C$153+Assumptions!$C$154)*CHOOSE(Assumptions!$C$121,Pricing!$E$23,Pricing!$E$33,Pricing!$E$43))/60+(U22*Assumptions!$D$105+U23*Assumptions!$D$106+U24*Assumptions!$D$107+U25*Assumptions!$D$108)</f>
        <v>71.2797391700819</v>
      </c>
      <c r="V124" s="42" t="n">
        <f aca="false">(V30*Pricing!$B$6*(Assumptions!$C$153+Assumptions!$C$154)*CHOOSE(Assumptions!$C$121,Pricing!$B$23,Pricing!$B$33,Pricing!$B$43)+V31*Pricing!$C$6*(Assumptions!$C$153+Assumptions!$C$154)*CHOOSE(Assumptions!$C$121,Pricing!$C$23,Pricing!$C$33,Pricing!$C$43)+V32*Pricing!$D$6*(Assumptions!$C$153+Assumptions!$C$154)*CHOOSE(Assumptions!$C$121,Pricing!$D$23,Pricing!$D$33,Pricing!$D$43)+V33*Pricing!$E$6*(Assumptions!$C$153+Assumptions!$C$154)*CHOOSE(Assumptions!$C$121,Pricing!$E$23,Pricing!$E$33,Pricing!$E$43))/60+(V22*Assumptions!$D$105+V23*Assumptions!$D$106+V24*Assumptions!$D$107+V25*Assumptions!$D$108)</f>
        <v>82.350004624528</v>
      </c>
      <c r="W124" s="42" t="n">
        <f aca="false">(W30*Pricing!$B$6*(Assumptions!$C$153+Assumptions!$C$154)*CHOOSE(Assumptions!$C$121,Pricing!$B$23,Pricing!$B$33,Pricing!$B$43)+W31*Pricing!$C$6*(Assumptions!$C$153+Assumptions!$C$154)*CHOOSE(Assumptions!$C$121,Pricing!$C$23,Pricing!$C$33,Pricing!$C$43)+W32*Pricing!$D$6*(Assumptions!$C$153+Assumptions!$C$154)*CHOOSE(Assumptions!$C$121,Pricing!$D$23,Pricing!$D$33,Pricing!$D$43)+W33*Pricing!$E$6*(Assumptions!$C$153+Assumptions!$C$154)*CHOOSE(Assumptions!$C$121,Pricing!$E$23,Pricing!$E$33,Pricing!$E$43))/60+(W22*Assumptions!$D$105+W23*Assumptions!$D$106+W24*Assumptions!$D$107+W25*Assumptions!$D$108)</f>
        <v>93.9302597149804</v>
      </c>
      <c r="X124" s="42" t="n">
        <f aca="false">(X30*Pricing!$B$6*(Assumptions!$C$153+Assumptions!$C$154)*CHOOSE(Assumptions!$C$121,Pricing!$B$23,Pricing!$B$33,Pricing!$B$43)+X31*Pricing!$C$6*(Assumptions!$C$153+Assumptions!$C$154)*CHOOSE(Assumptions!$C$121,Pricing!$C$23,Pricing!$C$33,Pricing!$C$43)+X32*Pricing!$D$6*(Assumptions!$C$153+Assumptions!$C$154)*CHOOSE(Assumptions!$C$121,Pricing!$D$23,Pricing!$D$33,Pricing!$D$43)+X33*Pricing!$E$6*(Assumptions!$C$153+Assumptions!$C$154)*CHOOSE(Assumptions!$C$121,Pricing!$E$23,Pricing!$E$33,Pricing!$E$43))/60+(X22*Assumptions!$D$105+X23*Assumptions!$D$106+X24*Assumptions!$D$107+X25*Assumptions!$D$108)</f>
        <v>106.007035477935</v>
      </c>
      <c r="Y124" s="42" t="n">
        <f aca="false">(Y30*Pricing!$B$6*(Assumptions!$C$153+Assumptions!$C$154)*CHOOSE(Assumptions!$C$121,Pricing!$B$23,Pricing!$B$33,Pricing!$B$43)+Y31*Pricing!$C$6*(Assumptions!$C$153+Assumptions!$C$154)*CHOOSE(Assumptions!$C$121,Pricing!$C$23,Pricing!$C$33,Pricing!$C$43)+Y32*Pricing!$D$6*(Assumptions!$C$153+Assumptions!$C$154)*CHOOSE(Assumptions!$C$121,Pricing!$D$23,Pricing!$D$33,Pricing!$D$43)+Y33*Pricing!$E$6*(Assumptions!$C$153+Assumptions!$C$154)*CHOOSE(Assumptions!$C$121,Pricing!$E$23,Pricing!$E$33,Pricing!$E$43))/60+(Y22*Assumptions!$D$105+Y23*Assumptions!$D$106+Y24*Assumptions!$D$107+Y25*Assumptions!$D$108)</f>
        <v>118.567315315693</v>
      </c>
      <c r="Z124" s="42" t="n">
        <f aca="false">(Z30*Pricing!$B$6*(Assumptions!$C$153+Assumptions!$C$154)*CHOOSE(Assumptions!$C$121,Pricing!$B$23,Pricing!$B$33,Pricing!$B$43)+Z31*Pricing!$C$6*(Assumptions!$C$153+Assumptions!$C$154)*CHOOSE(Assumptions!$C$121,Pricing!$C$23,Pricing!$C$33,Pricing!$C$43)+Z32*Pricing!$D$6*(Assumptions!$C$153+Assumptions!$C$154)*CHOOSE(Assumptions!$C$121,Pricing!$D$23,Pricing!$D$33,Pricing!$D$43)+Z33*Pricing!$E$6*(Assumptions!$C$153+Assumptions!$C$154)*CHOOSE(Assumptions!$C$121,Pricing!$E$23,Pricing!$E$33,Pricing!$E$43))/60+(Z22*Assumptions!$D$105+Z23*Assumptions!$D$106+Z24*Assumptions!$D$107+Z25*Assumptions!$D$108)</f>
        <v>131.598517901537</v>
      </c>
      <c r="AA124" s="42" t="n">
        <f aca="false">(AA30*Pricing!$B$6*(Assumptions!$C$153+Assumptions!$C$154)*CHOOSE(Assumptions!$C$121,Pricing!$B$23,Pricing!$B$33,Pricing!$B$43)+AA31*Pricing!$C$6*(Assumptions!$C$153+Assumptions!$C$154)*CHOOSE(Assumptions!$C$121,Pricing!$C$23,Pricing!$C$33,Pricing!$C$43)+AA32*Pricing!$D$6*(Assumptions!$C$153+Assumptions!$C$154)*CHOOSE(Assumptions!$C$121,Pricing!$D$23,Pricing!$D$33,Pricing!$D$43)+AA33*Pricing!$E$6*(Assumptions!$C$153+Assumptions!$C$154)*CHOOSE(Assumptions!$C$121,Pricing!$E$23,Pricing!$E$33,Pricing!$E$43))/60+(AA22*Assumptions!$D$105+AA23*Assumptions!$D$106+AA24*Assumptions!$D$107+AA25*Assumptions!$D$108)</f>
        <v>145.088480766278</v>
      </c>
      <c r="AB124" s="42" t="n">
        <f aca="false">(AB30*Pricing!$B$6*(Assumptions!$C$153+Assumptions!$C$154)*CHOOSE(Assumptions!$C$121,Pricing!$B$23,Pricing!$B$33,Pricing!$B$43)+AB31*Pricing!$C$6*(Assumptions!$C$153+Assumptions!$C$154)*CHOOSE(Assumptions!$C$121,Pricing!$C$23,Pricing!$C$33,Pricing!$C$43)+AB32*Pricing!$D$6*(Assumptions!$C$153+Assumptions!$C$154)*CHOOSE(Assumptions!$C$121,Pricing!$D$23,Pricing!$D$33,Pricing!$D$43)+AB33*Pricing!$E$6*(Assumptions!$C$153+Assumptions!$C$154)*CHOOSE(Assumptions!$C$121,Pricing!$E$23,Pricing!$E$33,Pricing!$E$43))/60+(AB22*Assumptions!$D$105+AB23*Assumptions!$D$106+AB24*Assumptions!$D$107+AB25*Assumptions!$D$108)</f>
        <v>159.025444538257</v>
      </c>
      <c r="AC124" s="42" t="n">
        <f aca="false">(AC30*Pricing!$B$6*(Assumptions!$C$153+Assumptions!$C$154)*CHOOSE(Assumptions!$C$121,Pricing!$B$23,Pricing!$B$33,Pricing!$B$43)+AC31*Pricing!$C$6*(Assumptions!$C$153+Assumptions!$C$154)*CHOOSE(Assumptions!$C$121,Pricing!$C$23,Pricing!$C$33,Pricing!$C$43)+AC32*Pricing!$D$6*(Assumptions!$C$153+Assumptions!$C$154)*CHOOSE(Assumptions!$C$121,Pricing!$D$23,Pricing!$D$33,Pricing!$D$43)+AC33*Pricing!$E$6*(Assumptions!$C$153+Assumptions!$C$154)*CHOOSE(Assumptions!$C$121,Pricing!$E$23,Pricing!$E$33,Pricing!$E$43))/60+(AC22*Assumptions!$D$105+AC23*Assumptions!$D$106+AC24*Assumptions!$D$107+AC25*Assumptions!$D$108)</f>
        <v>173.398037810041</v>
      </c>
      <c r="AD124" s="42" t="n">
        <f aca="false">(AD30*Pricing!$B$6*(Assumptions!$C$153+Assumptions!$C$154)*CHOOSE(Assumptions!$C$121,Pricing!$B$23,Pricing!$B$33,Pricing!$B$43)+AD31*Pricing!$C$6*(Assumptions!$C$153+Assumptions!$C$154)*CHOOSE(Assumptions!$C$121,Pricing!$C$23,Pricing!$C$33,Pricing!$C$43)+AD32*Pricing!$D$6*(Assumptions!$C$153+Assumptions!$C$154)*CHOOSE(Assumptions!$C$121,Pricing!$D$23,Pricing!$D$33,Pricing!$D$43)+AD33*Pricing!$E$6*(Assumptions!$C$153+Assumptions!$C$154)*CHOOSE(Assumptions!$C$121,Pricing!$E$23,Pricing!$E$33,Pricing!$E$43))/60+(AD22*Assumptions!$D$105+AD23*Assumptions!$D$106+AD24*Assumptions!$D$107+AD25*Assumptions!$D$108)</f>
        <v>188.195262606171</v>
      </c>
      <c r="AE124" s="42" t="n">
        <f aca="false">(AE30*Pricing!$B$6*(Assumptions!$C$153+Assumptions!$C$154)*CHOOSE(Assumptions!$C$121,Pricing!$B$23,Pricing!$B$33,Pricing!$B$43)+AE31*Pricing!$C$6*(Assumptions!$C$153+Assumptions!$C$154)*CHOOSE(Assumptions!$C$121,Pricing!$C$23,Pricing!$C$33,Pricing!$C$43)+AE32*Pricing!$D$6*(Assumptions!$C$153+Assumptions!$C$154)*CHOOSE(Assumptions!$C$121,Pricing!$D$23,Pricing!$D$33,Pricing!$D$43)+AE33*Pricing!$E$6*(Assumptions!$C$153+Assumptions!$C$154)*CHOOSE(Assumptions!$C$121,Pricing!$E$23,Pricing!$E$33,Pricing!$E$43))/60+(AE22*Assumptions!$D$105+AE23*Assumptions!$D$106+AE24*Assumptions!$D$107+AE25*Assumptions!$D$108)</f>
        <v>203.406480427378</v>
      </c>
      <c r="AF124" s="42" t="n">
        <f aca="false">(AF30*Pricing!$B$6*(Assumptions!$C$153+Assumptions!$C$154)*CHOOSE(Assumptions!$C$121,Pricing!$B$23,Pricing!$B$33,Pricing!$B$43)+AF31*Pricing!$C$6*(Assumptions!$C$153+Assumptions!$C$154)*CHOOSE(Assumptions!$C$121,Pricing!$C$23,Pricing!$C$33,Pricing!$C$43)+AF32*Pricing!$D$6*(Assumptions!$C$153+Assumptions!$C$154)*CHOOSE(Assumptions!$C$121,Pricing!$D$23,Pricing!$D$33,Pricing!$D$43)+AF33*Pricing!$E$6*(Assumptions!$C$153+Assumptions!$C$154)*CHOOSE(Assumptions!$C$121,Pricing!$E$23,Pricing!$E$33,Pricing!$E$43))/60+(AF22*Assumptions!$D$105+AF23*Assumptions!$D$106+AF24*Assumptions!$D$107+AF25*Assumptions!$D$108)</f>
        <v>219.021398847735</v>
      </c>
      <c r="AG124" s="42" t="n">
        <f aca="false">(AG30*Pricing!$B$6*(Assumptions!$C$153+Assumptions!$C$154)*CHOOSE(Assumptions!$C$121,Pricing!$B$23,Pricing!$B$33,Pricing!$B$43)+AG31*Pricing!$C$6*(Assumptions!$C$153+Assumptions!$C$154)*CHOOSE(Assumptions!$C$121,Pricing!$C$23,Pricing!$C$33,Pricing!$C$43)+AG32*Pricing!$D$6*(Assumptions!$C$153+Assumptions!$C$154)*CHOOSE(Assumptions!$C$121,Pricing!$D$23,Pricing!$D$33,Pricing!$D$43)+AG33*Pricing!$E$6*(Assumptions!$C$153+Assumptions!$C$154)*CHOOSE(Assumptions!$C$121,Pricing!$E$23,Pricing!$E$33,Pricing!$E$43))/60+(AG22*Assumptions!$D$105+AG23*Assumptions!$D$106+AG24*Assumptions!$D$107+AG25*Assumptions!$D$108)</f>
        <v>235.030058642151</v>
      </c>
      <c r="AH124" s="42" t="n">
        <f aca="false">(AH30*Pricing!$B$6*(Assumptions!$C$153+Assumptions!$C$154)*CHOOSE(Assumptions!$C$121,Pricing!$B$23,Pricing!$B$33,Pricing!$B$43)+AH31*Pricing!$C$6*(Assumptions!$C$153+Assumptions!$C$154)*CHOOSE(Assumptions!$C$121,Pricing!$C$23,Pricing!$C$33,Pricing!$C$43)+AH32*Pricing!$D$6*(Assumptions!$C$153+Assumptions!$C$154)*CHOOSE(Assumptions!$C$121,Pricing!$D$23,Pricing!$D$33,Pricing!$D$43)+AH33*Pricing!$E$6*(Assumptions!$C$153+Assumptions!$C$154)*CHOOSE(Assumptions!$C$121,Pricing!$E$23,Pricing!$E$33,Pricing!$E$43))/60+(AH22*Assumptions!$D$105+AH23*Assumptions!$D$106+AH24*Assumptions!$D$107+AH25*Assumptions!$D$108)</f>
        <v>251.422821422599</v>
      </c>
      <c r="AI124" s="42" t="n">
        <f aca="false">(AI30*Pricing!$B$6*(Assumptions!$C$153+Assumptions!$C$154)*CHOOSE(Assumptions!$C$121,Pricing!$B$23,Pricing!$B$33,Pricing!$B$43)+AI31*Pricing!$C$6*(Assumptions!$C$153+Assumptions!$C$154)*CHOOSE(Assumptions!$C$121,Pricing!$C$23,Pricing!$C$33,Pricing!$C$43)+AI32*Pricing!$D$6*(Assumptions!$C$153+Assumptions!$C$154)*CHOOSE(Assumptions!$C$121,Pricing!$D$23,Pricing!$D$33,Pricing!$D$43)+AI33*Pricing!$E$6*(Assumptions!$C$153+Assumptions!$C$154)*CHOOSE(Assumptions!$C$121,Pricing!$E$23,Pricing!$E$33,Pricing!$E$43))/60+(AI22*Assumptions!$D$105+AI23*Assumptions!$D$106+AI24*Assumptions!$D$107+AI25*Assumptions!$D$108)</f>
        <v>268.190357762329</v>
      </c>
      <c r="AJ124" s="42" t="n">
        <f aca="false">(AJ30*Pricing!$B$6*(Assumptions!$C$153+Assumptions!$C$154)*CHOOSE(Assumptions!$C$121,Pricing!$B$23,Pricing!$B$33,Pricing!$B$43)+AJ31*Pricing!$C$6*(Assumptions!$C$153+Assumptions!$C$154)*CHOOSE(Assumptions!$C$121,Pricing!$C$23,Pricing!$C$33,Pricing!$C$43)+AJ32*Pricing!$D$6*(Assumptions!$C$153+Assumptions!$C$154)*CHOOSE(Assumptions!$C$121,Pricing!$D$23,Pricing!$D$33,Pricing!$D$43)+AJ33*Pricing!$E$6*(Assumptions!$C$153+Assumptions!$C$154)*CHOOSE(Assumptions!$C$121,Pricing!$E$23,Pricing!$E$33,Pricing!$E$43))/60+(AJ22*Assumptions!$D$105+AJ23*Assumptions!$D$106+AJ24*Assumptions!$D$107+AJ25*Assumptions!$D$108)</f>
        <v>285.323635788198</v>
      </c>
      <c r="AK124" s="42" t="n">
        <f aca="false">(AK30*Pricing!$B$6*(Assumptions!$C$153+Assumptions!$C$154)*CHOOSE(Assumptions!$C$121,Pricing!$B$23,Pricing!$B$33,Pricing!$B$43)+AK31*Pricing!$C$6*(Assumptions!$C$153+Assumptions!$C$154)*CHOOSE(Assumptions!$C$121,Pricing!$C$23,Pricing!$C$33,Pricing!$C$43)+AK32*Pricing!$D$6*(Assumptions!$C$153+Assumptions!$C$154)*CHOOSE(Assumptions!$C$121,Pricing!$D$23,Pricing!$D$33,Pricing!$D$43)+AK33*Pricing!$E$6*(Assumptions!$C$153+Assumptions!$C$154)*CHOOSE(Assumptions!$C$121,Pricing!$E$23,Pricing!$E$33,Pricing!$E$43))/60+(AK22*Assumptions!$D$105+AK23*Assumptions!$D$106+AK24*Assumptions!$D$107+AK25*Assumptions!$D$108)</f>
        <v>302.813910222089</v>
      </c>
      <c r="AL124" s="42" t="n">
        <f aca="false">(AL30*Pricing!$B$6*(Assumptions!$C$153+Assumptions!$C$154)*CHOOSE(Assumptions!$C$121,Pricing!$B$23,Pricing!$B$33,Pricing!$B$43)+AL31*Pricing!$C$6*(Assumptions!$C$153+Assumptions!$C$154)*CHOOSE(Assumptions!$C$121,Pricing!$C$23,Pricing!$C$33,Pricing!$C$43)+AL32*Pricing!$D$6*(Assumptions!$C$153+Assumptions!$C$154)*CHOOSE(Assumptions!$C$121,Pricing!$D$23,Pricing!$D$33,Pricing!$D$43)+AL33*Pricing!$E$6*(Assumptions!$C$153+Assumptions!$C$154)*CHOOSE(Assumptions!$C$121,Pricing!$E$23,Pricing!$E$33,Pricing!$E$43))/60+(AL22*Assumptions!$D$105+AL23*Assumptions!$D$106+AL24*Assumptions!$D$107+AL25*Assumptions!$D$108)</f>
        <v>320.65271185313</v>
      </c>
    </row>
    <row r="125" customFormat="false" ht="15" hidden="false" customHeight="false" outlineLevel="0" collapsed="false">
      <c r="A125" s="9" t="s">
        <v>665</v>
      </c>
      <c r="B125" s="2" t="s">
        <v>165</v>
      </c>
      <c r="C125" s="32" t="n">
        <f aca="false">IF(C63=0,0,(C79-C107)/C63)</f>
        <v>0</v>
      </c>
      <c r="D125" s="32" t="n">
        <f aca="false">IF(D63=0,0,(D79-D107)/D63)</f>
        <v>0</v>
      </c>
      <c r="E125" s="32" t="n">
        <f aca="false">IF(E63=0,0,(E79-E107)/E63)</f>
        <v>0</v>
      </c>
      <c r="F125" s="32" t="n">
        <f aca="false">IF(F63=0,0,(F79-F107)/F63)</f>
        <v>0</v>
      </c>
      <c r="G125" s="32" t="n">
        <f aca="false">IF(G63=0,0,(G79-G107)/G63)</f>
        <v>0</v>
      </c>
      <c r="H125" s="32" t="n">
        <f aca="false">IF(H63=0,0,(H79-H107)/H63)</f>
        <v>0</v>
      </c>
      <c r="I125" s="32" t="n">
        <f aca="false">IF(I63=0,0,(I79-I107)/I63)</f>
        <v>0</v>
      </c>
      <c r="J125" s="32" t="n">
        <f aca="false">IF(J63=0,0,(J79-J107)/J63)</f>
        <v>0</v>
      </c>
      <c r="K125" s="32" t="n">
        <f aca="false">IF(K63=0,0,(K79-K107)/K63)</f>
        <v>-2.7787076097648</v>
      </c>
      <c r="L125" s="32" t="n">
        <f aca="false">IF(L63=0,0,(L79-L107)/L63)</f>
        <v>-0.669624526515486</v>
      </c>
      <c r="M125" s="32" t="n">
        <f aca="false">IF(M63=0,0,(M79-M107)/M63)</f>
        <v>-0.343483099533855</v>
      </c>
      <c r="N125" s="32" t="n">
        <f aca="false">IF(N63=0,0,(N79-N107)/N63)</f>
        <v>-0.0652443858488573</v>
      </c>
      <c r="O125" s="32" t="n">
        <f aca="false">IF(O63=0,0,(O79-O107)/O63)</f>
        <v>0.0226741554366654</v>
      </c>
      <c r="P125" s="32" t="n">
        <f aca="false">IF(P63=0,0,(P79-P107)/P63)</f>
        <v>0.0736993080225994</v>
      </c>
      <c r="Q125" s="32" t="n">
        <f aca="false">IF(Q63=0,0,(Q79-Q107)/Q63)</f>
        <v>0.106806633288531</v>
      </c>
      <c r="R125" s="32" t="n">
        <f aca="false">IF(R63=0,0,(R79-R107)/R63)</f>
        <v>0.12992069961334</v>
      </c>
      <c r="S125" s="32" t="n">
        <f aca="false">IF(S63=0,0,(S79-S107)/S63)</f>
        <v>0.146926251627407</v>
      </c>
      <c r="T125" s="32" t="n">
        <f aca="false">IF(T63=0,0,(T79-T107)/T63)</f>
        <v>0.178069888465682</v>
      </c>
      <c r="U125" s="32" t="n">
        <f aca="false">IF(U63=0,0,(U79-U107)/U63)</f>
        <v>0.182651520476428</v>
      </c>
      <c r="V125" s="32" t="n">
        <f aca="false">IF(V63=0,0,(V79-V107)/V63)</f>
        <v>-0.334078475896853</v>
      </c>
      <c r="W125" s="32" t="n">
        <f aca="false">IF(W63=0,0,(W79-W107)/W63)</f>
        <v>0.189191610600243</v>
      </c>
      <c r="X125" s="32" t="n">
        <f aca="false">IF(X63=0,0,(X79-X107)/X63)</f>
        <v>-0.182945281693684</v>
      </c>
      <c r="Y125" s="32" t="n">
        <f aca="false">IF(Y63=0,0,(Y79-Y107)/Y63)</f>
        <v>-0.138929993191568</v>
      </c>
      <c r="Z125" s="32" t="n">
        <f aca="false">IF(Z63=0,0,(Z79-Z107)/Z63)</f>
        <v>-0.102347003708581</v>
      </c>
      <c r="AA125" s="32" t="n">
        <f aca="false">IF(AA63=0,0,(AA79-AA107)/AA63)</f>
        <v>-0.0715217345988235</v>
      </c>
      <c r="AB125" s="32" t="n">
        <f aca="false">IF(AB63=0,0,(AB79-AB107)/AB63)</f>
        <v>-0.0452382220646845</v>
      </c>
      <c r="AC125" s="32" t="n">
        <f aca="false">IF(AC63=0,0,(AC79-AC107)/AC63)</f>
        <v>-0.0225934541907446</v>
      </c>
      <c r="AD125" s="32" t="n">
        <f aca="false">IF(AD63=0,0,(AD79-AD107)/AD63)</f>
        <v>-0.00290370435435253</v>
      </c>
      <c r="AE125" s="32" t="n">
        <f aca="false">IF(AE63=0,0,(AE79-AE107)/AE63)</f>
        <v>0.0143575393676341</v>
      </c>
      <c r="AF125" s="32" t="n">
        <f aca="false">IF(AF63=0,0,(AF79-AF107)/AF63)</f>
        <v>0.0296017951783792</v>
      </c>
      <c r="AG125" s="32" t="n">
        <f aca="false">IF(AG63=0,0,(AG79-AG107)/AG63)</f>
        <v>0.0431549715253391</v>
      </c>
      <c r="AH125" s="32" t="n">
        <f aca="false">IF(AH63=0,0,(AH79-AH107)/AH63)</f>
        <v>-0.104729411586968</v>
      </c>
      <c r="AI125" s="32" t="n">
        <f aca="false">IF(AI63=0,0,(AI79-AI107)/AI63)</f>
        <v>0.0661830991619406</v>
      </c>
      <c r="AJ125" s="32" t="n">
        <f aca="false">IF(AJ63=0,0,(AJ79-AJ107)/AJ63)</f>
        <v>0.0760425135400923</v>
      </c>
      <c r="AK125" s="32" t="n">
        <f aca="false">IF(AK63=0,0,(AK79-AK107)/AK63)</f>
        <v>0.0849991305652453</v>
      </c>
      <c r="AL125" s="32" t="n">
        <f aca="false">IF(AL63=0,0,(AL79-AL107)/AL63)</f>
        <v>0.0931715522950184</v>
      </c>
    </row>
    <row r="126" customFormat="false" ht="15" hidden="false" customHeight="false" outlineLevel="0" collapsed="false">
      <c r="A126" s="9" t="s">
        <v>666</v>
      </c>
      <c r="B126" s="2" t="s">
        <v>552</v>
      </c>
      <c r="C126" s="40" t="n">
        <f aca="false">IF(C116&lt;0,1,0)</f>
        <v>0</v>
      </c>
      <c r="D126" s="40" t="n">
        <f aca="false">IF(D116&lt;0,1,0)</f>
        <v>0</v>
      </c>
      <c r="E126" s="40" t="n">
        <f aca="false">IF(E116&lt;0,1,0)</f>
        <v>0</v>
      </c>
      <c r="F126" s="40" t="n">
        <f aca="false">IF(F116&lt;0,1,0)</f>
        <v>0</v>
      </c>
      <c r="G126" s="40" t="n">
        <f aca="false">IF(G116&lt;0,1,0)</f>
        <v>0</v>
      </c>
      <c r="H126" s="40" t="n">
        <f aca="false">IF(H116&lt;0,1,0)</f>
        <v>1</v>
      </c>
      <c r="I126" s="40" t="n">
        <f aca="false">IF(I116&lt;0,1,0)</f>
        <v>1</v>
      </c>
      <c r="J126" s="40" t="n">
        <f aca="false">IF(J116&lt;0,1,0)</f>
        <v>1</v>
      </c>
      <c r="K126" s="40" t="n">
        <f aca="false">IF(K116&lt;0,1,0)</f>
        <v>1</v>
      </c>
      <c r="L126" s="40" t="n">
        <f aca="false">IF(L116&lt;0,1,0)</f>
        <v>1</v>
      </c>
      <c r="M126" s="40" t="n">
        <f aca="false">IF(M116&lt;0,1,0)</f>
        <v>1</v>
      </c>
      <c r="N126" s="40" t="n">
        <f aca="false">IF(N116&lt;0,1,0)</f>
        <v>1</v>
      </c>
      <c r="O126" s="40" t="n">
        <f aca="false">IF(O116&lt;0,1,0)</f>
        <v>1</v>
      </c>
      <c r="P126" s="40" t="n">
        <f aca="false">IF(P116&lt;0,1,0)</f>
        <v>1</v>
      </c>
      <c r="Q126" s="40" t="n">
        <f aca="false">IF(Q116&lt;0,1,0)</f>
        <v>1</v>
      </c>
      <c r="R126" s="40" t="n">
        <f aca="false">IF(R116&lt;0,1,0)</f>
        <v>1</v>
      </c>
      <c r="S126" s="40" t="n">
        <f aca="false">IF(S116&lt;0,1,0)</f>
        <v>1</v>
      </c>
      <c r="T126" s="40" t="n">
        <f aca="false">IF(T116&lt;0,1,0)</f>
        <v>1</v>
      </c>
      <c r="U126" s="40" t="n">
        <f aca="false">IF(U116&lt;0,1,0)</f>
        <v>1</v>
      </c>
      <c r="V126" s="40" t="n">
        <f aca="false">IF(V116&lt;0,1,0)</f>
        <v>1</v>
      </c>
      <c r="W126" s="40" t="n">
        <f aca="false">IF(W116&lt;0,1,0)</f>
        <v>1</v>
      </c>
      <c r="X126" s="40" t="n">
        <f aca="false">IF(X116&lt;0,1,0)</f>
        <v>1</v>
      </c>
      <c r="Y126" s="40" t="n">
        <f aca="false">IF(Y116&lt;0,1,0)</f>
        <v>1</v>
      </c>
      <c r="Z126" s="40" t="n">
        <f aca="false">IF(Z116&lt;0,1,0)</f>
        <v>1</v>
      </c>
      <c r="AA126" s="40" t="n">
        <f aca="false">IF(AA116&lt;0,1,0)</f>
        <v>1</v>
      </c>
      <c r="AB126" s="40" t="n">
        <f aca="false">IF(AB116&lt;0,1,0)</f>
        <v>1</v>
      </c>
      <c r="AC126" s="40" t="n">
        <f aca="false">IF(AC116&lt;0,1,0)</f>
        <v>1</v>
      </c>
      <c r="AD126" s="40" t="n">
        <f aca="false">IF(AD116&lt;0,1,0)</f>
        <v>1</v>
      </c>
      <c r="AE126" s="40" t="n">
        <f aca="false">IF(AE116&lt;0,1,0)</f>
        <v>1</v>
      </c>
      <c r="AF126" s="40" t="n">
        <f aca="false">IF(AF116&lt;0,1,0)</f>
        <v>1</v>
      </c>
      <c r="AG126" s="40" t="n">
        <f aca="false">IF(AG116&lt;0,1,0)</f>
        <v>1</v>
      </c>
      <c r="AH126" s="40" t="n">
        <f aca="false">IF(AH116&lt;0,1,0)</f>
        <v>1</v>
      </c>
      <c r="AI126" s="40" t="n">
        <f aca="false">IF(AI116&lt;0,1,0)</f>
        <v>1</v>
      </c>
      <c r="AJ126" s="40" t="n">
        <f aca="false">IF(AJ116&lt;0,1,0)</f>
        <v>1</v>
      </c>
      <c r="AK126" s="40" t="n">
        <f aca="false">IF(AK116&lt;0,1,0)</f>
        <v>1</v>
      </c>
      <c r="AL126" s="40" t="n">
        <f aca="false">IF(AL116&lt;0,1,0)</f>
        <v>1</v>
      </c>
    </row>
    <row r="127" customFormat="false" ht="15" hidden="false" customHeight="false" outlineLevel="0" collapsed="false">
      <c r="A127" s="9" t="s">
        <v>667</v>
      </c>
      <c r="B127" s="2" t="s">
        <v>552</v>
      </c>
      <c r="C127" s="40" t="n">
        <f aca="false">IF(C25&gt;0,1,0)</f>
        <v>0</v>
      </c>
      <c r="D127" s="40" t="n">
        <f aca="false">IF(D25&gt;0,1,0)</f>
        <v>0</v>
      </c>
      <c r="E127" s="40" t="n">
        <f aca="false">IF(E25&gt;0,1,0)</f>
        <v>0</v>
      </c>
      <c r="F127" s="40" t="n">
        <f aca="false">IF(F25&gt;0,1,0)</f>
        <v>0</v>
      </c>
      <c r="G127" s="40" t="n">
        <f aca="false">IF(G25&gt;0,1,0)</f>
        <v>0</v>
      </c>
      <c r="H127" s="40" t="n">
        <f aca="false">IF(H25&gt;0,1,0)</f>
        <v>0</v>
      </c>
      <c r="I127" s="40" t="n">
        <f aca="false">IF(I25&gt;0,1,0)</f>
        <v>0</v>
      </c>
      <c r="J127" s="40" t="n">
        <f aca="false">IF(J25&gt;0,1,0)</f>
        <v>0</v>
      </c>
      <c r="K127" s="40" t="n">
        <f aca="false">IF(K25&gt;0,1,0)</f>
        <v>0</v>
      </c>
      <c r="L127" s="40" t="n">
        <f aca="false">IF(L25&gt;0,1,0)</f>
        <v>0</v>
      </c>
      <c r="M127" s="40" t="n">
        <f aca="false">IF(M25&gt;0,1,0)</f>
        <v>0</v>
      </c>
      <c r="N127" s="40" t="n">
        <f aca="false">IF(N25&gt;0,1,0)</f>
        <v>0</v>
      </c>
      <c r="O127" s="40" t="n">
        <f aca="false">IF(O25&gt;0,1,0)</f>
        <v>0</v>
      </c>
      <c r="P127" s="40" t="n">
        <f aca="false">IF(P25&gt;0,1,0)</f>
        <v>0</v>
      </c>
      <c r="Q127" s="40" t="n">
        <f aca="false">IF(Q25&gt;0,1,0)</f>
        <v>0</v>
      </c>
      <c r="R127" s="40" t="n">
        <f aca="false">IF(R25&gt;0,1,0)</f>
        <v>0</v>
      </c>
      <c r="S127" s="40" t="n">
        <f aca="false">IF(S25&gt;0,1,0)</f>
        <v>0</v>
      </c>
      <c r="T127" s="40" t="n">
        <f aca="false">IF(T25&gt;0,1,0)</f>
        <v>1</v>
      </c>
      <c r="U127" s="40" t="n">
        <f aca="false">IF(U25&gt;0,1,0)</f>
        <v>1</v>
      </c>
      <c r="V127" s="40" t="n">
        <f aca="false">IF(V25&gt;0,1,0)</f>
        <v>1</v>
      </c>
      <c r="W127" s="40" t="n">
        <f aca="false">IF(W25&gt;0,1,0)</f>
        <v>1</v>
      </c>
      <c r="X127" s="40" t="n">
        <f aca="false">IF(X25&gt;0,1,0)</f>
        <v>1</v>
      </c>
      <c r="Y127" s="40" t="n">
        <f aca="false">IF(Y25&gt;0,1,0)</f>
        <v>1</v>
      </c>
      <c r="Z127" s="40" t="n">
        <f aca="false">IF(Z25&gt;0,1,0)</f>
        <v>1</v>
      </c>
      <c r="AA127" s="40" t="n">
        <f aca="false">IF(AA25&gt;0,1,0)</f>
        <v>1</v>
      </c>
      <c r="AB127" s="40" t="n">
        <f aca="false">IF(AB25&gt;0,1,0)</f>
        <v>1</v>
      </c>
      <c r="AC127" s="40" t="n">
        <f aca="false">IF(AC25&gt;0,1,0)</f>
        <v>1</v>
      </c>
      <c r="AD127" s="40" t="n">
        <f aca="false">IF(AD25&gt;0,1,0)</f>
        <v>1</v>
      </c>
      <c r="AE127" s="40" t="n">
        <f aca="false">IF(AE25&gt;0,1,0)</f>
        <v>1</v>
      </c>
      <c r="AF127" s="40" t="n">
        <f aca="false">IF(AF25&gt;0,1,0)</f>
        <v>1</v>
      </c>
      <c r="AG127" s="40" t="n">
        <f aca="false">IF(AG25&gt;0,1,0)</f>
        <v>1</v>
      </c>
      <c r="AH127" s="40" t="n">
        <f aca="false">IF(AH25&gt;0,1,0)</f>
        <v>1</v>
      </c>
      <c r="AI127" s="40" t="n">
        <f aca="false">IF(AI25&gt;0,1,0)</f>
        <v>1</v>
      </c>
      <c r="AJ127" s="40" t="n">
        <f aca="false">IF(AJ25&gt;0,1,0)</f>
        <v>1</v>
      </c>
      <c r="AK127" s="40" t="n">
        <f aca="false">IF(AK25&gt;0,1,0)</f>
        <v>1</v>
      </c>
      <c r="AL127" s="40" t="n">
        <f aca="false">IF(AL25&gt;0,1,0)</f>
        <v>1</v>
      </c>
    </row>
    <row r="128" customFormat="false" ht="15" hidden="false" customHeight="false" outlineLevel="0" collapsed="false">
      <c r="A128" s="9" t="s">
        <v>668</v>
      </c>
      <c r="B128" s="2" t="s">
        <v>146</v>
      </c>
      <c r="C128" s="42" t="n">
        <f aca="false">Assumptions!$D$182*Assumptions!$D$183</f>
        <v>63</v>
      </c>
      <c r="D128" s="42" t="n">
        <f aca="false">Assumptions!$D$182*Assumptions!$D$183</f>
        <v>63</v>
      </c>
      <c r="E128" s="42" t="n">
        <f aca="false">Assumptions!$D$182*Assumptions!$D$183</f>
        <v>63</v>
      </c>
      <c r="F128" s="42" t="n">
        <f aca="false">Assumptions!$D$182*Assumptions!$D$183</f>
        <v>63</v>
      </c>
      <c r="G128" s="42" t="n">
        <f aca="false">Assumptions!$D$182*Assumptions!$D$183</f>
        <v>63</v>
      </c>
      <c r="H128" s="42" t="n">
        <f aca="false">Assumptions!$D$182*Assumptions!$D$183</f>
        <v>63</v>
      </c>
      <c r="I128" s="42" t="n">
        <f aca="false">Assumptions!$D$182*Assumptions!$D$183</f>
        <v>63</v>
      </c>
      <c r="J128" s="42" t="n">
        <f aca="false">Assumptions!$D$182*Assumptions!$D$183</f>
        <v>63</v>
      </c>
      <c r="K128" s="42" t="n">
        <f aca="false">Assumptions!$D$182*Assumptions!$D$183</f>
        <v>63</v>
      </c>
      <c r="L128" s="42" t="n">
        <f aca="false">Assumptions!$D$182*Assumptions!$D$183</f>
        <v>63</v>
      </c>
      <c r="M128" s="42" t="n">
        <f aca="false">Assumptions!$D$182*Assumptions!$D$183</f>
        <v>63</v>
      </c>
      <c r="N128" s="42" t="n">
        <f aca="false">Assumptions!$D$182*Assumptions!$D$183</f>
        <v>63</v>
      </c>
      <c r="O128" s="42" t="n">
        <f aca="false">Assumptions!$D$182*Assumptions!$D$183</f>
        <v>63</v>
      </c>
      <c r="P128" s="42" t="n">
        <f aca="false">Assumptions!$D$182*Assumptions!$D$183</f>
        <v>63</v>
      </c>
      <c r="Q128" s="42" t="n">
        <f aca="false">Assumptions!$D$182*Assumptions!$D$183</f>
        <v>63</v>
      </c>
      <c r="R128" s="42" t="n">
        <f aca="false">Assumptions!$D$182*Assumptions!$D$183</f>
        <v>63</v>
      </c>
      <c r="S128" s="42" t="n">
        <f aca="false">Assumptions!$D$182*Assumptions!$D$183</f>
        <v>63</v>
      </c>
      <c r="T128" s="42" t="n">
        <f aca="false">Assumptions!$D$182*Assumptions!$D$183</f>
        <v>63</v>
      </c>
      <c r="U128" s="42" t="n">
        <f aca="false">Assumptions!$D$182*Assumptions!$D$183</f>
        <v>63</v>
      </c>
      <c r="V128" s="42" t="n">
        <f aca="false">Assumptions!$D$182*Assumptions!$D$183</f>
        <v>63</v>
      </c>
      <c r="W128" s="42" t="n">
        <f aca="false">Assumptions!$D$182*Assumptions!$D$183</f>
        <v>63</v>
      </c>
      <c r="X128" s="42" t="n">
        <f aca="false">Assumptions!$D$182*Assumptions!$D$183</f>
        <v>63</v>
      </c>
      <c r="Y128" s="42" t="n">
        <f aca="false">Assumptions!$D$182*Assumptions!$D$183</f>
        <v>63</v>
      </c>
      <c r="Z128" s="42" t="n">
        <f aca="false">Assumptions!$D$182*Assumptions!$D$183</f>
        <v>63</v>
      </c>
      <c r="AA128" s="42" t="n">
        <f aca="false">Assumptions!$D$182*Assumptions!$D$183</f>
        <v>63</v>
      </c>
      <c r="AB128" s="42" t="n">
        <f aca="false">Assumptions!$D$182*Assumptions!$D$183</f>
        <v>63</v>
      </c>
      <c r="AC128" s="42" t="n">
        <f aca="false">Assumptions!$D$182*Assumptions!$D$183</f>
        <v>63</v>
      </c>
      <c r="AD128" s="42" t="n">
        <f aca="false">Assumptions!$D$182*Assumptions!$D$183</f>
        <v>63</v>
      </c>
      <c r="AE128" s="42" t="n">
        <f aca="false">Assumptions!$D$182*Assumptions!$D$183</f>
        <v>63</v>
      </c>
      <c r="AF128" s="42" t="n">
        <f aca="false">Assumptions!$D$182*Assumptions!$D$183</f>
        <v>63</v>
      </c>
      <c r="AG128" s="42" t="n">
        <f aca="false">Assumptions!$D$182*Assumptions!$D$183</f>
        <v>63</v>
      </c>
      <c r="AH128" s="42" t="n">
        <f aca="false">Assumptions!$D$182*Assumptions!$D$183</f>
        <v>63</v>
      </c>
      <c r="AI128" s="42" t="n">
        <f aca="false">Assumptions!$D$182*Assumptions!$D$183</f>
        <v>63</v>
      </c>
      <c r="AJ128" s="42" t="n">
        <f aca="false">Assumptions!$D$182*Assumptions!$D$183</f>
        <v>63</v>
      </c>
      <c r="AK128" s="42" t="n">
        <f aca="false">Assumptions!$D$182*Assumptions!$D$183</f>
        <v>63</v>
      </c>
      <c r="AL128" s="42" t="n">
        <f aca="false">Assumptions!$D$182*Assumptions!$D$183</f>
        <v>63</v>
      </c>
    </row>
    <row r="129" customFormat="false" ht="15" hidden="false" customHeight="false" outlineLevel="0" collapsed="false">
      <c r="A129" s="9" t="s">
        <v>669</v>
      </c>
      <c r="B129" s="2" t="s">
        <v>552</v>
      </c>
      <c r="C129" s="40" t="n">
        <f aca="false">IF(C124&gt;C128,1,0)</f>
        <v>0</v>
      </c>
      <c r="D129" s="40" t="n">
        <f aca="false">IF(D124&gt;D128,1,0)</f>
        <v>0</v>
      </c>
      <c r="E129" s="40" t="n">
        <f aca="false">IF(E124&gt;E128,1,0)</f>
        <v>0</v>
      </c>
      <c r="F129" s="40" t="n">
        <f aca="false">IF(F124&gt;F128,1,0)</f>
        <v>0</v>
      </c>
      <c r="G129" s="40" t="n">
        <f aca="false">IF(G124&gt;G128,1,0)</f>
        <v>0</v>
      </c>
      <c r="H129" s="40" t="n">
        <f aca="false">IF(H124&gt;H128,1,0)</f>
        <v>0</v>
      </c>
      <c r="I129" s="40" t="n">
        <f aca="false">IF(I124&gt;I128,1,0)</f>
        <v>0</v>
      </c>
      <c r="J129" s="40" t="n">
        <f aca="false">IF(J124&gt;J128,1,0)</f>
        <v>0</v>
      </c>
      <c r="K129" s="40" t="n">
        <f aca="false">IF(K124&gt;K128,1,0)</f>
        <v>0</v>
      </c>
      <c r="L129" s="40" t="n">
        <f aca="false">IF(L124&gt;L128,1,0)</f>
        <v>0</v>
      </c>
      <c r="M129" s="40" t="n">
        <f aca="false">IF(M124&gt;M128,1,0)</f>
        <v>0</v>
      </c>
      <c r="N129" s="40" t="n">
        <f aca="false">IF(N124&gt;N128,1,0)</f>
        <v>0</v>
      </c>
      <c r="O129" s="40" t="n">
        <f aca="false">IF(O124&gt;O128,1,0)</f>
        <v>0</v>
      </c>
      <c r="P129" s="40" t="n">
        <f aca="false">IF(P124&gt;P128,1,0)</f>
        <v>0</v>
      </c>
      <c r="Q129" s="40" t="n">
        <f aca="false">IF(Q124&gt;Q128,1,0)</f>
        <v>0</v>
      </c>
      <c r="R129" s="40" t="n">
        <f aca="false">IF(R124&gt;R128,1,0)</f>
        <v>0</v>
      </c>
      <c r="S129" s="40" t="n">
        <f aca="false">IF(S124&gt;S128,1,0)</f>
        <v>0</v>
      </c>
      <c r="T129" s="40" t="n">
        <f aca="false">IF(T124&gt;T128,1,0)</f>
        <v>0</v>
      </c>
      <c r="U129" s="40" t="n">
        <f aca="false">IF(U124&gt;U128,1,0)</f>
        <v>1</v>
      </c>
      <c r="V129" s="40" t="n">
        <f aca="false">IF(V124&gt;V128,1,0)</f>
        <v>1</v>
      </c>
      <c r="W129" s="40" t="n">
        <f aca="false">IF(W124&gt;W128,1,0)</f>
        <v>1</v>
      </c>
      <c r="X129" s="40" t="n">
        <f aca="false">IF(X124&gt;X128,1,0)</f>
        <v>1</v>
      </c>
      <c r="Y129" s="40" t="n">
        <f aca="false">IF(Y124&gt;Y128,1,0)</f>
        <v>1</v>
      </c>
      <c r="Z129" s="40" t="n">
        <f aca="false">IF(Z124&gt;Z128,1,0)</f>
        <v>1</v>
      </c>
      <c r="AA129" s="40" t="n">
        <f aca="false">IF(AA124&gt;AA128,1,0)</f>
        <v>1</v>
      </c>
      <c r="AB129" s="40" t="n">
        <f aca="false">IF(AB124&gt;AB128,1,0)</f>
        <v>1</v>
      </c>
      <c r="AC129" s="40" t="n">
        <f aca="false">IF(AC124&gt;AC128,1,0)</f>
        <v>1</v>
      </c>
      <c r="AD129" s="40" t="n">
        <f aca="false">IF(AD124&gt;AD128,1,0)</f>
        <v>1</v>
      </c>
      <c r="AE129" s="40" t="n">
        <f aca="false">IF(AE124&gt;AE128,1,0)</f>
        <v>1</v>
      </c>
      <c r="AF129" s="40" t="n">
        <f aca="false">IF(AF124&gt;AF128,1,0)</f>
        <v>1</v>
      </c>
      <c r="AG129" s="40" t="n">
        <f aca="false">IF(AG124&gt;AG128,1,0)</f>
        <v>1</v>
      </c>
      <c r="AH129" s="40" t="n">
        <f aca="false">IF(AH124&gt;AH128,1,0)</f>
        <v>1</v>
      </c>
      <c r="AI129" s="40" t="n">
        <f aca="false">IF(AI124&gt;AI128,1,0)</f>
        <v>1</v>
      </c>
      <c r="AJ129" s="40" t="n">
        <f aca="false">IF(AJ124&gt;AJ128,1,0)</f>
        <v>1</v>
      </c>
      <c r="AK129" s="40" t="n">
        <f aca="false">IF(AK124&gt;AK128,1,0)</f>
        <v>1</v>
      </c>
      <c r="AL129" s="40" t="n">
        <f aca="false">IF(AL124&gt;AL128,1,0)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8" min="3" style="0" width="10.51"/>
  </cols>
  <sheetData>
    <row r="1" customFormat="false" ht="17.35" hidden="false" customHeight="false" outlineLevel="0" collapsed="false">
      <c r="A1" s="1" t="s">
        <v>670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15" hidden="false" customHeight="false" outlineLevel="0" collapsed="false">
      <c r="A3" s="3" t="s">
        <v>548</v>
      </c>
      <c r="B3" s="3" t="s">
        <v>94</v>
      </c>
      <c r="C3" s="38" t="n">
        <v>1</v>
      </c>
      <c r="D3" s="38" t="n">
        <v>2</v>
      </c>
      <c r="E3" s="38" t="n">
        <v>3</v>
      </c>
      <c r="F3" s="38" t="n">
        <v>4</v>
      </c>
      <c r="G3" s="38" t="n">
        <v>5</v>
      </c>
      <c r="H3" s="38" t="n">
        <v>6</v>
      </c>
      <c r="I3" s="38" t="n">
        <v>7</v>
      </c>
      <c r="J3" s="38" t="n">
        <v>8</v>
      </c>
      <c r="K3" s="38" t="n">
        <v>9</v>
      </c>
      <c r="L3" s="38" t="n">
        <v>10</v>
      </c>
      <c r="M3" s="38" t="n">
        <v>11</v>
      </c>
      <c r="N3" s="38" t="n">
        <v>12</v>
      </c>
      <c r="O3" s="38" t="n">
        <v>13</v>
      </c>
      <c r="P3" s="38" t="n">
        <v>14</v>
      </c>
      <c r="Q3" s="38" t="n">
        <v>15</v>
      </c>
      <c r="R3" s="38" t="n">
        <v>16</v>
      </c>
      <c r="S3" s="38" t="n">
        <v>17</v>
      </c>
      <c r="T3" s="38" t="n">
        <v>18</v>
      </c>
      <c r="U3" s="38" t="n">
        <v>19</v>
      </c>
      <c r="V3" s="38" t="n">
        <v>20</v>
      </c>
      <c r="W3" s="38" t="n">
        <v>21</v>
      </c>
      <c r="X3" s="38" t="n">
        <v>22</v>
      </c>
      <c r="Y3" s="38" t="n">
        <v>23</v>
      </c>
      <c r="Z3" s="38" t="n">
        <v>24</v>
      </c>
      <c r="AA3" s="38" t="n">
        <v>25</v>
      </c>
      <c r="AB3" s="38" t="n">
        <v>26</v>
      </c>
      <c r="AC3" s="38" t="n">
        <v>27</v>
      </c>
      <c r="AD3" s="38" t="n">
        <v>28</v>
      </c>
      <c r="AE3" s="38" t="n">
        <v>29</v>
      </c>
      <c r="AF3" s="38" t="n">
        <v>30</v>
      </c>
      <c r="AG3" s="38" t="n">
        <v>31</v>
      </c>
      <c r="AH3" s="38" t="n">
        <v>32</v>
      </c>
      <c r="AI3" s="38" t="n">
        <v>33</v>
      </c>
      <c r="AJ3" s="38" t="n">
        <v>34</v>
      </c>
      <c r="AK3" s="38" t="n">
        <v>35</v>
      </c>
      <c r="AL3" s="38" t="n">
        <v>36</v>
      </c>
    </row>
    <row r="4" customFormat="false" ht="15" hidden="false" customHeight="false" outlineLevel="0" collapsed="false">
      <c r="A4" s="3" t="s">
        <v>549</v>
      </c>
      <c r="B4" s="2"/>
      <c r="C4" s="39" t="str">
        <f aca="false">"Y"&amp;ROUNDUP(C$3/12,0)</f>
        <v>Y1</v>
      </c>
      <c r="D4" s="39" t="str">
        <f aca="false">"Y"&amp;ROUNDUP(D$3/12,0)</f>
        <v>Y1</v>
      </c>
      <c r="E4" s="39" t="str">
        <f aca="false">"Y"&amp;ROUNDUP(E$3/12,0)</f>
        <v>Y1</v>
      </c>
      <c r="F4" s="39" t="str">
        <f aca="false">"Y"&amp;ROUNDUP(F$3/12,0)</f>
        <v>Y1</v>
      </c>
      <c r="G4" s="39" t="str">
        <f aca="false">"Y"&amp;ROUNDUP(G$3/12,0)</f>
        <v>Y1</v>
      </c>
      <c r="H4" s="39" t="str">
        <f aca="false">"Y"&amp;ROUNDUP(H$3/12,0)</f>
        <v>Y1</v>
      </c>
      <c r="I4" s="39" t="str">
        <f aca="false">"Y"&amp;ROUNDUP(I$3/12,0)</f>
        <v>Y1</v>
      </c>
      <c r="J4" s="39" t="str">
        <f aca="false">"Y"&amp;ROUNDUP(J$3/12,0)</f>
        <v>Y1</v>
      </c>
      <c r="K4" s="39" t="str">
        <f aca="false">"Y"&amp;ROUNDUP(K$3/12,0)</f>
        <v>Y1</v>
      </c>
      <c r="L4" s="39" t="str">
        <f aca="false">"Y"&amp;ROUNDUP(L$3/12,0)</f>
        <v>Y1</v>
      </c>
      <c r="M4" s="39" t="str">
        <f aca="false">"Y"&amp;ROUNDUP(M$3/12,0)</f>
        <v>Y1</v>
      </c>
      <c r="N4" s="39" t="str">
        <f aca="false">"Y"&amp;ROUNDUP(N$3/12,0)</f>
        <v>Y1</v>
      </c>
      <c r="O4" s="39" t="str">
        <f aca="false">"Y"&amp;ROUNDUP(O$3/12,0)</f>
        <v>Y2</v>
      </c>
      <c r="P4" s="39" t="str">
        <f aca="false">"Y"&amp;ROUNDUP(P$3/12,0)</f>
        <v>Y2</v>
      </c>
      <c r="Q4" s="39" t="str">
        <f aca="false">"Y"&amp;ROUNDUP(Q$3/12,0)</f>
        <v>Y2</v>
      </c>
      <c r="R4" s="39" t="str">
        <f aca="false">"Y"&amp;ROUNDUP(R$3/12,0)</f>
        <v>Y2</v>
      </c>
      <c r="S4" s="39" t="str">
        <f aca="false">"Y"&amp;ROUNDUP(S$3/12,0)</f>
        <v>Y2</v>
      </c>
      <c r="T4" s="39" t="str">
        <f aca="false">"Y"&amp;ROUNDUP(T$3/12,0)</f>
        <v>Y2</v>
      </c>
      <c r="U4" s="39" t="str">
        <f aca="false">"Y"&amp;ROUNDUP(U$3/12,0)</f>
        <v>Y2</v>
      </c>
      <c r="V4" s="39" t="str">
        <f aca="false">"Y"&amp;ROUNDUP(V$3/12,0)</f>
        <v>Y2</v>
      </c>
      <c r="W4" s="39" t="str">
        <f aca="false">"Y"&amp;ROUNDUP(W$3/12,0)</f>
        <v>Y2</v>
      </c>
      <c r="X4" s="39" t="str">
        <f aca="false">"Y"&amp;ROUNDUP(X$3/12,0)</f>
        <v>Y2</v>
      </c>
      <c r="Y4" s="39" t="str">
        <f aca="false">"Y"&amp;ROUNDUP(Y$3/12,0)</f>
        <v>Y2</v>
      </c>
      <c r="Z4" s="39" t="str">
        <f aca="false">"Y"&amp;ROUNDUP(Z$3/12,0)</f>
        <v>Y2</v>
      </c>
      <c r="AA4" s="39" t="str">
        <f aca="false">"Y"&amp;ROUNDUP(AA$3/12,0)</f>
        <v>Y3</v>
      </c>
      <c r="AB4" s="39" t="str">
        <f aca="false">"Y"&amp;ROUNDUP(AB$3/12,0)</f>
        <v>Y3</v>
      </c>
      <c r="AC4" s="39" t="str">
        <f aca="false">"Y"&amp;ROUNDUP(AC$3/12,0)</f>
        <v>Y3</v>
      </c>
      <c r="AD4" s="39" t="str">
        <f aca="false">"Y"&amp;ROUNDUP(AD$3/12,0)</f>
        <v>Y3</v>
      </c>
      <c r="AE4" s="39" t="str">
        <f aca="false">"Y"&amp;ROUNDUP(AE$3/12,0)</f>
        <v>Y3</v>
      </c>
      <c r="AF4" s="39" t="str">
        <f aca="false">"Y"&amp;ROUNDUP(AF$3/12,0)</f>
        <v>Y3</v>
      </c>
      <c r="AG4" s="39" t="str">
        <f aca="false">"Y"&amp;ROUNDUP(AG$3/12,0)</f>
        <v>Y3</v>
      </c>
      <c r="AH4" s="39" t="str">
        <f aca="false">"Y"&amp;ROUNDUP(AH$3/12,0)</f>
        <v>Y3</v>
      </c>
      <c r="AI4" s="39" t="str">
        <f aca="false">"Y"&amp;ROUNDUP(AI$3/12,0)</f>
        <v>Y3</v>
      </c>
      <c r="AJ4" s="39" t="str">
        <f aca="false">"Y"&amp;ROUNDUP(AJ$3/12,0)</f>
        <v>Y3</v>
      </c>
      <c r="AK4" s="39" t="str">
        <f aca="false">"Y"&amp;ROUNDUP(AK$3/12,0)</f>
        <v>Y3</v>
      </c>
      <c r="AL4" s="39" t="str">
        <f aca="false">"Y"&amp;ROUNDUP(AL$3/12,0)</f>
        <v>Y3</v>
      </c>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row>
    <row r="6" customFormat="false" ht="15" hidden="false" customHeight="false" outlineLevel="0" collapsed="false">
      <c r="A6" s="5" t="s">
        <v>550</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r="7" customFormat="false" ht="15" hidden="false" customHeight="false" outlineLevel="0" collapsed="false">
      <c r="A7" s="2" t="s">
        <v>551</v>
      </c>
      <c r="B7" s="2" t="s">
        <v>552</v>
      </c>
      <c r="C7" s="40" t="n">
        <f aca="false">0</f>
        <v>0</v>
      </c>
      <c r="D7" s="40" t="n">
        <f aca="false">MAX(C7,IF(IF(Assumptions!$B$187="Customers",C36,C43)&gt;=Assumptions!$C$187,1,0))</f>
        <v>0</v>
      </c>
      <c r="E7" s="40" t="n">
        <f aca="false">MAX(D7,IF(IF(Assumptions!$B$187="Customers",D36,D43)&gt;=Assumptions!$C$187,1,0))</f>
        <v>0</v>
      </c>
      <c r="F7" s="40" t="n">
        <f aca="false">MAX(E7,IF(IF(Assumptions!$B$187="Customers",E36,E43)&gt;=Assumptions!$C$187,1,0))</f>
        <v>0</v>
      </c>
      <c r="G7" s="40" t="n">
        <f aca="false">MAX(F7,IF(IF(Assumptions!$B$187="Customers",F36,F43)&gt;=Assumptions!$C$187,1,0))</f>
        <v>0</v>
      </c>
      <c r="H7" s="40" t="n">
        <f aca="false">MAX(G7,IF(IF(Assumptions!$B$187="Customers",G36,G43)&gt;=Assumptions!$C$187,1,0))</f>
        <v>0</v>
      </c>
      <c r="I7" s="40" t="n">
        <f aca="false">MAX(H7,IF(IF(Assumptions!$B$187="Customers",H36,H43)&gt;=Assumptions!$C$187,1,0))</f>
        <v>0</v>
      </c>
      <c r="J7" s="40" t="n">
        <f aca="false">MAX(I7,IF(IF(Assumptions!$B$187="Customers",I36,I43)&gt;=Assumptions!$C$187,1,0))</f>
        <v>0</v>
      </c>
      <c r="K7" s="40" t="n">
        <f aca="false">MAX(J7,IF(IF(Assumptions!$B$187="Customers",J36,J43)&gt;=Assumptions!$C$187,1,0))</f>
        <v>0</v>
      </c>
      <c r="L7" s="40" t="n">
        <f aca="false">MAX(K7,IF(IF(Assumptions!$B$187="Customers",K36,K43)&gt;=Assumptions!$C$187,1,0))</f>
        <v>0</v>
      </c>
      <c r="M7" s="40" t="n">
        <f aca="false">MAX(L7,IF(IF(Assumptions!$B$187="Customers",L36,L43)&gt;=Assumptions!$C$187,1,0))</f>
        <v>0</v>
      </c>
      <c r="N7" s="40" t="n">
        <f aca="false">MAX(M7,IF(IF(Assumptions!$B$187="Customers",M36,M43)&gt;=Assumptions!$C$187,1,0))</f>
        <v>0</v>
      </c>
      <c r="O7" s="40" t="n">
        <f aca="false">MAX(N7,IF(IF(Assumptions!$B$187="Customers",N36,N43)&gt;=Assumptions!$C$187,1,0))</f>
        <v>0</v>
      </c>
      <c r="P7" s="40" t="n">
        <f aca="false">MAX(O7,IF(IF(Assumptions!$B$187="Customers",O36,O43)&gt;=Assumptions!$C$187,1,0))</f>
        <v>1</v>
      </c>
      <c r="Q7" s="40" t="n">
        <f aca="false">MAX(P7,IF(IF(Assumptions!$B$187="Customers",P36,P43)&gt;=Assumptions!$C$187,1,0))</f>
        <v>1</v>
      </c>
      <c r="R7" s="40" t="n">
        <f aca="false">MAX(Q7,IF(IF(Assumptions!$B$187="Customers",Q36,Q43)&gt;=Assumptions!$C$187,1,0))</f>
        <v>1</v>
      </c>
      <c r="S7" s="40" t="n">
        <f aca="false">MAX(R7,IF(IF(Assumptions!$B$187="Customers",R36,R43)&gt;=Assumptions!$C$187,1,0))</f>
        <v>1</v>
      </c>
      <c r="T7" s="40" t="n">
        <f aca="false">MAX(S7,IF(IF(Assumptions!$B$187="Customers",S36,S43)&gt;=Assumptions!$C$187,1,0))</f>
        <v>1</v>
      </c>
      <c r="U7" s="40" t="n">
        <f aca="false">MAX(T7,IF(IF(Assumptions!$B$187="Customers",T36,T43)&gt;=Assumptions!$C$187,1,0))</f>
        <v>1</v>
      </c>
      <c r="V7" s="40" t="n">
        <f aca="false">MAX(U7,IF(IF(Assumptions!$B$187="Customers",U36,U43)&gt;=Assumptions!$C$187,1,0))</f>
        <v>1</v>
      </c>
      <c r="W7" s="40" t="n">
        <f aca="false">MAX(V7,IF(IF(Assumptions!$B$187="Customers",V36,V43)&gt;=Assumptions!$C$187,1,0))</f>
        <v>1</v>
      </c>
      <c r="X7" s="40" t="n">
        <f aca="false">MAX(W7,IF(IF(Assumptions!$B$187="Customers",W36,W43)&gt;=Assumptions!$C$187,1,0))</f>
        <v>1</v>
      </c>
      <c r="Y7" s="40" t="n">
        <f aca="false">MAX(X7,IF(IF(Assumptions!$B$187="Customers",X36,X43)&gt;=Assumptions!$C$187,1,0))</f>
        <v>1</v>
      </c>
      <c r="Z7" s="40" t="n">
        <f aca="false">MAX(Y7,IF(IF(Assumptions!$B$187="Customers",Y36,Y43)&gt;=Assumptions!$C$187,1,0))</f>
        <v>1</v>
      </c>
      <c r="AA7" s="40" t="n">
        <f aca="false">MAX(Z7,IF(IF(Assumptions!$B$187="Customers",Z36,Z43)&gt;=Assumptions!$C$187,1,0))</f>
        <v>1</v>
      </c>
      <c r="AB7" s="40" t="n">
        <f aca="false">MAX(AA7,IF(IF(Assumptions!$B$187="Customers",AA36,AA43)&gt;=Assumptions!$C$187,1,0))</f>
        <v>1</v>
      </c>
      <c r="AC7" s="40" t="n">
        <f aca="false">MAX(AB7,IF(IF(Assumptions!$B$187="Customers",AB36,AB43)&gt;=Assumptions!$C$187,1,0))</f>
        <v>1</v>
      </c>
      <c r="AD7" s="40" t="n">
        <f aca="false">MAX(AC7,IF(IF(Assumptions!$B$187="Customers",AC36,AC43)&gt;=Assumptions!$C$187,1,0))</f>
        <v>1</v>
      </c>
      <c r="AE7" s="40" t="n">
        <f aca="false">MAX(AD7,IF(IF(Assumptions!$B$187="Customers",AD36,AD43)&gt;=Assumptions!$C$187,1,0))</f>
        <v>1</v>
      </c>
      <c r="AF7" s="40" t="n">
        <f aca="false">MAX(AE7,IF(IF(Assumptions!$B$187="Customers",AE36,AE43)&gt;=Assumptions!$C$187,1,0))</f>
        <v>1</v>
      </c>
      <c r="AG7" s="40" t="n">
        <f aca="false">MAX(AF7,IF(IF(Assumptions!$B$187="Customers",AF36,AF43)&gt;=Assumptions!$C$187,1,0))</f>
        <v>1</v>
      </c>
      <c r="AH7" s="40" t="n">
        <f aca="false">MAX(AG7,IF(IF(Assumptions!$B$187="Customers",AG36,AG43)&gt;=Assumptions!$C$187,1,0))</f>
        <v>1</v>
      </c>
      <c r="AI7" s="40" t="n">
        <f aca="false">MAX(AH7,IF(IF(Assumptions!$B$187="Customers",AH36,AH43)&gt;=Assumptions!$C$187,1,0))</f>
        <v>1</v>
      </c>
      <c r="AJ7" s="40" t="n">
        <f aca="false">MAX(AI7,IF(IF(Assumptions!$B$187="Customers",AI36,AI43)&gt;=Assumptions!$C$187,1,0))</f>
        <v>1</v>
      </c>
      <c r="AK7" s="40" t="n">
        <f aca="false">MAX(AJ7,IF(IF(Assumptions!$B$187="Customers",AJ36,AJ43)&gt;=Assumptions!$C$187,1,0))</f>
        <v>1</v>
      </c>
      <c r="AL7" s="40" t="n">
        <f aca="false">MAX(AK7,IF(IF(Assumptions!$B$187="Customers",AK36,AK43)&gt;=Assumptions!$C$187,1,0))</f>
        <v>1</v>
      </c>
    </row>
    <row r="8" customFormat="false" ht="15" hidden="false" customHeight="false" outlineLevel="0" collapsed="false">
      <c r="A8" s="2" t="s">
        <v>553</v>
      </c>
      <c r="B8" s="2" t="s">
        <v>552</v>
      </c>
      <c r="C8" s="40" t="n">
        <f aca="false">0</f>
        <v>0</v>
      </c>
      <c r="D8" s="40" t="n">
        <f aca="false">MAX(C8,IF(IF(Assumptions!$B$188="Customers",C36,C43)&gt;=Assumptions!$C$188,1,0))</f>
        <v>0</v>
      </c>
      <c r="E8" s="40" t="n">
        <f aca="false">MAX(D8,IF(IF(Assumptions!$B$188="Customers",D36,D43)&gt;=Assumptions!$C$188,1,0))</f>
        <v>0</v>
      </c>
      <c r="F8" s="40" t="n">
        <f aca="false">MAX(E8,IF(IF(Assumptions!$B$188="Customers",E36,E43)&gt;=Assumptions!$C$188,1,0))</f>
        <v>0</v>
      </c>
      <c r="G8" s="40" t="n">
        <f aca="false">MAX(F8,IF(IF(Assumptions!$B$188="Customers",F36,F43)&gt;=Assumptions!$C$188,1,0))</f>
        <v>0</v>
      </c>
      <c r="H8" s="40" t="n">
        <f aca="false">MAX(G8,IF(IF(Assumptions!$B$188="Customers",G36,G43)&gt;=Assumptions!$C$188,1,0))</f>
        <v>0</v>
      </c>
      <c r="I8" s="40" t="n">
        <f aca="false">MAX(H8,IF(IF(Assumptions!$B$188="Customers",H36,H43)&gt;=Assumptions!$C$188,1,0))</f>
        <v>0</v>
      </c>
      <c r="J8" s="40" t="n">
        <f aca="false">MAX(I8,IF(IF(Assumptions!$B$188="Customers",I36,I43)&gt;=Assumptions!$C$188,1,0))</f>
        <v>0</v>
      </c>
      <c r="K8" s="40" t="n">
        <f aca="false">MAX(J8,IF(IF(Assumptions!$B$188="Customers",J36,J43)&gt;=Assumptions!$C$188,1,0))</f>
        <v>0</v>
      </c>
      <c r="L8" s="40" t="n">
        <f aca="false">MAX(K8,IF(IF(Assumptions!$B$188="Customers",K36,K43)&gt;=Assumptions!$C$188,1,0))</f>
        <v>0</v>
      </c>
      <c r="M8" s="40" t="n">
        <f aca="false">MAX(L8,IF(IF(Assumptions!$B$188="Customers",L36,L43)&gt;=Assumptions!$C$188,1,0))</f>
        <v>0</v>
      </c>
      <c r="N8" s="40" t="n">
        <f aca="false">MAX(M8,IF(IF(Assumptions!$B$188="Customers",M36,M43)&gt;=Assumptions!$C$188,1,0))</f>
        <v>0</v>
      </c>
      <c r="O8" s="40" t="n">
        <f aca="false">MAX(N8,IF(IF(Assumptions!$B$188="Customers",N36,N43)&gt;=Assumptions!$C$188,1,0))</f>
        <v>0</v>
      </c>
      <c r="P8" s="40" t="n">
        <f aca="false">MAX(O8,IF(IF(Assumptions!$B$188="Customers",O36,O43)&gt;=Assumptions!$C$188,1,0))</f>
        <v>0</v>
      </c>
      <c r="Q8" s="40" t="n">
        <f aca="false">MAX(P8,IF(IF(Assumptions!$B$188="Customers",P36,P43)&gt;=Assumptions!$C$188,1,0))</f>
        <v>0</v>
      </c>
      <c r="R8" s="40" t="n">
        <f aca="false">MAX(Q8,IF(IF(Assumptions!$B$188="Customers",Q36,Q43)&gt;=Assumptions!$C$188,1,0))</f>
        <v>0</v>
      </c>
      <c r="S8" s="40" t="n">
        <f aca="false">MAX(R8,IF(IF(Assumptions!$B$188="Customers",R36,R43)&gt;=Assumptions!$C$188,1,0))</f>
        <v>0</v>
      </c>
      <c r="T8" s="40" t="n">
        <f aca="false">MAX(S8,IF(IF(Assumptions!$B$188="Customers",S36,S43)&gt;=Assumptions!$C$188,1,0))</f>
        <v>0</v>
      </c>
      <c r="U8" s="40" t="n">
        <f aca="false">MAX(T8,IF(IF(Assumptions!$B$188="Customers",T36,T43)&gt;=Assumptions!$C$188,1,0))</f>
        <v>1</v>
      </c>
      <c r="V8" s="40" t="n">
        <f aca="false">MAX(U8,IF(IF(Assumptions!$B$188="Customers",U36,U43)&gt;=Assumptions!$C$188,1,0))</f>
        <v>1</v>
      </c>
      <c r="W8" s="40" t="n">
        <f aca="false">MAX(V8,IF(IF(Assumptions!$B$188="Customers",V36,V43)&gt;=Assumptions!$C$188,1,0))</f>
        <v>1</v>
      </c>
      <c r="X8" s="40" t="n">
        <f aca="false">MAX(W8,IF(IF(Assumptions!$B$188="Customers",W36,W43)&gt;=Assumptions!$C$188,1,0))</f>
        <v>1</v>
      </c>
      <c r="Y8" s="40" t="n">
        <f aca="false">MAX(X8,IF(IF(Assumptions!$B$188="Customers",X36,X43)&gt;=Assumptions!$C$188,1,0))</f>
        <v>1</v>
      </c>
      <c r="Z8" s="40" t="n">
        <f aca="false">MAX(Y8,IF(IF(Assumptions!$B$188="Customers",Y36,Y43)&gt;=Assumptions!$C$188,1,0))</f>
        <v>1</v>
      </c>
      <c r="AA8" s="40" t="n">
        <f aca="false">MAX(Z8,IF(IF(Assumptions!$B$188="Customers",Z36,Z43)&gt;=Assumptions!$C$188,1,0))</f>
        <v>1</v>
      </c>
      <c r="AB8" s="40" t="n">
        <f aca="false">MAX(AA8,IF(IF(Assumptions!$B$188="Customers",AA36,AA43)&gt;=Assumptions!$C$188,1,0))</f>
        <v>1</v>
      </c>
      <c r="AC8" s="40" t="n">
        <f aca="false">MAX(AB8,IF(IF(Assumptions!$B$188="Customers",AB36,AB43)&gt;=Assumptions!$C$188,1,0))</f>
        <v>1</v>
      </c>
      <c r="AD8" s="40" t="n">
        <f aca="false">MAX(AC8,IF(IF(Assumptions!$B$188="Customers",AC36,AC43)&gt;=Assumptions!$C$188,1,0))</f>
        <v>1</v>
      </c>
      <c r="AE8" s="40" t="n">
        <f aca="false">MAX(AD8,IF(IF(Assumptions!$B$188="Customers",AD36,AD43)&gt;=Assumptions!$C$188,1,0))</f>
        <v>1</v>
      </c>
      <c r="AF8" s="40" t="n">
        <f aca="false">MAX(AE8,IF(IF(Assumptions!$B$188="Customers",AE36,AE43)&gt;=Assumptions!$C$188,1,0))</f>
        <v>1</v>
      </c>
      <c r="AG8" s="40" t="n">
        <f aca="false">MAX(AF8,IF(IF(Assumptions!$B$188="Customers",AF36,AF43)&gt;=Assumptions!$C$188,1,0))</f>
        <v>1</v>
      </c>
      <c r="AH8" s="40" t="n">
        <f aca="false">MAX(AG8,IF(IF(Assumptions!$B$188="Customers",AG36,AG43)&gt;=Assumptions!$C$188,1,0))</f>
        <v>1</v>
      </c>
      <c r="AI8" s="40" t="n">
        <f aca="false">MAX(AH8,IF(IF(Assumptions!$B$188="Customers",AH36,AH43)&gt;=Assumptions!$C$188,1,0))</f>
        <v>1</v>
      </c>
      <c r="AJ8" s="40" t="n">
        <f aca="false">MAX(AI8,IF(IF(Assumptions!$B$188="Customers",AI36,AI43)&gt;=Assumptions!$C$188,1,0))</f>
        <v>1</v>
      </c>
      <c r="AK8" s="40" t="n">
        <f aca="false">MAX(AJ8,IF(IF(Assumptions!$B$188="Customers",AJ36,AJ43)&gt;=Assumptions!$C$188,1,0))</f>
        <v>1</v>
      </c>
      <c r="AL8" s="40" t="n">
        <f aca="false">MAX(AK8,IF(IF(Assumptions!$B$188="Customers",AK36,AK43)&gt;=Assumptions!$C$188,1,0))</f>
        <v>1</v>
      </c>
    </row>
    <row r="9" customFormat="false" ht="15" hidden="false" customHeight="false" outlineLevel="0" collapsed="false">
      <c r="A9" s="2" t="s">
        <v>554</v>
      </c>
      <c r="B9" s="2" t="s">
        <v>552</v>
      </c>
      <c r="C9" s="40" t="n">
        <f aca="false">0</f>
        <v>0</v>
      </c>
      <c r="D9" s="40" t="n">
        <f aca="false">MAX(C9,IF(IF(Assumptions!$B$189="Customers",C36,C43)&gt;=Assumptions!$C$189,1,0))</f>
        <v>0</v>
      </c>
      <c r="E9" s="40" t="n">
        <f aca="false">MAX(D9,IF(IF(Assumptions!$B$189="Customers",D36,D43)&gt;=Assumptions!$C$189,1,0))</f>
        <v>0</v>
      </c>
      <c r="F9" s="40" t="n">
        <f aca="false">MAX(E9,IF(IF(Assumptions!$B$189="Customers",E36,E43)&gt;=Assumptions!$C$189,1,0))</f>
        <v>0</v>
      </c>
      <c r="G9" s="40" t="n">
        <f aca="false">MAX(F9,IF(IF(Assumptions!$B$189="Customers",F36,F43)&gt;=Assumptions!$C$189,1,0))</f>
        <v>0</v>
      </c>
      <c r="H9" s="40" t="n">
        <f aca="false">MAX(G9,IF(IF(Assumptions!$B$189="Customers",G36,G43)&gt;=Assumptions!$C$189,1,0))</f>
        <v>0</v>
      </c>
      <c r="I9" s="40" t="n">
        <f aca="false">MAX(H9,IF(IF(Assumptions!$B$189="Customers",H36,H43)&gt;=Assumptions!$C$189,1,0))</f>
        <v>0</v>
      </c>
      <c r="J9" s="40" t="n">
        <f aca="false">MAX(I9,IF(IF(Assumptions!$B$189="Customers",I36,I43)&gt;=Assumptions!$C$189,1,0))</f>
        <v>0</v>
      </c>
      <c r="K9" s="40" t="n">
        <f aca="false">MAX(J9,IF(IF(Assumptions!$B$189="Customers",J36,J43)&gt;=Assumptions!$C$189,1,0))</f>
        <v>0</v>
      </c>
      <c r="L9" s="40" t="n">
        <f aca="false">MAX(K9,IF(IF(Assumptions!$B$189="Customers",K36,K43)&gt;=Assumptions!$C$189,1,0))</f>
        <v>0</v>
      </c>
      <c r="M9" s="40" t="n">
        <f aca="false">MAX(L9,IF(IF(Assumptions!$B$189="Customers",L36,L43)&gt;=Assumptions!$C$189,1,0))</f>
        <v>0</v>
      </c>
      <c r="N9" s="40" t="n">
        <f aca="false">MAX(M9,IF(IF(Assumptions!$B$189="Customers",M36,M43)&gt;=Assumptions!$C$189,1,0))</f>
        <v>0</v>
      </c>
      <c r="O9" s="40" t="n">
        <f aca="false">MAX(N9,IF(IF(Assumptions!$B$189="Customers",N36,N43)&gt;=Assumptions!$C$189,1,0))</f>
        <v>0</v>
      </c>
      <c r="P9" s="40" t="n">
        <f aca="false">MAX(O9,IF(IF(Assumptions!$B$189="Customers",O36,O43)&gt;=Assumptions!$C$189,1,0))</f>
        <v>0</v>
      </c>
      <c r="Q9" s="40" t="n">
        <f aca="false">MAX(P9,IF(IF(Assumptions!$B$189="Customers",P36,P43)&gt;=Assumptions!$C$189,1,0))</f>
        <v>0</v>
      </c>
      <c r="R9" s="40" t="n">
        <f aca="false">MAX(Q9,IF(IF(Assumptions!$B$189="Customers",Q36,Q43)&gt;=Assumptions!$C$189,1,0))</f>
        <v>0</v>
      </c>
      <c r="S9" s="40" t="n">
        <f aca="false">MAX(R9,IF(IF(Assumptions!$B$189="Customers",R36,R43)&gt;=Assumptions!$C$189,1,0))</f>
        <v>0</v>
      </c>
      <c r="T9" s="40" t="n">
        <f aca="false">MAX(S9,IF(IF(Assumptions!$B$189="Customers",S36,S43)&gt;=Assumptions!$C$189,1,0))</f>
        <v>0</v>
      </c>
      <c r="U9" s="40" t="n">
        <f aca="false">MAX(T9,IF(IF(Assumptions!$B$189="Customers",T36,T43)&gt;=Assumptions!$C$189,1,0))</f>
        <v>0</v>
      </c>
      <c r="V9" s="40" t="n">
        <f aca="false">MAX(U9,IF(IF(Assumptions!$B$189="Customers",U36,U43)&gt;=Assumptions!$C$189,1,0))</f>
        <v>0</v>
      </c>
      <c r="W9" s="40" t="n">
        <f aca="false">MAX(V9,IF(IF(Assumptions!$B$189="Customers",V36,V43)&gt;=Assumptions!$C$189,1,0))</f>
        <v>0</v>
      </c>
      <c r="X9" s="40" t="n">
        <f aca="false">MAX(W9,IF(IF(Assumptions!$B$189="Customers",W36,W43)&gt;=Assumptions!$C$189,1,0))</f>
        <v>0</v>
      </c>
      <c r="Y9" s="40" t="n">
        <f aca="false">MAX(X9,IF(IF(Assumptions!$B$189="Customers",X36,X43)&gt;=Assumptions!$C$189,1,0))</f>
        <v>1</v>
      </c>
      <c r="Z9" s="40" t="n">
        <f aca="false">MAX(Y9,IF(IF(Assumptions!$B$189="Customers",Y36,Y43)&gt;=Assumptions!$C$189,1,0))</f>
        <v>1</v>
      </c>
      <c r="AA9" s="40" t="n">
        <f aca="false">MAX(Z9,IF(IF(Assumptions!$B$189="Customers",Z36,Z43)&gt;=Assumptions!$C$189,1,0))</f>
        <v>1</v>
      </c>
      <c r="AB9" s="40" t="n">
        <f aca="false">MAX(AA9,IF(IF(Assumptions!$B$189="Customers",AA36,AA43)&gt;=Assumptions!$C$189,1,0))</f>
        <v>1</v>
      </c>
      <c r="AC9" s="40" t="n">
        <f aca="false">MAX(AB9,IF(IF(Assumptions!$B$189="Customers",AB36,AB43)&gt;=Assumptions!$C$189,1,0))</f>
        <v>1</v>
      </c>
      <c r="AD9" s="40" t="n">
        <f aca="false">MAX(AC9,IF(IF(Assumptions!$B$189="Customers",AC36,AC43)&gt;=Assumptions!$C$189,1,0))</f>
        <v>1</v>
      </c>
      <c r="AE9" s="40" t="n">
        <f aca="false">MAX(AD9,IF(IF(Assumptions!$B$189="Customers",AD36,AD43)&gt;=Assumptions!$C$189,1,0))</f>
        <v>1</v>
      </c>
      <c r="AF9" s="40" t="n">
        <f aca="false">MAX(AE9,IF(IF(Assumptions!$B$189="Customers",AE36,AE43)&gt;=Assumptions!$C$189,1,0))</f>
        <v>1</v>
      </c>
      <c r="AG9" s="40" t="n">
        <f aca="false">MAX(AF9,IF(IF(Assumptions!$B$189="Customers",AF36,AF43)&gt;=Assumptions!$C$189,1,0))</f>
        <v>1</v>
      </c>
      <c r="AH9" s="40" t="n">
        <f aca="false">MAX(AG9,IF(IF(Assumptions!$B$189="Customers",AG36,AG43)&gt;=Assumptions!$C$189,1,0))</f>
        <v>1</v>
      </c>
      <c r="AI9" s="40" t="n">
        <f aca="false">MAX(AH9,IF(IF(Assumptions!$B$189="Customers",AH36,AH43)&gt;=Assumptions!$C$189,1,0))</f>
        <v>1</v>
      </c>
      <c r="AJ9" s="40" t="n">
        <f aca="false">MAX(AI9,IF(IF(Assumptions!$B$189="Customers",AI36,AI43)&gt;=Assumptions!$C$189,1,0))</f>
        <v>1</v>
      </c>
      <c r="AK9" s="40" t="n">
        <f aca="false">MAX(AJ9,IF(IF(Assumptions!$B$189="Customers",AJ36,AJ43)&gt;=Assumptions!$C$189,1,0))</f>
        <v>1</v>
      </c>
      <c r="AL9" s="40" t="n">
        <f aca="false">MAX(AK9,IF(IF(Assumptions!$B$189="Customers",AK36,AK43)&gt;=Assumptions!$C$189,1,0))</f>
        <v>1</v>
      </c>
    </row>
    <row r="10" customFormat="false" ht="15" hidden="false" customHeight="false" outlineLevel="0" collapsed="false">
      <c r="A10" s="2" t="s">
        <v>555</v>
      </c>
      <c r="B10" s="2" t="s">
        <v>552</v>
      </c>
      <c r="C10" s="40" t="n">
        <f aca="false">0</f>
        <v>0</v>
      </c>
      <c r="D10" s="40" t="n">
        <f aca="false">MAX(C10,IF(IF(Assumptions!$B$190="Customers",C36,C43)&gt;=Assumptions!$C$190,1,0))</f>
        <v>0</v>
      </c>
      <c r="E10" s="40" t="n">
        <f aca="false">MAX(D10,IF(IF(Assumptions!$B$190="Customers",D36,D43)&gt;=Assumptions!$C$190,1,0))</f>
        <v>0</v>
      </c>
      <c r="F10" s="40" t="n">
        <f aca="false">MAX(E10,IF(IF(Assumptions!$B$190="Customers",E36,E43)&gt;=Assumptions!$C$190,1,0))</f>
        <v>0</v>
      </c>
      <c r="G10" s="40" t="n">
        <f aca="false">MAX(F10,IF(IF(Assumptions!$B$190="Customers",F36,F43)&gt;=Assumptions!$C$190,1,0))</f>
        <v>0</v>
      </c>
      <c r="H10" s="40" t="n">
        <f aca="false">MAX(G10,IF(IF(Assumptions!$B$190="Customers",G36,G43)&gt;=Assumptions!$C$190,1,0))</f>
        <v>0</v>
      </c>
      <c r="I10" s="40" t="n">
        <f aca="false">MAX(H10,IF(IF(Assumptions!$B$190="Customers",H36,H43)&gt;=Assumptions!$C$190,1,0))</f>
        <v>0</v>
      </c>
      <c r="J10" s="40" t="n">
        <f aca="false">MAX(I10,IF(IF(Assumptions!$B$190="Customers",I36,I43)&gt;=Assumptions!$C$190,1,0))</f>
        <v>0</v>
      </c>
      <c r="K10" s="40" t="n">
        <f aca="false">MAX(J10,IF(IF(Assumptions!$B$190="Customers",J36,J43)&gt;=Assumptions!$C$190,1,0))</f>
        <v>0</v>
      </c>
      <c r="L10" s="40" t="n">
        <f aca="false">MAX(K10,IF(IF(Assumptions!$B$190="Customers",K36,K43)&gt;=Assumptions!$C$190,1,0))</f>
        <v>0</v>
      </c>
      <c r="M10" s="40" t="n">
        <f aca="false">MAX(L10,IF(IF(Assumptions!$B$190="Customers",L36,L43)&gt;=Assumptions!$C$190,1,0))</f>
        <v>0</v>
      </c>
      <c r="N10" s="40" t="n">
        <f aca="false">MAX(M10,IF(IF(Assumptions!$B$190="Customers",M36,M43)&gt;=Assumptions!$C$190,1,0))</f>
        <v>0</v>
      </c>
      <c r="O10" s="40" t="n">
        <f aca="false">MAX(N10,IF(IF(Assumptions!$B$190="Customers",N36,N43)&gt;=Assumptions!$C$190,1,0))</f>
        <v>0</v>
      </c>
      <c r="P10" s="40" t="n">
        <f aca="false">MAX(O10,IF(IF(Assumptions!$B$190="Customers",O36,O43)&gt;=Assumptions!$C$190,1,0))</f>
        <v>0</v>
      </c>
      <c r="Q10" s="40" t="n">
        <f aca="false">MAX(P10,IF(IF(Assumptions!$B$190="Customers",P36,P43)&gt;=Assumptions!$C$190,1,0))</f>
        <v>0</v>
      </c>
      <c r="R10" s="40" t="n">
        <f aca="false">MAX(Q10,IF(IF(Assumptions!$B$190="Customers",Q36,Q43)&gt;=Assumptions!$C$190,1,0))</f>
        <v>0</v>
      </c>
      <c r="S10" s="40" t="n">
        <f aca="false">MAX(R10,IF(IF(Assumptions!$B$190="Customers",R36,R43)&gt;=Assumptions!$C$190,1,0))</f>
        <v>0</v>
      </c>
      <c r="T10" s="40" t="n">
        <f aca="false">MAX(S10,IF(IF(Assumptions!$B$190="Customers",S36,S43)&gt;=Assumptions!$C$190,1,0))</f>
        <v>0</v>
      </c>
      <c r="U10" s="40" t="n">
        <f aca="false">MAX(T10,IF(IF(Assumptions!$B$190="Customers",T36,T43)&gt;=Assumptions!$C$190,1,0))</f>
        <v>0</v>
      </c>
      <c r="V10" s="40" t="n">
        <f aca="false">MAX(U10,IF(IF(Assumptions!$B$190="Customers",U36,U43)&gt;=Assumptions!$C$190,1,0))</f>
        <v>0</v>
      </c>
      <c r="W10" s="40" t="n">
        <f aca="false">MAX(V10,IF(IF(Assumptions!$B$190="Customers",V36,V43)&gt;=Assumptions!$C$190,1,0))</f>
        <v>0</v>
      </c>
      <c r="X10" s="40" t="n">
        <f aca="false">MAX(W10,IF(IF(Assumptions!$B$190="Customers",W36,W43)&gt;=Assumptions!$C$190,1,0))</f>
        <v>0</v>
      </c>
      <c r="Y10" s="40" t="n">
        <f aca="false">MAX(X10,IF(IF(Assumptions!$B$190="Customers",X36,X43)&gt;=Assumptions!$C$190,1,0))</f>
        <v>0</v>
      </c>
      <c r="Z10" s="40" t="n">
        <f aca="false">MAX(Y10,IF(IF(Assumptions!$B$190="Customers",Y36,Y43)&gt;=Assumptions!$C$190,1,0))</f>
        <v>0</v>
      </c>
      <c r="AA10" s="40" t="n">
        <f aca="false">MAX(Z10,IF(IF(Assumptions!$B$190="Customers",Z36,Z43)&gt;=Assumptions!$C$190,1,0))</f>
        <v>0</v>
      </c>
      <c r="AB10" s="40" t="n">
        <f aca="false">MAX(AA10,IF(IF(Assumptions!$B$190="Customers",AA36,AA43)&gt;=Assumptions!$C$190,1,0))</f>
        <v>0</v>
      </c>
      <c r="AC10" s="40" t="n">
        <f aca="false">MAX(AB10,IF(IF(Assumptions!$B$190="Customers",AB36,AB43)&gt;=Assumptions!$C$190,1,0))</f>
        <v>0</v>
      </c>
      <c r="AD10" s="40" t="n">
        <f aca="false">MAX(AC10,IF(IF(Assumptions!$B$190="Customers",AC36,AC43)&gt;=Assumptions!$C$190,1,0))</f>
        <v>0</v>
      </c>
      <c r="AE10" s="40" t="n">
        <f aca="false">MAX(AD10,IF(IF(Assumptions!$B$190="Customers",AD36,AD43)&gt;=Assumptions!$C$190,1,0))</f>
        <v>0</v>
      </c>
      <c r="AF10" s="40" t="n">
        <f aca="false">MAX(AE10,IF(IF(Assumptions!$B$190="Customers",AE36,AE43)&gt;=Assumptions!$C$190,1,0))</f>
        <v>1</v>
      </c>
      <c r="AG10" s="40" t="n">
        <f aca="false">MAX(AF10,IF(IF(Assumptions!$B$190="Customers",AF36,AF43)&gt;=Assumptions!$C$190,1,0))</f>
        <v>1</v>
      </c>
      <c r="AH10" s="40" t="n">
        <f aca="false">MAX(AG10,IF(IF(Assumptions!$B$190="Customers",AG36,AG43)&gt;=Assumptions!$C$190,1,0))</f>
        <v>1</v>
      </c>
      <c r="AI10" s="40" t="n">
        <f aca="false">MAX(AH10,IF(IF(Assumptions!$B$190="Customers",AH36,AH43)&gt;=Assumptions!$C$190,1,0))</f>
        <v>1</v>
      </c>
      <c r="AJ10" s="40" t="n">
        <f aca="false">MAX(AI10,IF(IF(Assumptions!$B$190="Customers",AI36,AI43)&gt;=Assumptions!$C$190,1,0))</f>
        <v>1</v>
      </c>
      <c r="AK10" s="40" t="n">
        <f aca="false">MAX(AJ10,IF(IF(Assumptions!$B$190="Customers",AJ36,AJ43)&gt;=Assumptions!$C$190,1,0))</f>
        <v>1</v>
      </c>
      <c r="AL10" s="40" t="n">
        <f aca="false">MAX(AK10,IF(IF(Assumptions!$B$190="Customers",AK36,AK43)&gt;=Assumptions!$C$190,1,0))</f>
        <v>1</v>
      </c>
    </row>
    <row r="11" customFormat="false" ht="15" hidden="false" customHeight="false" outlineLevel="0" collapsed="false">
      <c r="A11" s="2" t="s">
        <v>556</v>
      </c>
      <c r="B11" s="2" t="s">
        <v>552</v>
      </c>
      <c r="C11" s="40" t="n">
        <f aca="false">0</f>
        <v>0</v>
      </c>
      <c r="D11" s="40" t="n">
        <f aca="false">MAX(C11,IF(IF(Assumptions!$B$191="Customers",C36,C43)&gt;=Assumptions!$C$191,1,0))</f>
        <v>0</v>
      </c>
      <c r="E11" s="40" t="n">
        <f aca="false">MAX(D11,IF(IF(Assumptions!$B$191="Customers",D36,D43)&gt;=Assumptions!$C$191,1,0))</f>
        <v>0</v>
      </c>
      <c r="F11" s="40" t="n">
        <f aca="false">MAX(E11,IF(IF(Assumptions!$B$191="Customers",E36,E43)&gt;=Assumptions!$C$191,1,0))</f>
        <v>0</v>
      </c>
      <c r="G11" s="40" t="n">
        <f aca="false">MAX(F11,IF(IF(Assumptions!$B$191="Customers",F36,F43)&gt;=Assumptions!$C$191,1,0))</f>
        <v>0</v>
      </c>
      <c r="H11" s="40" t="n">
        <f aca="false">MAX(G11,IF(IF(Assumptions!$B$191="Customers",G36,G43)&gt;=Assumptions!$C$191,1,0))</f>
        <v>0</v>
      </c>
      <c r="I11" s="40" t="n">
        <f aca="false">MAX(H11,IF(IF(Assumptions!$B$191="Customers",H36,H43)&gt;=Assumptions!$C$191,1,0))</f>
        <v>0</v>
      </c>
      <c r="J11" s="40" t="n">
        <f aca="false">MAX(I11,IF(IF(Assumptions!$B$191="Customers",I36,I43)&gt;=Assumptions!$C$191,1,0))</f>
        <v>0</v>
      </c>
      <c r="K11" s="40" t="n">
        <f aca="false">MAX(J11,IF(IF(Assumptions!$B$191="Customers",J36,J43)&gt;=Assumptions!$C$191,1,0))</f>
        <v>0</v>
      </c>
      <c r="L11" s="40" t="n">
        <f aca="false">MAX(K11,IF(IF(Assumptions!$B$191="Customers",K36,K43)&gt;=Assumptions!$C$191,1,0))</f>
        <v>0</v>
      </c>
      <c r="M11" s="40" t="n">
        <f aca="false">MAX(L11,IF(IF(Assumptions!$B$191="Customers",L36,L43)&gt;=Assumptions!$C$191,1,0))</f>
        <v>0</v>
      </c>
      <c r="N11" s="40" t="n">
        <f aca="false">MAX(M11,IF(IF(Assumptions!$B$191="Customers",M36,M43)&gt;=Assumptions!$C$191,1,0))</f>
        <v>0</v>
      </c>
      <c r="O11" s="40" t="n">
        <f aca="false">MAX(N11,IF(IF(Assumptions!$B$191="Customers",N36,N43)&gt;=Assumptions!$C$191,1,0))</f>
        <v>0</v>
      </c>
      <c r="P11" s="40" t="n">
        <f aca="false">MAX(O11,IF(IF(Assumptions!$B$191="Customers",O36,O43)&gt;=Assumptions!$C$191,1,0))</f>
        <v>0</v>
      </c>
      <c r="Q11" s="40" t="n">
        <f aca="false">MAX(P11,IF(IF(Assumptions!$B$191="Customers",P36,P43)&gt;=Assumptions!$C$191,1,0))</f>
        <v>0</v>
      </c>
      <c r="R11" s="40" t="n">
        <f aca="false">MAX(Q11,IF(IF(Assumptions!$B$191="Customers",Q36,Q43)&gt;=Assumptions!$C$191,1,0))</f>
        <v>0</v>
      </c>
      <c r="S11" s="40" t="n">
        <f aca="false">MAX(R11,IF(IF(Assumptions!$B$191="Customers",R36,R43)&gt;=Assumptions!$C$191,1,0))</f>
        <v>0</v>
      </c>
      <c r="T11" s="40" t="n">
        <f aca="false">MAX(S11,IF(IF(Assumptions!$B$191="Customers",S36,S43)&gt;=Assumptions!$C$191,1,0))</f>
        <v>0</v>
      </c>
      <c r="U11" s="40" t="n">
        <f aca="false">MAX(T11,IF(IF(Assumptions!$B$191="Customers",T36,T43)&gt;=Assumptions!$C$191,1,0))</f>
        <v>0</v>
      </c>
      <c r="V11" s="40" t="n">
        <f aca="false">MAX(U11,IF(IF(Assumptions!$B$191="Customers",U36,U43)&gt;=Assumptions!$C$191,1,0))</f>
        <v>0</v>
      </c>
      <c r="W11" s="40" t="n">
        <f aca="false">MAX(V11,IF(IF(Assumptions!$B$191="Customers",V36,V43)&gt;=Assumptions!$C$191,1,0))</f>
        <v>0</v>
      </c>
      <c r="X11" s="40" t="n">
        <f aca="false">MAX(W11,IF(IF(Assumptions!$B$191="Customers",W36,W43)&gt;=Assumptions!$C$191,1,0))</f>
        <v>0</v>
      </c>
      <c r="Y11" s="40" t="n">
        <f aca="false">MAX(X11,IF(IF(Assumptions!$B$191="Customers",X36,X43)&gt;=Assumptions!$C$191,1,0))</f>
        <v>0</v>
      </c>
      <c r="Z11" s="40" t="n">
        <f aca="false">MAX(Y11,IF(IF(Assumptions!$B$191="Customers",Y36,Y43)&gt;=Assumptions!$C$191,1,0))</f>
        <v>0</v>
      </c>
      <c r="AA11" s="40" t="n">
        <f aca="false">MAX(Z11,IF(IF(Assumptions!$B$191="Customers",Z36,Z43)&gt;=Assumptions!$C$191,1,0))</f>
        <v>0</v>
      </c>
      <c r="AB11" s="40" t="n">
        <f aca="false">MAX(AA11,IF(IF(Assumptions!$B$191="Customers",AA36,AA43)&gt;=Assumptions!$C$191,1,0))</f>
        <v>0</v>
      </c>
      <c r="AC11" s="40" t="n">
        <f aca="false">MAX(AB11,IF(IF(Assumptions!$B$191="Customers",AB36,AB43)&gt;=Assumptions!$C$191,1,0))</f>
        <v>0</v>
      </c>
      <c r="AD11" s="40" t="n">
        <f aca="false">MAX(AC11,IF(IF(Assumptions!$B$191="Customers",AC36,AC43)&gt;=Assumptions!$C$191,1,0))</f>
        <v>0</v>
      </c>
      <c r="AE11" s="40" t="n">
        <f aca="false">MAX(AD11,IF(IF(Assumptions!$B$191="Customers",AD36,AD43)&gt;=Assumptions!$C$191,1,0))</f>
        <v>0</v>
      </c>
      <c r="AF11" s="40" t="n">
        <f aca="false">MAX(AE11,IF(IF(Assumptions!$B$191="Customers",AE36,AE43)&gt;=Assumptions!$C$191,1,0))</f>
        <v>1</v>
      </c>
      <c r="AG11" s="40" t="n">
        <f aca="false">MAX(AF11,IF(IF(Assumptions!$B$191="Customers",AF36,AF43)&gt;=Assumptions!$C$191,1,0))</f>
        <v>1</v>
      </c>
      <c r="AH11" s="40" t="n">
        <f aca="false">MAX(AG11,IF(IF(Assumptions!$B$191="Customers",AG36,AG43)&gt;=Assumptions!$C$191,1,0))</f>
        <v>1</v>
      </c>
      <c r="AI11" s="40" t="n">
        <f aca="false">MAX(AH11,IF(IF(Assumptions!$B$191="Customers",AH36,AH43)&gt;=Assumptions!$C$191,1,0))</f>
        <v>1</v>
      </c>
      <c r="AJ11" s="40" t="n">
        <f aca="false">MAX(AI11,IF(IF(Assumptions!$B$191="Customers",AI36,AI43)&gt;=Assumptions!$C$191,1,0))</f>
        <v>1</v>
      </c>
      <c r="AK11" s="40" t="n">
        <f aca="false">MAX(AJ11,IF(IF(Assumptions!$B$191="Customers",AJ36,AJ43)&gt;=Assumptions!$C$191,1,0))</f>
        <v>1</v>
      </c>
      <c r="AL11" s="40" t="n">
        <f aca="false">MAX(AK11,IF(IF(Assumptions!$B$191="Customers",AK36,AK43)&gt;=Assumptions!$C$191,1,0))</f>
        <v>1</v>
      </c>
    </row>
    <row r="12" customFormat="false" ht="15" hidden="false" customHeight="false" outlineLevel="0" collapsed="false">
      <c r="A12" s="2" t="s">
        <v>557</v>
      </c>
      <c r="B12" s="2" t="s">
        <v>552</v>
      </c>
      <c r="C12" s="40" t="n">
        <f aca="false">0</f>
        <v>0</v>
      </c>
      <c r="D12" s="40" t="n">
        <f aca="false">MAX(C12,IF(IF(Assumptions!$B$192="Customers",C36,C43)&gt;=Assumptions!$C$192,1,0))</f>
        <v>0</v>
      </c>
      <c r="E12" s="40" t="n">
        <f aca="false">MAX(D12,IF(IF(Assumptions!$B$192="Customers",D36,D43)&gt;=Assumptions!$C$192,1,0))</f>
        <v>0</v>
      </c>
      <c r="F12" s="40" t="n">
        <f aca="false">MAX(E12,IF(IF(Assumptions!$B$192="Customers",E36,E43)&gt;=Assumptions!$C$192,1,0))</f>
        <v>0</v>
      </c>
      <c r="G12" s="40" t="n">
        <f aca="false">MAX(F12,IF(IF(Assumptions!$B$192="Customers",F36,F43)&gt;=Assumptions!$C$192,1,0))</f>
        <v>0</v>
      </c>
      <c r="H12" s="40" t="n">
        <f aca="false">MAX(G12,IF(IF(Assumptions!$B$192="Customers",G36,G43)&gt;=Assumptions!$C$192,1,0))</f>
        <v>0</v>
      </c>
      <c r="I12" s="40" t="n">
        <f aca="false">MAX(H12,IF(IF(Assumptions!$B$192="Customers",H36,H43)&gt;=Assumptions!$C$192,1,0))</f>
        <v>0</v>
      </c>
      <c r="J12" s="40" t="n">
        <f aca="false">MAX(I12,IF(IF(Assumptions!$B$192="Customers",I36,I43)&gt;=Assumptions!$C$192,1,0))</f>
        <v>0</v>
      </c>
      <c r="K12" s="40" t="n">
        <f aca="false">MAX(J12,IF(IF(Assumptions!$B$192="Customers",J36,J43)&gt;=Assumptions!$C$192,1,0))</f>
        <v>0</v>
      </c>
      <c r="L12" s="40" t="n">
        <f aca="false">MAX(K12,IF(IF(Assumptions!$B$192="Customers",K36,K43)&gt;=Assumptions!$C$192,1,0))</f>
        <v>0</v>
      </c>
      <c r="M12" s="40" t="n">
        <f aca="false">MAX(L12,IF(IF(Assumptions!$B$192="Customers",L36,L43)&gt;=Assumptions!$C$192,1,0))</f>
        <v>0</v>
      </c>
      <c r="N12" s="40" t="n">
        <f aca="false">MAX(M12,IF(IF(Assumptions!$B$192="Customers",M36,M43)&gt;=Assumptions!$C$192,1,0))</f>
        <v>0</v>
      </c>
      <c r="O12" s="40" t="n">
        <f aca="false">MAX(N12,IF(IF(Assumptions!$B$192="Customers",N36,N43)&gt;=Assumptions!$C$192,1,0))</f>
        <v>0</v>
      </c>
      <c r="P12" s="40" t="n">
        <f aca="false">MAX(O12,IF(IF(Assumptions!$B$192="Customers",O36,O43)&gt;=Assumptions!$C$192,1,0))</f>
        <v>0</v>
      </c>
      <c r="Q12" s="40" t="n">
        <f aca="false">MAX(P12,IF(IF(Assumptions!$B$192="Customers",P36,P43)&gt;=Assumptions!$C$192,1,0))</f>
        <v>0</v>
      </c>
      <c r="R12" s="40" t="n">
        <f aca="false">MAX(Q12,IF(IF(Assumptions!$B$192="Customers",Q36,Q43)&gt;=Assumptions!$C$192,1,0))</f>
        <v>0</v>
      </c>
      <c r="S12" s="40" t="n">
        <f aca="false">MAX(R12,IF(IF(Assumptions!$B$192="Customers",R36,R43)&gt;=Assumptions!$C$192,1,0))</f>
        <v>0</v>
      </c>
      <c r="T12" s="40" t="n">
        <f aca="false">MAX(S12,IF(IF(Assumptions!$B$192="Customers",S36,S43)&gt;=Assumptions!$C$192,1,0))</f>
        <v>0</v>
      </c>
      <c r="U12" s="40" t="n">
        <f aca="false">MAX(T12,IF(IF(Assumptions!$B$192="Customers",T36,T43)&gt;=Assumptions!$C$192,1,0))</f>
        <v>0</v>
      </c>
      <c r="V12" s="40" t="n">
        <f aca="false">MAX(U12,IF(IF(Assumptions!$B$192="Customers",U36,U43)&gt;=Assumptions!$C$192,1,0))</f>
        <v>0</v>
      </c>
      <c r="W12" s="40" t="n">
        <f aca="false">MAX(V12,IF(IF(Assumptions!$B$192="Customers",V36,V43)&gt;=Assumptions!$C$192,1,0))</f>
        <v>0</v>
      </c>
      <c r="X12" s="40" t="n">
        <f aca="false">MAX(W12,IF(IF(Assumptions!$B$192="Customers",W36,W43)&gt;=Assumptions!$C$192,1,0))</f>
        <v>0</v>
      </c>
      <c r="Y12" s="40" t="n">
        <f aca="false">MAX(X12,IF(IF(Assumptions!$B$192="Customers",X36,X43)&gt;=Assumptions!$C$192,1,0))</f>
        <v>0</v>
      </c>
      <c r="Z12" s="40" t="n">
        <f aca="false">MAX(Y12,IF(IF(Assumptions!$B$192="Customers",Y36,Y43)&gt;=Assumptions!$C$192,1,0))</f>
        <v>0</v>
      </c>
      <c r="AA12" s="40" t="n">
        <f aca="false">MAX(Z12,IF(IF(Assumptions!$B$192="Customers",Z36,Z43)&gt;=Assumptions!$C$192,1,0))</f>
        <v>0</v>
      </c>
      <c r="AB12" s="40" t="n">
        <f aca="false">MAX(AA12,IF(IF(Assumptions!$B$192="Customers",AA36,AA43)&gt;=Assumptions!$C$192,1,0))</f>
        <v>0</v>
      </c>
      <c r="AC12" s="40" t="n">
        <f aca="false">MAX(AB12,IF(IF(Assumptions!$B$192="Customers",AB36,AB43)&gt;=Assumptions!$C$192,1,0))</f>
        <v>0</v>
      </c>
      <c r="AD12" s="40" t="n">
        <f aca="false">MAX(AC12,IF(IF(Assumptions!$B$192="Customers",AC36,AC43)&gt;=Assumptions!$C$192,1,0))</f>
        <v>0</v>
      </c>
      <c r="AE12" s="40" t="n">
        <f aca="false">MAX(AD12,IF(IF(Assumptions!$B$192="Customers",AD36,AD43)&gt;=Assumptions!$C$192,1,0))</f>
        <v>0</v>
      </c>
      <c r="AF12" s="40" t="n">
        <f aca="false">MAX(AE12,IF(IF(Assumptions!$B$192="Customers",AE36,AE43)&gt;=Assumptions!$C$192,1,0))</f>
        <v>0</v>
      </c>
      <c r="AG12" s="40" t="n">
        <f aca="false">MAX(AF12,IF(IF(Assumptions!$B$192="Customers",AF36,AF43)&gt;=Assumptions!$C$192,1,0))</f>
        <v>0</v>
      </c>
      <c r="AH12" s="40" t="n">
        <f aca="false">MAX(AG12,IF(IF(Assumptions!$B$192="Customers",AG36,AG43)&gt;=Assumptions!$C$192,1,0))</f>
        <v>0</v>
      </c>
      <c r="AI12" s="40" t="n">
        <f aca="false">MAX(AH12,IF(IF(Assumptions!$B$192="Customers",AH36,AH43)&gt;=Assumptions!$C$192,1,0))</f>
        <v>0</v>
      </c>
      <c r="AJ12" s="40" t="n">
        <f aca="false">MAX(AI12,IF(IF(Assumptions!$B$192="Customers",AI36,AI43)&gt;=Assumptions!$C$192,1,0))</f>
        <v>0</v>
      </c>
      <c r="AK12" s="40" t="n">
        <f aca="false">MAX(AJ12,IF(IF(Assumptions!$B$192="Customers",AJ36,AJ43)&gt;=Assumptions!$C$192,1,0))</f>
        <v>1</v>
      </c>
      <c r="AL12" s="40" t="n">
        <f aca="false">MAX(AK12,IF(IF(Assumptions!$B$192="Customers",AK36,AK43)&gt;=Assumptions!$C$192,1,0))</f>
        <v>1</v>
      </c>
    </row>
    <row r="13" customFormat="false" ht="15" hidden="false" customHeight="false" outlineLevel="0" collapsed="false">
      <c r="A13" s="2" t="s">
        <v>558</v>
      </c>
      <c r="B13" s="2" t="s">
        <v>552</v>
      </c>
      <c r="C13" s="40" t="n">
        <f aca="false">0</f>
        <v>0</v>
      </c>
      <c r="D13" s="40" t="n">
        <f aca="false">MAX(C13,IF(IF(Assumptions!$B$193="Customers",C36,C43)&gt;=Assumptions!$C$193,1,0))</f>
        <v>0</v>
      </c>
      <c r="E13" s="40" t="n">
        <f aca="false">MAX(D13,IF(IF(Assumptions!$B$193="Customers",D36,D43)&gt;=Assumptions!$C$193,1,0))</f>
        <v>0</v>
      </c>
      <c r="F13" s="40" t="n">
        <f aca="false">MAX(E13,IF(IF(Assumptions!$B$193="Customers",E36,E43)&gt;=Assumptions!$C$193,1,0))</f>
        <v>0</v>
      </c>
      <c r="G13" s="40" t="n">
        <f aca="false">MAX(F13,IF(IF(Assumptions!$B$193="Customers",F36,F43)&gt;=Assumptions!$C$193,1,0))</f>
        <v>0</v>
      </c>
      <c r="H13" s="40" t="n">
        <f aca="false">MAX(G13,IF(IF(Assumptions!$B$193="Customers",G36,G43)&gt;=Assumptions!$C$193,1,0))</f>
        <v>0</v>
      </c>
      <c r="I13" s="40" t="n">
        <f aca="false">MAX(H13,IF(IF(Assumptions!$B$193="Customers",H36,H43)&gt;=Assumptions!$C$193,1,0))</f>
        <v>0</v>
      </c>
      <c r="J13" s="40" t="n">
        <f aca="false">MAX(I13,IF(IF(Assumptions!$B$193="Customers",I36,I43)&gt;=Assumptions!$C$193,1,0))</f>
        <v>0</v>
      </c>
      <c r="K13" s="40" t="n">
        <f aca="false">MAX(J13,IF(IF(Assumptions!$B$193="Customers",J36,J43)&gt;=Assumptions!$C$193,1,0))</f>
        <v>0</v>
      </c>
      <c r="L13" s="40" t="n">
        <f aca="false">MAX(K13,IF(IF(Assumptions!$B$193="Customers",K36,K43)&gt;=Assumptions!$C$193,1,0))</f>
        <v>0</v>
      </c>
      <c r="M13" s="40" t="n">
        <f aca="false">MAX(L13,IF(IF(Assumptions!$B$193="Customers",L36,L43)&gt;=Assumptions!$C$193,1,0))</f>
        <v>0</v>
      </c>
      <c r="N13" s="40" t="n">
        <f aca="false">MAX(M13,IF(IF(Assumptions!$B$193="Customers",M36,M43)&gt;=Assumptions!$C$193,1,0))</f>
        <v>0</v>
      </c>
      <c r="O13" s="40" t="n">
        <f aca="false">MAX(N13,IF(IF(Assumptions!$B$193="Customers",N36,N43)&gt;=Assumptions!$C$193,1,0))</f>
        <v>0</v>
      </c>
      <c r="P13" s="40" t="n">
        <f aca="false">MAX(O13,IF(IF(Assumptions!$B$193="Customers",O36,O43)&gt;=Assumptions!$C$193,1,0))</f>
        <v>0</v>
      </c>
      <c r="Q13" s="40" t="n">
        <f aca="false">MAX(P13,IF(IF(Assumptions!$B$193="Customers",P36,P43)&gt;=Assumptions!$C$193,1,0))</f>
        <v>0</v>
      </c>
      <c r="R13" s="40" t="n">
        <f aca="false">MAX(Q13,IF(IF(Assumptions!$B$193="Customers",Q36,Q43)&gt;=Assumptions!$C$193,1,0))</f>
        <v>0</v>
      </c>
      <c r="S13" s="40" t="n">
        <f aca="false">MAX(R13,IF(IF(Assumptions!$B$193="Customers",R36,R43)&gt;=Assumptions!$C$193,1,0))</f>
        <v>0</v>
      </c>
      <c r="T13" s="40" t="n">
        <f aca="false">MAX(S13,IF(IF(Assumptions!$B$193="Customers",S36,S43)&gt;=Assumptions!$C$193,1,0))</f>
        <v>0</v>
      </c>
      <c r="U13" s="40" t="n">
        <f aca="false">MAX(T13,IF(IF(Assumptions!$B$193="Customers",T36,T43)&gt;=Assumptions!$C$193,1,0))</f>
        <v>0</v>
      </c>
      <c r="V13" s="40" t="n">
        <f aca="false">MAX(U13,IF(IF(Assumptions!$B$193="Customers",U36,U43)&gt;=Assumptions!$C$193,1,0))</f>
        <v>0</v>
      </c>
      <c r="W13" s="40" t="n">
        <f aca="false">MAX(V13,IF(IF(Assumptions!$B$193="Customers",V36,V43)&gt;=Assumptions!$C$193,1,0))</f>
        <v>0</v>
      </c>
      <c r="X13" s="40" t="n">
        <f aca="false">MAX(W13,IF(IF(Assumptions!$B$193="Customers",W36,W43)&gt;=Assumptions!$C$193,1,0))</f>
        <v>0</v>
      </c>
      <c r="Y13" s="40" t="n">
        <f aca="false">MAX(X13,IF(IF(Assumptions!$B$193="Customers",X36,X43)&gt;=Assumptions!$C$193,1,0))</f>
        <v>0</v>
      </c>
      <c r="Z13" s="40" t="n">
        <f aca="false">MAX(Y13,IF(IF(Assumptions!$B$193="Customers",Y36,Y43)&gt;=Assumptions!$C$193,1,0))</f>
        <v>0</v>
      </c>
      <c r="AA13" s="40" t="n">
        <f aca="false">MAX(Z13,IF(IF(Assumptions!$B$193="Customers",Z36,Z43)&gt;=Assumptions!$C$193,1,0))</f>
        <v>0</v>
      </c>
      <c r="AB13" s="40" t="n">
        <f aca="false">MAX(AA13,IF(IF(Assumptions!$B$193="Customers",AA36,AA43)&gt;=Assumptions!$C$193,1,0))</f>
        <v>0</v>
      </c>
      <c r="AC13" s="40" t="n">
        <f aca="false">MAX(AB13,IF(IF(Assumptions!$B$193="Customers",AB36,AB43)&gt;=Assumptions!$C$193,1,0))</f>
        <v>0</v>
      </c>
      <c r="AD13" s="40" t="n">
        <f aca="false">MAX(AC13,IF(IF(Assumptions!$B$193="Customers",AC36,AC43)&gt;=Assumptions!$C$193,1,0))</f>
        <v>0</v>
      </c>
      <c r="AE13" s="40" t="n">
        <f aca="false">MAX(AD13,IF(IF(Assumptions!$B$193="Customers",AD36,AD43)&gt;=Assumptions!$C$193,1,0))</f>
        <v>0</v>
      </c>
      <c r="AF13" s="40" t="n">
        <f aca="false">MAX(AE13,IF(IF(Assumptions!$B$193="Customers",AE36,AE43)&gt;=Assumptions!$C$193,1,0))</f>
        <v>0</v>
      </c>
      <c r="AG13" s="40" t="n">
        <f aca="false">MAX(AF13,IF(IF(Assumptions!$B$193="Customers",AF36,AF43)&gt;=Assumptions!$C$193,1,0))</f>
        <v>0</v>
      </c>
      <c r="AH13" s="40" t="n">
        <f aca="false">MAX(AG13,IF(IF(Assumptions!$B$193="Customers",AG36,AG43)&gt;=Assumptions!$C$193,1,0))</f>
        <v>0</v>
      </c>
      <c r="AI13" s="40" t="n">
        <f aca="false">MAX(AH13,IF(IF(Assumptions!$B$193="Customers",AH36,AH43)&gt;=Assumptions!$C$193,1,0))</f>
        <v>1</v>
      </c>
      <c r="AJ13" s="40" t="n">
        <f aca="false">MAX(AI13,IF(IF(Assumptions!$B$193="Customers",AI36,AI43)&gt;=Assumptions!$C$193,1,0))</f>
        <v>1</v>
      </c>
      <c r="AK13" s="40" t="n">
        <f aca="false">MAX(AJ13,IF(IF(Assumptions!$B$193="Customers",AJ36,AJ43)&gt;=Assumptions!$C$193,1,0))</f>
        <v>1</v>
      </c>
      <c r="AL13" s="40" t="n">
        <f aca="false">MAX(AK13,IF(IF(Assumptions!$B$193="Customers",AK36,AK43)&gt;=Assumptions!$C$193,1,0))</f>
        <v>1</v>
      </c>
    </row>
    <row r="14" customFormat="false" ht="15" hidden="false" customHeight="false" outlineLevel="0" collapsed="false">
      <c r="A14" s="2" t="s">
        <v>559</v>
      </c>
      <c r="B14" s="2" t="s">
        <v>552</v>
      </c>
      <c r="C14" s="40" t="n">
        <f aca="false">0</f>
        <v>0</v>
      </c>
      <c r="D14" s="40" t="n">
        <f aca="false">MAX(C14,IF(IF(Assumptions!$B$194="Customers",C36,C43)&gt;=Assumptions!$C$194,1,0))</f>
        <v>0</v>
      </c>
      <c r="E14" s="40" t="n">
        <f aca="false">MAX(D14,IF(IF(Assumptions!$B$194="Customers",D36,D43)&gt;=Assumptions!$C$194,1,0))</f>
        <v>0</v>
      </c>
      <c r="F14" s="40" t="n">
        <f aca="false">MAX(E14,IF(IF(Assumptions!$B$194="Customers",E36,E43)&gt;=Assumptions!$C$194,1,0))</f>
        <v>0</v>
      </c>
      <c r="G14" s="40" t="n">
        <f aca="false">MAX(F14,IF(IF(Assumptions!$B$194="Customers",F36,F43)&gt;=Assumptions!$C$194,1,0))</f>
        <v>0</v>
      </c>
      <c r="H14" s="40" t="n">
        <f aca="false">MAX(G14,IF(IF(Assumptions!$B$194="Customers",G36,G43)&gt;=Assumptions!$C$194,1,0))</f>
        <v>0</v>
      </c>
      <c r="I14" s="40" t="n">
        <f aca="false">MAX(H14,IF(IF(Assumptions!$B$194="Customers",H36,H43)&gt;=Assumptions!$C$194,1,0))</f>
        <v>0</v>
      </c>
      <c r="J14" s="40" t="n">
        <f aca="false">MAX(I14,IF(IF(Assumptions!$B$194="Customers",I36,I43)&gt;=Assumptions!$C$194,1,0))</f>
        <v>0</v>
      </c>
      <c r="K14" s="40" t="n">
        <f aca="false">MAX(J14,IF(IF(Assumptions!$B$194="Customers",J36,J43)&gt;=Assumptions!$C$194,1,0))</f>
        <v>0</v>
      </c>
      <c r="L14" s="40" t="n">
        <f aca="false">MAX(K14,IF(IF(Assumptions!$B$194="Customers",K36,K43)&gt;=Assumptions!$C$194,1,0))</f>
        <v>0</v>
      </c>
      <c r="M14" s="40" t="n">
        <f aca="false">MAX(L14,IF(IF(Assumptions!$B$194="Customers",L36,L43)&gt;=Assumptions!$C$194,1,0))</f>
        <v>0</v>
      </c>
      <c r="N14" s="40" t="n">
        <f aca="false">MAX(M14,IF(IF(Assumptions!$B$194="Customers",M36,M43)&gt;=Assumptions!$C$194,1,0))</f>
        <v>0</v>
      </c>
      <c r="O14" s="40" t="n">
        <f aca="false">MAX(N14,IF(IF(Assumptions!$B$194="Customers",N36,N43)&gt;=Assumptions!$C$194,1,0))</f>
        <v>0</v>
      </c>
      <c r="P14" s="40" t="n">
        <f aca="false">MAX(O14,IF(IF(Assumptions!$B$194="Customers",O36,O43)&gt;=Assumptions!$C$194,1,0))</f>
        <v>0</v>
      </c>
      <c r="Q14" s="40" t="n">
        <f aca="false">MAX(P14,IF(IF(Assumptions!$B$194="Customers",P36,P43)&gt;=Assumptions!$C$194,1,0))</f>
        <v>0</v>
      </c>
      <c r="R14" s="40" t="n">
        <f aca="false">MAX(Q14,IF(IF(Assumptions!$B$194="Customers",Q36,Q43)&gt;=Assumptions!$C$194,1,0))</f>
        <v>0</v>
      </c>
      <c r="S14" s="40" t="n">
        <f aca="false">MAX(R14,IF(IF(Assumptions!$B$194="Customers",R36,R43)&gt;=Assumptions!$C$194,1,0))</f>
        <v>0</v>
      </c>
      <c r="T14" s="40" t="n">
        <f aca="false">MAX(S14,IF(IF(Assumptions!$B$194="Customers",S36,S43)&gt;=Assumptions!$C$194,1,0))</f>
        <v>0</v>
      </c>
      <c r="U14" s="40" t="n">
        <f aca="false">MAX(T14,IF(IF(Assumptions!$B$194="Customers",T36,T43)&gt;=Assumptions!$C$194,1,0))</f>
        <v>0</v>
      </c>
      <c r="V14" s="40" t="n">
        <f aca="false">MAX(U14,IF(IF(Assumptions!$B$194="Customers",U36,U43)&gt;=Assumptions!$C$194,1,0))</f>
        <v>0</v>
      </c>
      <c r="W14" s="40" t="n">
        <f aca="false">MAX(V14,IF(IF(Assumptions!$B$194="Customers",V36,V43)&gt;=Assumptions!$C$194,1,0))</f>
        <v>0</v>
      </c>
      <c r="X14" s="40" t="n">
        <f aca="false">MAX(W14,IF(IF(Assumptions!$B$194="Customers",W36,W43)&gt;=Assumptions!$C$194,1,0))</f>
        <v>0</v>
      </c>
      <c r="Y14" s="40" t="n">
        <f aca="false">MAX(X14,IF(IF(Assumptions!$B$194="Customers",X36,X43)&gt;=Assumptions!$C$194,1,0))</f>
        <v>0</v>
      </c>
      <c r="Z14" s="40" t="n">
        <f aca="false">MAX(Y14,IF(IF(Assumptions!$B$194="Customers",Y36,Y43)&gt;=Assumptions!$C$194,1,0))</f>
        <v>0</v>
      </c>
      <c r="AA14" s="40" t="n">
        <f aca="false">MAX(Z14,IF(IF(Assumptions!$B$194="Customers",Z36,Z43)&gt;=Assumptions!$C$194,1,0))</f>
        <v>0</v>
      </c>
      <c r="AB14" s="40" t="n">
        <f aca="false">MAX(AA14,IF(IF(Assumptions!$B$194="Customers",AA36,AA43)&gt;=Assumptions!$C$194,1,0))</f>
        <v>0</v>
      </c>
      <c r="AC14" s="40" t="n">
        <f aca="false">MAX(AB14,IF(IF(Assumptions!$B$194="Customers",AB36,AB43)&gt;=Assumptions!$C$194,1,0))</f>
        <v>0</v>
      </c>
      <c r="AD14" s="40" t="n">
        <f aca="false">MAX(AC14,IF(IF(Assumptions!$B$194="Customers",AC36,AC43)&gt;=Assumptions!$C$194,1,0))</f>
        <v>0</v>
      </c>
      <c r="AE14" s="40" t="n">
        <f aca="false">MAX(AD14,IF(IF(Assumptions!$B$194="Customers",AD36,AD43)&gt;=Assumptions!$C$194,1,0))</f>
        <v>0</v>
      </c>
      <c r="AF14" s="40" t="n">
        <f aca="false">MAX(AE14,IF(IF(Assumptions!$B$194="Customers",AE36,AE43)&gt;=Assumptions!$C$194,1,0))</f>
        <v>0</v>
      </c>
      <c r="AG14" s="40" t="n">
        <f aca="false">MAX(AF14,IF(IF(Assumptions!$B$194="Customers",AF36,AF43)&gt;=Assumptions!$C$194,1,0))</f>
        <v>0</v>
      </c>
      <c r="AH14" s="40" t="n">
        <f aca="false">MAX(AG14,IF(IF(Assumptions!$B$194="Customers",AG36,AG43)&gt;=Assumptions!$C$194,1,0))</f>
        <v>0</v>
      </c>
      <c r="AI14" s="40" t="n">
        <f aca="false">MAX(AH14,IF(IF(Assumptions!$B$194="Customers",AH36,AH43)&gt;=Assumptions!$C$194,1,0))</f>
        <v>0</v>
      </c>
      <c r="AJ14" s="40" t="n">
        <f aca="false">MAX(AI14,IF(IF(Assumptions!$B$194="Customers",AI36,AI43)&gt;=Assumptions!$C$194,1,0))</f>
        <v>0</v>
      </c>
      <c r="AK14" s="40" t="n">
        <f aca="false">MAX(AJ14,IF(IF(Assumptions!$B$194="Customers",AJ36,AJ43)&gt;=Assumptions!$C$194,1,0))</f>
        <v>0</v>
      </c>
      <c r="AL14" s="40" t="n">
        <f aca="false">MAX(AK14,IF(IF(Assumptions!$B$194="Customers",AK36,AK43)&gt;=Assumptions!$C$194,1,0))</f>
        <v>0</v>
      </c>
    </row>
    <row r="15" customFormat="false" ht="15" hidden="false" customHeight="false" outlineLevel="0" collapsed="false">
      <c r="A15" s="2" t="s">
        <v>560</v>
      </c>
      <c r="B15" s="2" t="s">
        <v>552</v>
      </c>
      <c r="C15" s="40" t="n">
        <f aca="false">0</f>
        <v>0</v>
      </c>
      <c r="D15" s="40" t="n">
        <f aca="false">MAX(C15,IF(IF(Assumptions!$B$195="Customers",C36,C43)&gt;=Assumptions!$C$195,1,0))</f>
        <v>0</v>
      </c>
      <c r="E15" s="40" t="n">
        <f aca="false">MAX(D15,IF(IF(Assumptions!$B$195="Customers",D36,D43)&gt;=Assumptions!$C$195,1,0))</f>
        <v>0</v>
      </c>
      <c r="F15" s="40" t="n">
        <f aca="false">MAX(E15,IF(IF(Assumptions!$B$195="Customers",E36,E43)&gt;=Assumptions!$C$195,1,0))</f>
        <v>0</v>
      </c>
      <c r="G15" s="40" t="n">
        <f aca="false">MAX(F15,IF(IF(Assumptions!$B$195="Customers",F36,F43)&gt;=Assumptions!$C$195,1,0))</f>
        <v>0</v>
      </c>
      <c r="H15" s="40" t="n">
        <f aca="false">MAX(G15,IF(IF(Assumptions!$B$195="Customers",G36,G43)&gt;=Assumptions!$C$195,1,0))</f>
        <v>0</v>
      </c>
      <c r="I15" s="40" t="n">
        <f aca="false">MAX(H15,IF(IF(Assumptions!$B$195="Customers",H36,H43)&gt;=Assumptions!$C$195,1,0))</f>
        <v>0</v>
      </c>
      <c r="J15" s="40" t="n">
        <f aca="false">MAX(I15,IF(IF(Assumptions!$B$195="Customers",I36,I43)&gt;=Assumptions!$C$195,1,0))</f>
        <v>0</v>
      </c>
      <c r="K15" s="40" t="n">
        <f aca="false">MAX(J15,IF(IF(Assumptions!$B$195="Customers",J36,J43)&gt;=Assumptions!$C$195,1,0))</f>
        <v>0</v>
      </c>
      <c r="L15" s="40" t="n">
        <f aca="false">MAX(K15,IF(IF(Assumptions!$B$195="Customers",K36,K43)&gt;=Assumptions!$C$195,1,0))</f>
        <v>0</v>
      </c>
      <c r="M15" s="40" t="n">
        <f aca="false">MAX(L15,IF(IF(Assumptions!$B$195="Customers",L36,L43)&gt;=Assumptions!$C$195,1,0))</f>
        <v>0</v>
      </c>
      <c r="N15" s="40" t="n">
        <f aca="false">MAX(M15,IF(IF(Assumptions!$B$195="Customers",M36,M43)&gt;=Assumptions!$C$195,1,0))</f>
        <v>0</v>
      </c>
      <c r="O15" s="40" t="n">
        <f aca="false">MAX(N15,IF(IF(Assumptions!$B$195="Customers",N36,N43)&gt;=Assumptions!$C$195,1,0))</f>
        <v>0</v>
      </c>
      <c r="P15" s="40" t="n">
        <f aca="false">MAX(O15,IF(IF(Assumptions!$B$195="Customers",O36,O43)&gt;=Assumptions!$C$195,1,0))</f>
        <v>0</v>
      </c>
      <c r="Q15" s="40" t="n">
        <f aca="false">MAX(P15,IF(IF(Assumptions!$B$195="Customers",P36,P43)&gt;=Assumptions!$C$195,1,0))</f>
        <v>0</v>
      </c>
      <c r="R15" s="40" t="n">
        <f aca="false">MAX(Q15,IF(IF(Assumptions!$B$195="Customers",Q36,Q43)&gt;=Assumptions!$C$195,1,0))</f>
        <v>0</v>
      </c>
      <c r="S15" s="40" t="n">
        <f aca="false">MAX(R15,IF(IF(Assumptions!$B$195="Customers",R36,R43)&gt;=Assumptions!$C$195,1,0))</f>
        <v>0</v>
      </c>
      <c r="T15" s="40" t="n">
        <f aca="false">MAX(S15,IF(IF(Assumptions!$B$195="Customers",S36,S43)&gt;=Assumptions!$C$195,1,0))</f>
        <v>0</v>
      </c>
      <c r="U15" s="40" t="n">
        <f aca="false">MAX(T15,IF(IF(Assumptions!$B$195="Customers",T36,T43)&gt;=Assumptions!$C$195,1,0))</f>
        <v>0</v>
      </c>
      <c r="V15" s="40" t="n">
        <f aca="false">MAX(U15,IF(IF(Assumptions!$B$195="Customers",U36,U43)&gt;=Assumptions!$C$195,1,0))</f>
        <v>0</v>
      </c>
      <c r="W15" s="40" t="n">
        <f aca="false">MAX(V15,IF(IF(Assumptions!$B$195="Customers",V36,V43)&gt;=Assumptions!$C$195,1,0))</f>
        <v>0</v>
      </c>
      <c r="X15" s="40" t="n">
        <f aca="false">MAX(W15,IF(IF(Assumptions!$B$195="Customers",W36,W43)&gt;=Assumptions!$C$195,1,0))</f>
        <v>0</v>
      </c>
      <c r="Y15" s="40" t="n">
        <f aca="false">MAX(X15,IF(IF(Assumptions!$B$195="Customers",X36,X43)&gt;=Assumptions!$C$195,1,0))</f>
        <v>0</v>
      </c>
      <c r="Z15" s="40" t="n">
        <f aca="false">MAX(Y15,IF(IF(Assumptions!$B$195="Customers",Y36,Y43)&gt;=Assumptions!$C$195,1,0))</f>
        <v>0</v>
      </c>
      <c r="AA15" s="40" t="n">
        <f aca="false">MAX(Z15,IF(IF(Assumptions!$B$195="Customers",Z36,Z43)&gt;=Assumptions!$C$195,1,0))</f>
        <v>0</v>
      </c>
      <c r="AB15" s="40" t="n">
        <f aca="false">MAX(AA15,IF(IF(Assumptions!$B$195="Customers",AA36,AA43)&gt;=Assumptions!$C$195,1,0))</f>
        <v>0</v>
      </c>
      <c r="AC15" s="40" t="n">
        <f aca="false">MAX(AB15,IF(IF(Assumptions!$B$195="Customers",AB36,AB43)&gt;=Assumptions!$C$195,1,0))</f>
        <v>0</v>
      </c>
      <c r="AD15" s="40" t="n">
        <f aca="false">MAX(AC15,IF(IF(Assumptions!$B$195="Customers",AC36,AC43)&gt;=Assumptions!$C$195,1,0))</f>
        <v>0</v>
      </c>
      <c r="AE15" s="40" t="n">
        <f aca="false">MAX(AD15,IF(IF(Assumptions!$B$195="Customers",AD36,AD43)&gt;=Assumptions!$C$195,1,0))</f>
        <v>0</v>
      </c>
      <c r="AF15" s="40" t="n">
        <f aca="false">MAX(AE15,IF(IF(Assumptions!$B$195="Customers",AE36,AE43)&gt;=Assumptions!$C$195,1,0))</f>
        <v>0</v>
      </c>
      <c r="AG15" s="40" t="n">
        <f aca="false">MAX(AF15,IF(IF(Assumptions!$B$195="Customers",AF36,AF43)&gt;=Assumptions!$C$195,1,0))</f>
        <v>0</v>
      </c>
      <c r="AH15" s="40" t="n">
        <f aca="false">MAX(AG15,IF(IF(Assumptions!$B$195="Customers",AG36,AG43)&gt;=Assumptions!$C$195,1,0))</f>
        <v>0</v>
      </c>
      <c r="AI15" s="40" t="n">
        <f aca="false">MAX(AH15,IF(IF(Assumptions!$B$195="Customers",AH36,AH43)&gt;=Assumptions!$C$195,1,0))</f>
        <v>0</v>
      </c>
      <c r="AJ15" s="40" t="n">
        <f aca="false">MAX(AI15,IF(IF(Assumptions!$B$195="Customers",AI36,AI43)&gt;=Assumptions!$C$195,1,0))</f>
        <v>0</v>
      </c>
      <c r="AK15" s="40" t="n">
        <f aca="false">MAX(AJ15,IF(IF(Assumptions!$B$195="Customers",AJ36,AJ43)&gt;=Assumptions!$C$195,1,0))</f>
        <v>0</v>
      </c>
      <c r="AL15" s="40" t="n">
        <f aca="false">MAX(AK15,IF(IF(Assumptions!$B$195="Customers",AK36,AK43)&gt;=Assumptions!$C$195,1,0))</f>
        <v>0</v>
      </c>
    </row>
    <row r="16" customFormat="false" ht="15" hidden="false" customHeight="false" outlineLevel="0" collapsed="false">
      <c r="A16" s="2" t="s">
        <v>561</v>
      </c>
      <c r="B16" s="2" t="s">
        <v>552</v>
      </c>
      <c r="C16" s="40" t="n">
        <f aca="false">0</f>
        <v>0</v>
      </c>
      <c r="D16" s="40" t="n">
        <f aca="false">MAX(C16,IF(IF(Assumptions!$B$196="Customers",C36,C43)&gt;=Assumptions!$C$196,1,0))</f>
        <v>0</v>
      </c>
      <c r="E16" s="40" t="n">
        <f aca="false">MAX(D16,IF(IF(Assumptions!$B$196="Customers",D36,D43)&gt;=Assumptions!$C$196,1,0))</f>
        <v>0</v>
      </c>
      <c r="F16" s="40" t="n">
        <f aca="false">MAX(E16,IF(IF(Assumptions!$B$196="Customers",E36,E43)&gt;=Assumptions!$C$196,1,0))</f>
        <v>0</v>
      </c>
      <c r="G16" s="40" t="n">
        <f aca="false">MAX(F16,IF(IF(Assumptions!$B$196="Customers",F36,F43)&gt;=Assumptions!$C$196,1,0))</f>
        <v>0</v>
      </c>
      <c r="H16" s="40" t="n">
        <f aca="false">MAX(G16,IF(IF(Assumptions!$B$196="Customers",G36,G43)&gt;=Assumptions!$C$196,1,0))</f>
        <v>0</v>
      </c>
      <c r="I16" s="40" t="n">
        <f aca="false">MAX(H16,IF(IF(Assumptions!$B$196="Customers",H36,H43)&gt;=Assumptions!$C$196,1,0))</f>
        <v>0</v>
      </c>
      <c r="J16" s="40" t="n">
        <f aca="false">MAX(I16,IF(IF(Assumptions!$B$196="Customers",I36,I43)&gt;=Assumptions!$C$196,1,0))</f>
        <v>0</v>
      </c>
      <c r="K16" s="40" t="n">
        <f aca="false">MAX(J16,IF(IF(Assumptions!$B$196="Customers",J36,J43)&gt;=Assumptions!$C$196,1,0))</f>
        <v>0</v>
      </c>
      <c r="L16" s="40" t="n">
        <f aca="false">MAX(K16,IF(IF(Assumptions!$B$196="Customers",K36,K43)&gt;=Assumptions!$C$196,1,0))</f>
        <v>0</v>
      </c>
      <c r="M16" s="40" t="n">
        <f aca="false">MAX(L16,IF(IF(Assumptions!$B$196="Customers",L36,L43)&gt;=Assumptions!$C$196,1,0))</f>
        <v>0</v>
      </c>
      <c r="N16" s="40" t="n">
        <f aca="false">MAX(M16,IF(IF(Assumptions!$B$196="Customers",M36,M43)&gt;=Assumptions!$C$196,1,0))</f>
        <v>0</v>
      </c>
      <c r="O16" s="40" t="n">
        <f aca="false">MAX(N16,IF(IF(Assumptions!$B$196="Customers",N36,N43)&gt;=Assumptions!$C$196,1,0))</f>
        <v>0</v>
      </c>
      <c r="P16" s="40" t="n">
        <f aca="false">MAX(O16,IF(IF(Assumptions!$B$196="Customers",O36,O43)&gt;=Assumptions!$C$196,1,0))</f>
        <v>0</v>
      </c>
      <c r="Q16" s="40" t="n">
        <f aca="false">MAX(P16,IF(IF(Assumptions!$B$196="Customers",P36,P43)&gt;=Assumptions!$C$196,1,0))</f>
        <v>0</v>
      </c>
      <c r="R16" s="40" t="n">
        <f aca="false">MAX(Q16,IF(IF(Assumptions!$B$196="Customers",Q36,Q43)&gt;=Assumptions!$C$196,1,0))</f>
        <v>0</v>
      </c>
      <c r="S16" s="40" t="n">
        <f aca="false">MAX(R16,IF(IF(Assumptions!$B$196="Customers",R36,R43)&gt;=Assumptions!$C$196,1,0))</f>
        <v>0</v>
      </c>
      <c r="T16" s="40" t="n">
        <f aca="false">MAX(S16,IF(IF(Assumptions!$B$196="Customers",S36,S43)&gt;=Assumptions!$C$196,1,0))</f>
        <v>0</v>
      </c>
      <c r="U16" s="40" t="n">
        <f aca="false">MAX(T16,IF(IF(Assumptions!$B$196="Customers",T36,T43)&gt;=Assumptions!$C$196,1,0))</f>
        <v>0</v>
      </c>
      <c r="V16" s="40" t="n">
        <f aca="false">MAX(U16,IF(IF(Assumptions!$B$196="Customers",U36,U43)&gt;=Assumptions!$C$196,1,0))</f>
        <v>0</v>
      </c>
      <c r="W16" s="40" t="n">
        <f aca="false">MAX(V16,IF(IF(Assumptions!$B$196="Customers",V36,V43)&gt;=Assumptions!$C$196,1,0))</f>
        <v>0</v>
      </c>
      <c r="X16" s="40" t="n">
        <f aca="false">MAX(W16,IF(IF(Assumptions!$B$196="Customers",W36,W43)&gt;=Assumptions!$C$196,1,0))</f>
        <v>0</v>
      </c>
      <c r="Y16" s="40" t="n">
        <f aca="false">MAX(X16,IF(IF(Assumptions!$B$196="Customers",X36,X43)&gt;=Assumptions!$C$196,1,0))</f>
        <v>0</v>
      </c>
      <c r="Z16" s="40" t="n">
        <f aca="false">MAX(Y16,IF(IF(Assumptions!$B$196="Customers",Y36,Y43)&gt;=Assumptions!$C$196,1,0))</f>
        <v>0</v>
      </c>
      <c r="AA16" s="40" t="n">
        <f aca="false">MAX(Z16,IF(IF(Assumptions!$B$196="Customers",Z36,Z43)&gt;=Assumptions!$C$196,1,0))</f>
        <v>0</v>
      </c>
      <c r="AB16" s="40" t="n">
        <f aca="false">MAX(AA16,IF(IF(Assumptions!$B$196="Customers",AA36,AA43)&gt;=Assumptions!$C$196,1,0))</f>
        <v>0</v>
      </c>
      <c r="AC16" s="40" t="n">
        <f aca="false">MAX(AB16,IF(IF(Assumptions!$B$196="Customers",AB36,AB43)&gt;=Assumptions!$C$196,1,0))</f>
        <v>0</v>
      </c>
      <c r="AD16" s="40" t="n">
        <f aca="false">MAX(AC16,IF(IF(Assumptions!$B$196="Customers",AC36,AC43)&gt;=Assumptions!$C$196,1,0))</f>
        <v>0</v>
      </c>
      <c r="AE16" s="40" t="n">
        <f aca="false">MAX(AD16,IF(IF(Assumptions!$B$196="Customers",AD36,AD43)&gt;=Assumptions!$C$196,1,0))</f>
        <v>0</v>
      </c>
      <c r="AF16" s="40" t="n">
        <f aca="false">MAX(AE16,IF(IF(Assumptions!$B$196="Customers",AE36,AE43)&gt;=Assumptions!$C$196,1,0))</f>
        <v>0</v>
      </c>
      <c r="AG16" s="40" t="n">
        <f aca="false">MAX(AF16,IF(IF(Assumptions!$B$196="Customers",AF36,AF43)&gt;=Assumptions!$C$196,1,0))</f>
        <v>0</v>
      </c>
      <c r="AH16" s="40" t="n">
        <f aca="false">MAX(AG16,IF(IF(Assumptions!$B$196="Customers",AG36,AG43)&gt;=Assumptions!$C$196,1,0))</f>
        <v>0</v>
      </c>
      <c r="AI16" s="40" t="n">
        <f aca="false">MAX(AH16,IF(IF(Assumptions!$B$196="Customers",AH36,AH43)&gt;=Assumptions!$C$196,1,0))</f>
        <v>0</v>
      </c>
      <c r="AJ16" s="40" t="n">
        <f aca="false">MAX(AI16,IF(IF(Assumptions!$B$196="Customers",AI36,AI43)&gt;=Assumptions!$C$196,1,0))</f>
        <v>0</v>
      </c>
      <c r="AK16" s="40" t="n">
        <f aca="false">MAX(AJ16,IF(IF(Assumptions!$B$196="Customers",AJ36,AJ43)&gt;=Assumptions!$C$196,1,0))</f>
        <v>0</v>
      </c>
      <c r="AL16" s="40" t="n">
        <f aca="false">MAX(AK16,IF(IF(Assumptions!$B$196="Customers",AK36,AK43)&gt;=Assumptions!$C$196,1,0))</f>
        <v>0</v>
      </c>
    </row>
    <row r="17" customFormat="false" ht="15" hidden="false" customHeight="false" outlineLevel="0" collapsed="false">
      <c r="A17" s="3" t="s">
        <v>562</v>
      </c>
      <c r="B17" s="2" t="s">
        <v>563</v>
      </c>
      <c r="C17" s="40" t="n">
        <f aca="false">1+C7+C8+C9+C11+C12+C13+C14+C15+C16</f>
        <v>1</v>
      </c>
      <c r="D17" s="40" t="n">
        <f aca="false">1+D7+D8+D9+D11+D12+D13+D14+D15+D16</f>
        <v>1</v>
      </c>
      <c r="E17" s="40" t="n">
        <f aca="false">1+E7+E8+E9+E11+E12+E13+E14+E15+E16</f>
        <v>1</v>
      </c>
      <c r="F17" s="40" t="n">
        <f aca="false">1+F7+F8+F9+F11+F12+F13+F14+F15+F16</f>
        <v>1</v>
      </c>
      <c r="G17" s="40" t="n">
        <f aca="false">1+G7+G8+G9+G11+G12+G13+G14+G15+G16</f>
        <v>1</v>
      </c>
      <c r="H17" s="40" t="n">
        <f aca="false">1+H7+H8+H9+H11+H12+H13+H14+H15+H16</f>
        <v>1</v>
      </c>
      <c r="I17" s="40" t="n">
        <f aca="false">1+I7+I8+I9+I11+I12+I13+I14+I15+I16</f>
        <v>1</v>
      </c>
      <c r="J17" s="40" t="n">
        <f aca="false">1+J7+J8+J9+J11+J12+J13+J14+J15+J16</f>
        <v>1</v>
      </c>
      <c r="K17" s="40" t="n">
        <f aca="false">1+K7+K8+K9+K11+K12+K13+K14+K15+K16</f>
        <v>1</v>
      </c>
      <c r="L17" s="40" t="n">
        <f aca="false">1+L7+L8+L9+L11+L12+L13+L14+L15+L16</f>
        <v>1</v>
      </c>
      <c r="M17" s="40" t="n">
        <f aca="false">1+M7+M8+M9+M11+M12+M13+M14+M15+M16</f>
        <v>1</v>
      </c>
      <c r="N17" s="40" t="n">
        <f aca="false">1+N7+N8+N9+N11+N12+N13+N14+N15+N16</f>
        <v>1</v>
      </c>
      <c r="O17" s="40" t="n">
        <f aca="false">1+O7+O8+O9+O11+O12+O13+O14+O15+O16</f>
        <v>1</v>
      </c>
      <c r="P17" s="40" t="n">
        <f aca="false">1+P7+P8+P9+P11+P12+P13+P14+P15+P16</f>
        <v>2</v>
      </c>
      <c r="Q17" s="40" t="n">
        <f aca="false">1+Q7+Q8+Q9+Q11+Q12+Q13+Q14+Q15+Q16</f>
        <v>2</v>
      </c>
      <c r="R17" s="40" t="n">
        <f aca="false">1+R7+R8+R9+R11+R12+R13+R14+R15+R16</f>
        <v>2</v>
      </c>
      <c r="S17" s="40" t="n">
        <f aca="false">1+S7+S8+S9+S11+S12+S13+S14+S15+S16</f>
        <v>2</v>
      </c>
      <c r="T17" s="40" t="n">
        <f aca="false">1+T7+T8+T9+T11+T12+T13+T14+T15+T16</f>
        <v>2</v>
      </c>
      <c r="U17" s="40" t="n">
        <f aca="false">1+U7+U8+U9+U11+U12+U13+U14+U15+U16</f>
        <v>3</v>
      </c>
      <c r="V17" s="40" t="n">
        <f aca="false">1+V7+V8+V9+V11+V12+V13+V14+V15+V16</f>
        <v>3</v>
      </c>
      <c r="W17" s="40" t="n">
        <f aca="false">1+W7+W8+W9+W11+W12+W13+W14+W15+W16</f>
        <v>3</v>
      </c>
      <c r="X17" s="40" t="n">
        <f aca="false">1+X7+X8+X9+X11+X12+X13+X14+X15+X16</f>
        <v>3</v>
      </c>
      <c r="Y17" s="40" t="n">
        <f aca="false">1+Y7+Y8+Y9+Y11+Y12+Y13+Y14+Y15+Y16</f>
        <v>4</v>
      </c>
      <c r="Z17" s="40" t="n">
        <f aca="false">1+Z7+Z8+Z9+Z11+Z12+Z13+Z14+Z15+Z16</f>
        <v>4</v>
      </c>
      <c r="AA17" s="40" t="n">
        <f aca="false">1+AA7+AA8+AA9+AA11+AA12+AA13+AA14+AA15+AA16</f>
        <v>4</v>
      </c>
      <c r="AB17" s="40" t="n">
        <f aca="false">1+AB7+AB8+AB9+AB11+AB12+AB13+AB14+AB15+AB16</f>
        <v>4</v>
      </c>
      <c r="AC17" s="40" t="n">
        <f aca="false">1+AC7+AC8+AC9+AC11+AC12+AC13+AC14+AC15+AC16</f>
        <v>4</v>
      </c>
      <c r="AD17" s="40" t="n">
        <f aca="false">1+AD7+AD8+AD9+AD11+AD12+AD13+AD14+AD15+AD16</f>
        <v>4</v>
      </c>
      <c r="AE17" s="40" t="n">
        <f aca="false">1+AE7+AE8+AE9+AE11+AE12+AE13+AE14+AE15+AE16</f>
        <v>4</v>
      </c>
      <c r="AF17" s="40" t="n">
        <f aca="false">1+AF7+AF8+AF9+AF11+AF12+AF13+AF14+AF15+AF16</f>
        <v>5</v>
      </c>
      <c r="AG17" s="40" t="n">
        <f aca="false">1+AG7+AG8+AG9+AG11+AG12+AG13+AG14+AG15+AG16</f>
        <v>5</v>
      </c>
      <c r="AH17" s="40" t="n">
        <f aca="false">1+AH7+AH8+AH9+AH11+AH12+AH13+AH14+AH15+AH16</f>
        <v>5</v>
      </c>
      <c r="AI17" s="40" t="n">
        <f aca="false">1+AI7+AI8+AI9+AI11+AI12+AI13+AI14+AI15+AI16</f>
        <v>6</v>
      </c>
      <c r="AJ17" s="40" t="n">
        <f aca="false">1+AJ7+AJ8+AJ9+AJ11+AJ12+AJ13+AJ14+AJ15+AJ16</f>
        <v>6</v>
      </c>
      <c r="AK17" s="40" t="n">
        <f aca="false">1+AK7+AK8+AK9+AK11+AK12+AK13+AK14+AK15+AK16</f>
        <v>7</v>
      </c>
      <c r="AL17" s="40" t="n">
        <f aca="false">1+AL7+AL8+AL9+AL11+AL12+AL13+AL14+AL15+AL16</f>
        <v>7</v>
      </c>
    </row>
    <row r="18" customFormat="false" ht="15" hidden="false" customHeight="false" outlineLevel="0" collapsed="false">
      <c r="A18" s="2" t="s">
        <v>564</v>
      </c>
      <c r="B18" s="2" t="s">
        <v>563</v>
      </c>
      <c r="C18" s="40" t="n">
        <f aca="false">C9+C14</f>
        <v>0</v>
      </c>
      <c r="D18" s="40" t="n">
        <f aca="false">D9+D14</f>
        <v>0</v>
      </c>
      <c r="E18" s="40" t="n">
        <f aca="false">E9+E14</f>
        <v>0</v>
      </c>
      <c r="F18" s="40" t="n">
        <f aca="false">F9+F14</f>
        <v>0</v>
      </c>
      <c r="G18" s="40" t="n">
        <f aca="false">G9+G14</f>
        <v>0</v>
      </c>
      <c r="H18" s="40" t="n">
        <f aca="false">H9+H14</f>
        <v>0</v>
      </c>
      <c r="I18" s="40" t="n">
        <f aca="false">I9+I14</f>
        <v>0</v>
      </c>
      <c r="J18" s="40" t="n">
        <f aca="false">J9+J14</f>
        <v>0</v>
      </c>
      <c r="K18" s="40" t="n">
        <f aca="false">K9+K14</f>
        <v>0</v>
      </c>
      <c r="L18" s="40" t="n">
        <f aca="false">L9+L14</f>
        <v>0</v>
      </c>
      <c r="M18" s="40" t="n">
        <f aca="false">M9+M14</f>
        <v>0</v>
      </c>
      <c r="N18" s="40" t="n">
        <f aca="false">N9+N14</f>
        <v>0</v>
      </c>
      <c r="O18" s="40" t="n">
        <f aca="false">O9+O14</f>
        <v>0</v>
      </c>
      <c r="P18" s="40" t="n">
        <f aca="false">P9+P14</f>
        <v>0</v>
      </c>
      <c r="Q18" s="40" t="n">
        <f aca="false">Q9+Q14</f>
        <v>0</v>
      </c>
      <c r="R18" s="40" t="n">
        <f aca="false">R9+R14</f>
        <v>0</v>
      </c>
      <c r="S18" s="40" t="n">
        <f aca="false">S9+S14</f>
        <v>0</v>
      </c>
      <c r="T18" s="40" t="n">
        <f aca="false">T9+T14</f>
        <v>0</v>
      </c>
      <c r="U18" s="40" t="n">
        <f aca="false">U9+U14</f>
        <v>0</v>
      </c>
      <c r="V18" s="40" t="n">
        <f aca="false">V9+V14</f>
        <v>0</v>
      </c>
      <c r="W18" s="40" t="n">
        <f aca="false">W9+W14</f>
        <v>0</v>
      </c>
      <c r="X18" s="40" t="n">
        <f aca="false">X9+X14</f>
        <v>0</v>
      </c>
      <c r="Y18" s="40" t="n">
        <f aca="false">Y9+Y14</f>
        <v>1</v>
      </c>
      <c r="Z18" s="40" t="n">
        <f aca="false">Z9+Z14</f>
        <v>1</v>
      </c>
      <c r="AA18" s="40" t="n">
        <f aca="false">AA9+AA14</f>
        <v>1</v>
      </c>
      <c r="AB18" s="40" t="n">
        <f aca="false">AB9+AB14</f>
        <v>1</v>
      </c>
      <c r="AC18" s="40" t="n">
        <f aca="false">AC9+AC14</f>
        <v>1</v>
      </c>
      <c r="AD18" s="40" t="n">
        <f aca="false">AD9+AD14</f>
        <v>1</v>
      </c>
      <c r="AE18" s="40" t="n">
        <f aca="false">AE9+AE14</f>
        <v>1</v>
      </c>
      <c r="AF18" s="40" t="n">
        <f aca="false">AF9+AF14</f>
        <v>1</v>
      </c>
      <c r="AG18" s="40" t="n">
        <f aca="false">AG9+AG14</f>
        <v>1</v>
      </c>
      <c r="AH18" s="40" t="n">
        <f aca="false">AH9+AH14</f>
        <v>1</v>
      </c>
      <c r="AI18" s="40" t="n">
        <f aca="false">AI9+AI14</f>
        <v>1</v>
      </c>
      <c r="AJ18" s="40" t="n">
        <f aca="false">AJ9+AJ14</f>
        <v>1</v>
      </c>
      <c r="AK18" s="40" t="n">
        <f aca="false">AK9+AK14</f>
        <v>1</v>
      </c>
      <c r="AL18" s="40" t="n">
        <f aca="false">AL9+AL14</f>
        <v>1</v>
      </c>
    </row>
    <row r="19" customFormat="false" ht="15" hidden="false" customHeight="false" outlineLevel="0" collapsed="false">
      <c r="A19" s="2" t="s">
        <v>565</v>
      </c>
      <c r="B19" s="2" t="s">
        <v>563</v>
      </c>
      <c r="C19" s="40" t="n">
        <f aca="true">IF(C$3&gt;Assumptions!$D$140,OFFSET(C18,0,-Assumptions!$D$140),0)</f>
        <v>0</v>
      </c>
      <c r="D19" s="40" t="n">
        <f aca="true">IF(D$3&gt;Assumptions!$D$140,OFFSET(D18,0,-Assumptions!$D$140),0)</f>
        <v>0</v>
      </c>
      <c r="E19" s="40" t="n">
        <f aca="true">IF(E$3&gt;Assumptions!$D$140,OFFSET(E18,0,-Assumptions!$D$140),0)</f>
        <v>0</v>
      </c>
      <c r="F19" s="40" t="n">
        <f aca="true">IF(F$3&gt;Assumptions!$D$140,OFFSET(F18,0,-Assumptions!$D$140),0)</f>
        <v>0</v>
      </c>
      <c r="G19" s="40" t="n">
        <f aca="true">IF(G$3&gt;Assumptions!$D$140,OFFSET(G18,0,-Assumptions!$D$140),0)</f>
        <v>0</v>
      </c>
      <c r="H19" s="40" t="n">
        <f aca="true">IF(H$3&gt;Assumptions!$D$140,OFFSET(H18,0,-Assumptions!$D$140),0)</f>
        <v>0</v>
      </c>
      <c r="I19" s="40" t="n">
        <f aca="true">IF(I$3&gt;Assumptions!$D$140,OFFSET(I18,0,-Assumptions!$D$140),0)</f>
        <v>0</v>
      </c>
      <c r="J19" s="40" t="n">
        <f aca="true">IF(J$3&gt;Assumptions!$D$140,OFFSET(J18,0,-Assumptions!$D$140),0)</f>
        <v>0</v>
      </c>
      <c r="K19" s="40" t="n">
        <f aca="true">IF(K$3&gt;Assumptions!$D$140,OFFSET(K18,0,-Assumptions!$D$140),0)</f>
        <v>0</v>
      </c>
      <c r="L19" s="40" t="n">
        <f aca="true">IF(L$3&gt;Assumptions!$D$140,OFFSET(L18,0,-Assumptions!$D$140),0)</f>
        <v>0</v>
      </c>
      <c r="M19" s="40" t="n">
        <f aca="true">IF(M$3&gt;Assumptions!$D$140,OFFSET(M18,0,-Assumptions!$D$140),0)</f>
        <v>0</v>
      </c>
      <c r="N19" s="40" t="n">
        <f aca="true">IF(N$3&gt;Assumptions!$D$140,OFFSET(N18,0,-Assumptions!$D$140),0)</f>
        <v>0</v>
      </c>
      <c r="O19" s="40" t="n">
        <f aca="true">IF(O$3&gt;Assumptions!$D$140,OFFSET(O18,0,-Assumptions!$D$140),0)</f>
        <v>0</v>
      </c>
      <c r="P19" s="40" t="n">
        <f aca="true">IF(P$3&gt;Assumptions!$D$140,OFFSET(P18,0,-Assumptions!$D$140),0)</f>
        <v>0</v>
      </c>
      <c r="Q19" s="40" t="n">
        <f aca="true">IF(Q$3&gt;Assumptions!$D$140,OFFSET(Q18,0,-Assumptions!$D$140),0)</f>
        <v>0</v>
      </c>
      <c r="R19" s="40" t="n">
        <f aca="true">IF(R$3&gt;Assumptions!$D$140,OFFSET(R18,0,-Assumptions!$D$140),0)</f>
        <v>0</v>
      </c>
      <c r="S19" s="40" t="n">
        <f aca="true">IF(S$3&gt;Assumptions!$D$140,OFFSET(S18,0,-Assumptions!$D$140),0)</f>
        <v>0</v>
      </c>
      <c r="T19" s="40" t="n">
        <f aca="true">IF(T$3&gt;Assumptions!$D$140,OFFSET(T18,0,-Assumptions!$D$140),0)</f>
        <v>0</v>
      </c>
      <c r="U19" s="40" t="n">
        <f aca="true">IF(U$3&gt;Assumptions!$D$140,OFFSET(U18,0,-Assumptions!$D$140),0)</f>
        <v>0</v>
      </c>
      <c r="V19" s="40" t="n">
        <f aca="true">IF(V$3&gt;Assumptions!$D$140,OFFSET(V18,0,-Assumptions!$D$140),0)</f>
        <v>0</v>
      </c>
      <c r="W19" s="40" t="n">
        <f aca="true">IF(W$3&gt;Assumptions!$D$140,OFFSET(W18,0,-Assumptions!$D$140),0)</f>
        <v>0</v>
      </c>
      <c r="X19" s="40" t="n">
        <f aca="true">IF(X$3&gt;Assumptions!$D$140,OFFSET(X18,0,-Assumptions!$D$140),0)</f>
        <v>0</v>
      </c>
      <c r="Y19" s="40" t="n">
        <f aca="true">IF(Y$3&gt;Assumptions!$D$140,OFFSET(Y18,0,-Assumptions!$D$140),0)</f>
        <v>0</v>
      </c>
      <c r="Z19" s="40" t="n">
        <f aca="true">IF(Z$3&gt;Assumptions!$D$140,OFFSET(Z18,0,-Assumptions!$D$140),0)</f>
        <v>0</v>
      </c>
      <c r="AA19" s="40" t="n">
        <f aca="true">IF(AA$3&gt;Assumptions!$D$140,OFFSET(AA18,0,-Assumptions!$D$140),0)</f>
        <v>0</v>
      </c>
      <c r="AB19" s="40" t="n">
        <f aca="true">IF(AB$3&gt;Assumptions!$D$140,OFFSET(AB18,0,-Assumptions!$D$140),0)</f>
        <v>1</v>
      </c>
      <c r="AC19" s="40" t="n">
        <f aca="true">IF(AC$3&gt;Assumptions!$D$140,OFFSET(AC18,0,-Assumptions!$D$140),0)</f>
        <v>1</v>
      </c>
      <c r="AD19" s="40" t="n">
        <f aca="true">IF(AD$3&gt;Assumptions!$D$140,OFFSET(AD18,0,-Assumptions!$D$140),0)</f>
        <v>1</v>
      </c>
      <c r="AE19" s="40" t="n">
        <f aca="true">IF(AE$3&gt;Assumptions!$D$140,OFFSET(AE18,0,-Assumptions!$D$140),0)</f>
        <v>1</v>
      </c>
      <c r="AF19" s="40" t="n">
        <f aca="true">IF(AF$3&gt;Assumptions!$D$140,OFFSET(AF18,0,-Assumptions!$D$140),0)</f>
        <v>1</v>
      </c>
      <c r="AG19" s="40" t="n">
        <f aca="true">IF(AG$3&gt;Assumptions!$D$140,OFFSET(AG18,0,-Assumptions!$D$140),0)</f>
        <v>1</v>
      </c>
      <c r="AH19" s="40" t="n">
        <f aca="true">IF(AH$3&gt;Assumptions!$D$140,OFFSET(AH18,0,-Assumptions!$D$140),0)</f>
        <v>1</v>
      </c>
      <c r="AI19" s="40" t="n">
        <f aca="true">IF(AI$3&gt;Assumptions!$D$140,OFFSET(AI18,0,-Assumptions!$D$140),0)</f>
        <v>1</v>
      </c>
      <c r="AJ19" s="40" t="n">
        <f aca="true">IF(AJ$3&gt;Assumptions!$D$140,OFFSET(AJ18,0,-Assumptions!$D$140),0)</f>
        <v>1</v>
      </c>
      <c r="AK19" s="40" t="n">
        <f aca="true">IF(AK$3&gt;Assumptions!$D$140,OFFSET(AK18,0,-Assumptions!$D$140),0)</f>
        <v>1</v>
      </c>
      <c r="AL19" s="40" t="n">
        <f aca="true">IF(AL$3&gt;Assumptions!$D$140,OFFSET(AL18,0,-Assumptions!$D$140),0)</f>
        <v>1</v>
      </c>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row>
    <row r="21" customFormat="false" ht="15" hidden="false" customHeight="false" outlineLevel="0" collapsed="false">
      <c r="A21" s="5" t="s">
        <v>444</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customFormat="false" ht="15" hidden="false" customHeight="false" outlineLevel="0" collapsed="false">
      <c r="A22" s="9" t="s">
        <v>566</v>
      </c>
      <c r="B22" s="2" t="s">
        <v>567</v>
      </c>
      <c r="C22" s="41" t="n">
        <f aca="false">IF(C$3&lt;Assumptions!$D$122,0,MIN(Assumptions!$D$134,Assumptions!$D$126+Assumptions!$D$130*(C$3-Assumptions!$D$122)))</f>
        <v>0</v>
      </c>
      <c r="D22" s="41" t="n">
        <f aca="false">IF(D$3&lt;Assumptions!$D$122,0,MIN(Assumptions!$D$134,Assumptions!$D$126+Assumptions!$D$130*(D$3-Assumptions!$D$122)))</f>
        <v>0</v>
      </c>
      <c r="E22" s="41" t="n">
        <f aca="false">IF(E$3&lt;Assumptions!$D$122,0,MIN(Assumptions!$D$134,Assumptions!$D$126+Assumptions!$D$130*(E$3-Assumptions!$D$122)))</f>
        <v>0</v>
      </c>
      <c r="F22" s="41" t="n">
        <f aca="false">IF(F$3&lt;Assumptions!$D$122,0,MIN(Assumptions!$D$134,Assumptions!$D$126+Assumptions!$D$130*(F$3-Assumptions!$D$122)))</f>
        <v>0</v>
      </c>
      <c r="G22" s="41" t="n">
        <f aca="false">IF(G$3&lt;Assumptions!$D$122,0,MIN(Assumptions!$D$134,Assumptions!$D$126+Assumptions!$D$130*(G$3-Assumptions!$D$122)))</f>
        <v>0</v>
      </c>
      <c r="H22" s="41" t="n">
        <f aca="false">IF(H$3&lt;Assumptions!$D$122,0,MIN(Assumptions!$D$134,Assumptions!$D$126+Assumptions!$D$130*(H$3-Assumptions!$D$122)))</f>
        <v>1.5</v>
      </c>
      <c r="I22" s="41" t="n">
        <f aca="false">IF(I$3&lt;Assumptions!$D$122,0,MIN(Assumptions!$D$134,Assumptions!$D$126+Assumptions!$D$130*(I$3-Assumptions!$D$122)))</f>
        <v>1.75</v>
      </c>
      <c r="J22" s="41" t="n">
        <f aca="false">IF(J$3&lt;Assumptions!$D$122,0,MIN(Assumptions!$D$134,Assumptions!$D$126+Assumptions!$D$130*(J$3-Assumptions!$D$122)))</f>
        <v>2</v>
      </c>
      <c r="K22" s="41" t="n">
        <f aca="false">IF(K$3&lt;Assumptions!$D$122,0,MIN(Assumptions!$D$134,Assumptions!$D$126+Assumptions!$D$130*(K$3-Assumptions!$D$122)))</f>
        <v>2.25</v>
      </c>
      <c r="L22" s="41" t="n">
        <f aca="false">IF(L$3&lt;Assumptions!$D$122,0,MIN(Assumptions!$D$134,Assumptions!$D$126+Assumptions!$D$130*(L$3-Assumptions!$D$122)))</f>
        <v>2.5</v>
      </c>
      <c r="M22" s="41" t="n">
        <f aca="false">IF(M$3&lt;Assumptions!$D$122,0,MIN(Assumptions!$D$134,Assumptions!$D$126+Assumptions!$D$130*(M$3-Assumptions!$D$122)))</f>
        <v>2.75</v>
      </c>
      <c r="N22" s="41" t="n">
        <f aca="false">IF(N$3&lt;Assumptions!$D$122,0,MIN(Assumptions!$D$134,Assumptions!$D$126+Assumptions!$D$130*(N$3-Assumptions!$D$122)))</f>
        <v>3</v>
      </c>
      <c r="O22" s="41" t="n">
        <f aca="false">IF(O$3&lt;Assumptions!$D$122,0,MIN(Assumptions!$D$134,Assumptions!$D$126+Assumptions!$D$130*(O$3-Assumptions!$D$122)))</f>
        <v>3.25</v>
      </c>
      <c r="P22" s="41" t="n">
        <f aca="false">IF(P$3&lt;Assumptions!$D$122,0,MIN(Assumptions!$D$134,Assumptions!$D$126+Assumptions!$D$130*(P$3-Assumptions!$D$122)))</f>
        <v>3.5</v>
      </c>
      <c r="Q22" s="41" t="n">
        <f aca="false">IF(Q$3&lt;Assumptions!$D$122,0,MIN(Assumptions!$D$134,Assumptions!$D$126+Assumptions!$D$130*(Q$3-Assumptions!$D$122)))</f>
        <v>3.75</v>
      </c>
      <c r="R22" s="41" t="n">
        <f aca="false">IF(R$3&lt;Assumptions!$D$122,0,MIN(Assumptions!$D$134,Assumptions!$D$126+Assumptions!$D$130*(R$3-Assumptions!$D$122)))</f>
        <v>4</v>
      </c>
      <c r="S22" s="41" t="n">
        <f aca="false">IF(S$3&lt;Assumptions!$D$122,0,MIN(Assumptions!$D$134,Assumptions!$D$126+Assumptions!$D$130*(S$3-Assumptions!$D$122)))</f>
        <v>4.25</v>
      </c>
      <c r="T22" s="41" t="n">
        <f aca="false">IF(T$3&lt;Assumptions!$D$122,0,MIN(Assumptions!$D$134,Assumptions!$D$126+Assumptions!$D$130*(T$3-Assumptions!$D$122)))</f>
        <v>4.5</v>
      </c>
      <c r="U22" s="41" t="n">
        <f aca="false">IF(U$3&lt;Assumptions!$D$122,0,MIN(Assumptions!$D$134,Assumptions!$D$126+Assumptions!$D$130*(U$3-Assumptions!$D$122)))</f>
        <v>4.75</v>
      </c>
      <c r="V22" s="41" t="n">
        <f aca="false">IF(V$3&lt;Assumptions!$D$122,0,MIN(Assumptions!$D$134,Assumptions!$D$126+Assumptions!$D$130*(V$3-Assumptions!$D$122)))</f>
        <v>5</v>
      </c>
      <c r="W22" s="41" t="n">
        <f aca="false">IF(W$3&lt;Assumptions!$D$122,0,MIN(Assumptions!$D$134,Assumptions!$D$126+Assumptions!$D$130*(W$3-Assumptions!$D$122)))</f>
        <v>5.25</v>
      </c>
      <c r="X22" s="41" t="n">
        <f aca="false">IF(X$3&lt;Assumptions!$D$122,0,MIN(Assumptions!$D$134,Assumptions!$D$126+Assumptions!$D$130*(X$3-Assumptions!$D$122)))</f>
        <v>5.5</v>
      </c>
      <c r="Y22" s="41" t="n">
        <f aca="false">IF(Y$3&lt;Assumptions!$D$122,0,MIN(Assumptions!$D$134,Assumptions!$D$126+Assumptions!$D$130*(Y$3-Assumptions!$D$122)))</f>
        <v>5.75</v>
      </c>
      <c r="Z22" s="41" t="n">
        <f aca="false">IF(Z$3&lt;Assumptions!$D$122,0,MIN(Assumptions!$D$134,Assumptions!$D$126+Assumptions!$D$130*(Z$3-Assumptions!$D$122)))</f>
        <v>6</v>
      </c>
      <c r="AA22" s="41" t="n">
        <f aca="false">IF(AA$3&lt;Assumptions!$D$122,0,MIN(Assumptions!$D$134,Assumptions!$D$126+Assumptions!$D$130*(AA$3-Assumptions!$D$122)))</f>
        <v>6.25</v>
      </c>
      <c r="AB22" s="41" t="n">
        <f aca="false">IF(AB$3&lt;Assumptions!$D$122,0,MIN(Assumptions!$D$134,Assumptions!$D$126+Assumptions!$D$130*(AB$3-Assumptions!$D$122)))</f>
        <v>6.5</v>
      </c>
      <c r="AC22" s="41" t="n">
        <f aca="false">IF(AC$3&lt;Assumptions!$D$122,0,MIN(Assumptions!$D$134,Assumptions!$D$126+Assumptions!$D$130*(AC$3-Assumptions!$D$122)))</f>
        <v>6.75</v>
      </c>
      <c r="AD22" s="41" t="n">
        <f aca="false">IF(AD$3&lt;Assumptions!$D$122,0,MIN(Assumptions!$D$134,Assumptions!$D$126+Assumptions!$D$130*(AD$3-Assumptions!$D$122)))</f>
        <v>7</v>
      </c>
      <c r="AE22" s="41" t="n">
        <f aca="false">IF(AE$3&lt;Assumptions!$D$122,0,MIN(Assumptions!$D$134,Assumptions!$D$126+Assumptions!$D$130*(AE$3-Assumptions!$D$122)))</f>
        <v>7.25</v>
      </c>
      <c r="AF22" s="41" t="n">
        <f aca="false">IF(AF$3&lt;Assumptions!$D$122,0,MIN(Assumptions!$D$134,Assumptions!$D$126+Assumptions!$D$130*(AF$3-Assumptions!$D$122)))</f>
        <v>7.5</v>
      </c>
      <c r="AG22" s="41" t="n">
        <f aca="false">IF(AG$3&lt;Assumptions!$D$122,0,MIN(Assumptions!$D$134,Assumptions!$D$126+Assumptions!$D$130*(AG$3-Assumptions!$D$122)))</f>
        <v>7.75</v>
      </c>
      <c r="AH22" s="41" t="n">
        <f aca="false">IF(AH$3&lt;Assumptions!$D$122,0,MIN(Assumptions!$D$134,Assumptions!$D$126+Assumptions!$D$130*(AH$3-Assumptions!$D$122)))</f>
        <v>8</v>
      </c>
      <c r="AI22" s="41" t="n">
        <f aca="false">IF(AI$3&lt;Assumptions!$D$122,0,MIN(Assumptions!$D$134,Assumptions!$D$126+Assumptions!$D$130*(AI$3-Assumptions!$D$122)))</f>
        <v>8.25</v>
      </c>
      <c r="AJ22" s="41" t="n">
        <f aca="false">IF(AJ$3&lt;Assumptions!$D$122,0,MIN(Assumptions!$D$134,Assumptions!$D$126+Assumptions!$D$130*(AJ$3-Assumptions!$D$122)))</f>
        <v>8.5</v>
      </c>
      <c r="AK22" s="41" t="n">
        <f aca="false">IF(AK$3&lt;Assumptions!$D$122,0,MIN(Assumptions!$D$134,Assumptions!$D$126+Assumptions!$D$130*(AK$3-Assumptions!$D$122)))</f>
        <v>8.75</v>
      </c>
      <c r="AL22" s="41" t="n">
        <f aca="false">IF(AL$3&lt;Assumptions!$D$122,0,MIN(Assumptions!$D$134,Assumptions!$D$126+Assumptions!$D$130*(AL$3-Assumptions!$D$122)))</f>
        <v>9</v>
      </c>
    </row>
    <row r="23" customFormat="false" ht="15" hidden="false" customHeight="false" outlineLevel="0" collapsed="false">
      <c r="A23" s="9" t="s">
        <v>568</v>
      </c>
      <c r="B23" s="2" t="s">
        <v>567</v>
      </c>
      <c r="C23" s="41" t="n">
        <f aca="false">IF(C$3&lt;Assumptions!$D$123,0,MIN(Assumptions!$D$135,Assumptions!$D$127+Assumptions!$D$131*(C$3-Assumptions!$D$123)))</f>
        <v>0</v>
      </c>
      <c r="D23" s="41" t="n">
        <f aca="false">IF(D$3&lt;Assumptions!$D$123,0,MIN(Assumptions!$D$135,Assumptions!$D$127+Assumptions!$D$131*(D$3-Assumptions!$D$123)))</f>
        <v>0</v>
      </c>
      <c r="E23" s="41" t="n">
        <f aca="false">IF(E$3&lt;Assumptions!$D$123,0,MIN(Assumptions!$D$135,Assumptions!$D$127+Assumptions!$D$131*(E$3-Assumptions!$D$123)))</f>
        <v>0</v>
      </c>
      <c r="F23" s="41" t="n">
        <f aca="false">IF(F$3&lt;Assumptions!$D$123,0,MIN(Assumptions!$D$135,Assumptions!$D$127+Assumptions!$D$131*(F$3-Assumptions!$D$123)))</f>
        <v>0</v>
      </c>
      <c r="G23" s="41" t="n">
        <f aca="false">IF(G$3&lt;Assumptions!$D$123,0,MIN(Assumptions!$D$135,Assumptions!$D$127+Assumptions!$D$131*(G$3-Assumptions!$D$123)))</f>
        <v>0</v>
      </c>
      <c r="H23" s="41" t="n">
        <f aca="false">IF(H$3&lt;Assumptions!$D$123,0,MIN(Assumptions!$D$135,Assumptions!$D$127+Assumptions!$D$131*(H$3-Assumptions!$D$123)))</f>
        <v>0</v>
      </c>
      <c r="I23" s="41" t="n">
        <f aca="false">IF(I$3&lt;Assumptions!$D$123,0,MIN(Assumptions!$D$135,Assumptions!$D$127+Assumptions!$D$131*(I$3-Assumptions!$D$123)))</f>
        <v>0.3</v>
      </c>
      <c r="J23" s="41" t="n">
        <f aca="false">IF(J$3&lt;Assumptions!$D$123,0,MIN(Assumptions!$D$135,Assumptions!$D$127+Assumptions!$D$131*(J$3-Assumptions!$D$123)))</f>
        <v>0.38</v>
      </c>
      <c r="K23" s="41" t="n">
        <f aca="false">IF(K$3&lt;Assumptions!$D$123,0,MIN(Assumptions!$D$135,Assumptions!$D$127+Assumptions!$D$131*(K$3-Assumptions!$D$123)))</f>
        <v>0.46</v>
      </c>
      <c r="L23" s="41" t="n">
        <f aca="false">IF(L$3&lt;Assumptions!$D$123,0,MIN(Assumptions!$D$135,Assumptions!$D$127+Assumptions!$D$131*(L$3-Assumptions!$D$123)))</f>
        <v>0.54</v>
      </c>
      <c r="M23" s="41" t="n">
        <f aca="false">IF(M$3&lt;Assumptions!$D$123,0,MIN(Assumptions!$D$135,Assumptions!$D$127+Assumptions!$D$131*(M$3-Assumptions!$D$123)))</f>
        <v>0.62</v>
      </c>
      <c r="N23" s="41" t="n">
        <f aca="false">IF(N$3&lt;Assumptions!$D$123,0,MIN(Assumptions!$D$135,Assumptions!$D$127+Assumptions!$D$131*(N$3-Assumptions!$D$123)))</f>
        <v>0.7</v>
      </c>
      <c r="O23" s="41" t="n">
        <f aca="false">IF(O$3&lt;Assumptions!$D$123,0,MIN(Assumptions!$D$135,Assumptions!$D$127+Assumptions!$D$131*(O$3-Assumptions!$D$123)))</f>
        <v>0.78</v>
      </c>
      <c r="P23" s="41" t="n">
        <f aca="false">IF(P$3&lt;Assumptions!$D$123,0,MIN(Assumptions!$D$135,Assumptions!$D$127+Assumptions!$D$131*(P$3-Assumptions!$D$123)))</f>
        <v>0.86</v>
      </c>
      <c r="Q23" s="41" t="n">
        <f aca="false">IF(Q$3&lt;Assumptions!$D$123,0,MIN(Assumptions!$D$135,Assumptions!$D$127+Assumptions!$D$131*(Q$3-Assumptions!$D$123)))</f>
        <v>0.94</v>
      </c>
      <c r="R23" s="41" t="n">
        <f aca="false">IF(R$3&lt;Assumptions!$D$123,0,MIN(Assumptions!$D$135,Assumptions!$D$127+Assumptions!$D$131*(R$3-Assumptions!$D$123)))</f>
        <v>1.02</v>
      </c>
      <c r="S23" s="41" t="n">
        <f aca="false">IF(S$3&lt;Assumptions!$D$123,0,MIN(Assumptions!$D$135,Assumptions!$D$127+Assumptions!$D$131*(S$3-Assumptions!$D$123)))</f>
        <v>1.1</v>
      </c>
      <c r="T23" s="41" t="n">
        <f aca="false">IF(T$3&lt;Assumptions!$D$123,0,MIN(Assumptions!$D$135,Assumptions!$D$127+Assumptions!$D$131*(T$3-Assumptions!$D$123)))</f>
        <v>1.18</v>
      </c>
      <c r="U23" s="41" t="n">
        <f aca="false">IF(U$3&lt;Assumptions!$D$123,0,MIN(Assumptions!$D$135,Assumptions!$D$127+Assumptions!$D$131*(U$3-Assumptions!$D$123)))</f>
        <v>1.26</v>
      </c>
      <c r="V23" s="41" t="n">
        <f aca="false">IF(V$3&lt;Assumptions!$D$123,0,MIN(Assumptions!$D$135,Assumptions!$D$127+Assumptions!$D$131*(V$3-Assumptions!$D$123)))</f>
        <v>1.34</v>
      </c>
      <c r="W23" s="41" t="n">
        <f aca="false">IF(W$3&lt;Assumptions!$D$123,0,MIN(Assumptions!$D$135,Assumptions!$D$127+Assumptions!$D$131*(W$3-Assumptions!$D$123)))</f>
        <v>1.42</v>
      </c>
      <c r="X23" s="41" t="n">
        <f aca="false">IF(X$3&lt;Assumptions!$D$123,0,MIN(Assumptions!$D$135,Assumptions!$D$127+Assumptions!$D$131*(X$3-Assumptions!$D$123)))</f>
        <v>1.5</v>
      </c>
      <c r="Y23" s="41" t="n">
        <f aca="false">IF(Y$3&lt;Assumptions!$D$123,0,MIN(Assumptions!$D$135,Assumptions!$D$127+Assumptions!$D$131*(Y$3-Assumptions!$D$123)))</f>
        <v>1.58</v>
      </c>
      <c r="Z23" s="41" t="n">
        <f aca="false">IF(Z$3&lt;Assumptions!$D$123,0,MIN(Assumptions!$D$135,Assumptions!$D$127+Assumptions!$D$131*(Z$3-Assumptions!$D$123)))</f>
        <v>1.66</v>
      </c>
      <c r="AA23" s="41" t="n">
        <f aca="false">IF(AA$3&lt;Assumptions!$D$123,0,MIN(Assumptions!$D$135,Assumptions!$D$127+Assumptions!$D$131*(AA$3-Assumptions!$D$123)))</f>
        <v>1.74</v>
      </c>
      <c r="AB23" s="41" t="n">
        <f aca="false">IF(AB$3&lt;Assumptions!$D$123,0,MIN(Assumptions!$D$135,Assumptions!$D$127+Assumptions!$D$131*(AB$3-Assumptions!$D$123)))</f>
        <v>1.82</v>
      </c>
      <c r="AC23" s="41" t="n">
        <f aca="false">IF(AC$3&lt;Assumptions!$D$123,0,MIN(Assumptions!$D$135,Assumptions!$D$127+Assumptions!$D$131*(AC$3-Assumptions!$D$123)))</f>
        <v>1.9</v>
      </c>
      <c r="AD23" s="41" t="n">
        <f aca="false">IF(AD$3&lt;Assumptions!$D$123,0,MIN(Assumptions!$D$135,Assumptions!$D$127+Assumptions!$D$131*(AD$3-Assumptions!$D$123)))</f>
        <v>1.98</v>
      </c>
      <c r="AE23" s="41" t="n">
        <f aca="false">IF(AE$3&lt;Assumptions!$D$123,0,MIN(Assumptions!$D$135,Assumptions!$D$127+Assumptions!$D$131*(AE$3-Assumptions!$D$123)))</f>
        <v>2.06</v>
      </c>
      <c r="AF23" s="41" t="n">
        <f aca="false">IF(AF$3&lt;Assumptions!$D$123,0,MIN(Assumptions!$D$135,Assumptions!$D$127+Assumptions!$D$131*(AF$3-Assumptions!$D$123)))</f>
        <v>2.14</v>
      </c>
      <c r="AG23" s="41" t="n">
        <f aca="false">IF(AG$3&lt;Assumptions!$D$123,0,MIN(Assumptions!$D$135,Assumptions!$D$127+Assumptions!$D$131*(AG$3-Assumptions!$D$123)))</f>
        <v>2.22</v>
      </c>
      <c r="AH23" s="41" t="n">
        <f aca="false">IF(AH$3&lt;Assumptions!$D$123,0,MIN(Assumptions!$D$135,Assumptions!$D$127+Assumptions!$D$131*(AH$3-Assumptions!$D$123)))</f>
        <v>2.3</v>
      </c>
      <c r="AI23" s="41" t="n">
        <f aca="false">IF(AI$3&lt;Assumptions!$D$123,0,MIN(Assumptions!$D$135,Assumptions!$D$127+Assumptions!$D$131*(AI$3-Assumptions!$D$123)))</f>
        <v>2.38</v>
      </c>
      <c r="AJ23" s="41" t="n">
        <f aca="false">IF(AJ$3&lt;Assumptions!$D$123,0,MIN(Assumptions!$D$135,Assumptions!$D$127+Assumptions!$D$131*(AJ$3-Assumptions!$D$123)))</f>
        <v>2.46</v>
      </c>
      <c r="AK23" s="41" t="n">
        <f aca="false">IF(AK$3&lt;Assumptions!$D$123,0,MIN(Assumptions!$D$135,Assumptions!$D$127+Assumptions!$D$131*(AK$3-Assumptions!$D$123)))</f>
        <v>2.54</v>
      </c>
      <c r="AL23" s="41" t="n">
        <f aca="false">IF(AL$3&lt;Assumptions!$D$123,0,MIN(Assumptions!$D$135,Assumptions!$D$127+Assumptions!$D$131*(AL$3-Assumptions!$D$123)))</f>
        <v>2.62</v>
      </c>
    </row>
    <row r="24" customFormat="false" ht="15" hidden="false" customHeight="false" outlineLevel="0" collapsed="false">
      <c r="A24" s="9" t="s">
        <v>569</v>
      </c>
      <c r="B24" s="2" t="s">
        <v>567</v>
      </c>
      <c r="C24" s="41" t="n">
        <f aca="false">IF(C$3&lt;Assumptions!$D$124,0,MIN(Assumptions!$D$136,Assumptions!$D$128+Assumptions!$D$132*(C$3-Assumptions!$D$124)))+IF(C$3&lt;Assumptions!$D$124,0,C$19*Assumptions!$D$138)</f>
        <v>0</v>
      </c>
      <c r="D24" s="41" t="n">
        <f aca="false">IF(D$3&lt;Assumptions!$D$124,0,MIN(Assumptions!$D$136,Assumptions!$D$128+Assumptions!$D$132*(D$3-Assumptions!$D$124)))+IF(D$3&lt;Assumptions!$D$124,0,D$19*Assumptions!$D$138)</f>
        <v>0</v>
      </c>
      <c r="E24" s="41" t="n">
        <f aca="false">IF(E$3&lt;Assumptions!$D$124,0,MIN(Assumptions!$D$136,Assumptions!$D$128+Assumptions!$D$132*(E$3-Assumptions!$D$124)))+IF(E$3&lt;Assumptions!$D$124,0,E$19*Assumptions!$D$138)</f>
        <v>0</v>
      </c>
      <c r="F24" s="41" t="n">
        <f aca="false">IF(F$3&lt;Assumptions!$D$124,0,MIN(Assumptions!$D$136,Assumptions!$D$128+Assumptions!$D$132*(F$3-Assumptions!$D$124)))+IF(F$3&lt;Assumptions!$D$124,0,F$19*Assumptions!$D$138)</f>
        <v>0</v>
      </c>
      <c r="G24" s="41" t="n">
        <f aca="false">IF(G$3&lt;Assumptions!$D$124,0,MIN(Assumptions!$D$136,Assumptions!$D$128+Assumptions!$D$132*(G$3-Assumptions!$D$124)))+IF(G$3&lt;Assumptions!$D$124,0,G$19*Assumptions!$D$138)</f>
        <v>0</v>
      </c>
      <c r="H24" s="41" t="n">
        <f aca="false">IF(H$3&lt;Assumptions!$D$124,0,MIN(Assumptions!$D$136,Assumptions!$D$128+Assumptions!$D$132*(H$3-Assumptions!$D$124)))+IF(H$3&lt;Assumptions!$D$124,0,H$19*Assumptions!$D$138)</f>
        <v>0</v>
      </c>
      <c r="I24" s="41" t="n">
        <f aca="false">IF(I$3&lt;Assumptions!$D$124,0,MIN(Assumptions!$D$136,Assumptions!$D$128+Assumptions!$D$132*(I$3-Assumptions!$D$124)))+IF(I$3&lt;Assumptions!$D$124,0,I$19*Assumptions!$D$138)</f>
        <v>0</v>
      </c>
      <c r="J24" s="41" t="n">
        <f aca="false">IF(J$3&lt;Assumptions!$D$124,0,MIN(Assumptions!$D$136,Assumptions!$D$128+Assumptions!$D$132*(J$3-Assumptions!$D$124)))+IF(J$3&lt;Assumptions!$D$124,0,J$19*Assumptions!$D$138)</f>
        <v>0</v>
      </c>
      <c r="K24" s="41" t="n">
        <f aca="false">IF(K$3&lt;Assumptions!$D$124,0,MIN(Assumptions!$D$136,Assumptions!$D$128+Assumptions!$D$132*(K$3-Assumptions!$D$124)))+IF(K$3&lt;Assumptions!$D$124,0,K$19*Assumptions!$D$138)</f>
        <v>0.2</v>
      </c>
      <c r="L24" s="41" t="n">
        <f aca="false">IF(L$3&lt;Assumptions!$D$124,0,MIN(Assumptions!$D$136,Assumptions!$D$128+Assumptions!$D$132*(L$3-Assumptions!$D$124)))+IF(L$3&lt;Assumptions!$D$124,0,L$19*Assumptions!$D$138)</f>
        <v>0.23</v>
      </c>
      <c r="M24" s="41" t="n">
        <f aca="false">IF(M$3&lt;Assumptions!$D$124,0,MIN(Assumptions!$D$136,Assumptions!$D$128+Assumptions!$D$132*(M$3-Assumptions!$D$124)))+IF(M$3&lt;Assumptions!$D$124,0,M$19*Assumptions!$D$138)</f>
        <v>0.26</v>
      </c>
      <c r="N24" s="41" t="n">
        <f aca="false">IF(N$3&lt;Assumptions!$D$124,0,MIN(Assumptions!$D$136,Assumptions!$D$128+Assumptions!$D$132*(N$3-Assumptions!$D$124)))+IF(N$3&lt;Assumptions!$D$124,0,N$19*Assumptions!$D$138)</f>
        <v>0.29</v>
      </c>
      <c r="O24" s="41" t="n">
        <f aca="false">IF(O$3&lt;Assumptions!$D$124,0,MIN(Assumptions!$D$136,Assumptions!$D$128+Assumptions!$D$132*(O$3-Assumptions!$D$124)))+IF(O$3&lt;Assumptions!$D$124,0,O$19*Assumptions!$D$138)</f>
        <v>0.32</v>
      </c>
      <c r="P24" s="41" t="n">
        <f aca="false">IF(P$3&lt;Assumptions!$D$124,0,MIN(Assumptions!$D$136,Assumptions!$D$128+Assumptions!$D$132*(P$3-Assumptions!$D$124)))+IF(P$3&lt;Assumptions!$D$124,0,P$19*Assumptions!$D$138)</f>
        <v>0.35</v>
      </c>
      <c r="Q24" s="41" t="n">
        <f aca="false">IF(Q$3&lt;Assumptions!$D$124,0,MIN(Assumptions!$D$136,Assumptions!$D$128+Assumptions!$D$132*(Q$3-Assumptions!$D$124)))+IF(Q$3&lt;Assumptions!$D$124,0,Q$19*Assumptions!$D$138)</f>
        <v>0.38</v>
      </c>
      <c r="R24" s="41" t="n">
        <f aca="false">IF(R$3&lt;Assumptions!$D$124,0,MIN(Assumptions!$D$136,Assumptions!$D$128+Assumptions!$D$132*(R$3-Assumptions!$D$124)))+IF(R$3&lt;Assumptions!$D$124,0,R$19*Assumptions!$D$138)</f>
        <v>0.41</v>
      </c>
      <c r="S24" s="41" t="n">
        <f aca="false">IF(S$3&lt;Assumptions!$D$124,0,MIN(Assumptions!$D$136,Assumptions!$D$128+Assumptions!$D$132*(S$3-Assumptions!$D$124)))+IF(S$3&lt;Assumptions!$D$124,0,S$19*Assumptions!$D$138)</f>
        <v>0.44</v>
      </c>
      <c r="T24" s="41" t="n">
        <f aca="false">IF(T$3&lt;Assumptions!$D$124,0,MIN(Assumptions!$D$136,Assumptions!$D$128+Assumptions!$D$132*(T$3-Assumptions!$D$124)))+IF(T$3&lt;Assumptions!$D$124,0,T$19*Assumptions!$D$138)</f>
        <v>0.47</v>
      </c>
      <c r="U24" s="41" t="n">
        <f aca="false">IF(U$3&lt;Assumptions!$D$124,0,MIN(Assumptions!$D$136,Assumptions!$D$128+Assumptions!$D$132*(U$3-Assumptions!$D$124)))+IF(U$3&lt;Assumptions!$D$124,0,U$19*Assumptions!$D$138)</f>
        <v>0.5</v>
      </c>
      <c r="V24" s="41" t="n">
        <f aca="false">IF(V$3&lt;Assumptions!$D$124,0,MIN(Assumptions!$D$136,Assumptions!$D$128+Assumptions!$D$132*(V$3-Assumptions!$D$124)))+IF(V$3&lt;Assumptions!$D$124,0,V$19*Assumptions!$D$138)</f>
        <v>0.53</v>
      </c>
      <c r="W24" s="41" t="n">
        <f aca="false">IF(W$3&lt;Assumptions!$D$124,0,MIN(Assumptions!$D$136,Assumptions!$D$128+Assumptions!$D$132*(W$3-Assumptions!$D$124)))+IF(W$3&lt;Assumptions!$D$124,0,W$19*Assumptions!$D$138)</f>
        <v>0.56</v>
      </c>
      <c r="X24" s="41" t="n">
        <f aca="false">IF(X$3&lt;Assumptions!$D$124,0,MIN(Assumptions!$D$136,Assumptions!$D$128+Assumptions!$D$132*(X$3-Assumptions!$D$124)))+IF(X$3&lt;Assumptions!$D$124,0,X$19*Assumptions!$D$138)</f>
        <v>0.59</v>
      </c>
      <c r="Y24" s="41" t="n">
        <f aca="false">IF(Y$3&lt;Assumptions!$D$124,0,MIN(Assumptions!$D$136,Assumptions!$D$128+Assumptions!$D$132*(Y$3-Assumptions!$D$124)))+IF(Y$3&lt;Assumptions!$D$124,0,Y$19*Assumptions!$D$138)</f>
        <v>0.62</v>
      </c>
      <c r="Z24" s="41" t="n">
        <f aca="false">IF(Z$3&lt;Assumptions!$D$124,0,MIN(Assumptions!$D$136,Assumptions!$D$128+Assumptions!$D$132*(Z$3-Assumptions!$D$124)))+IF(Z$3&lt;Assumptions!$D$124,0,Z$19*Assumptions!$D$138)</f>
        <v>0.65</v>
      </c>
      <c r="AA24" s="41" t="n">
        <f aca="false">IF(AA$3&lt;Assumptions!$D$124,0,MIN(Assumptions!$D$136,Assumptions!$D$128+Assumptions!$D$132*(AA$3-Assumptions!$D$124)))+IF(AA$3&lt;Assumptions!$D$124,0,AA$19*Assumptions!$D$138)</f>
        <v>0.68</v>
      </c>
      <c r="AB24" s="41" t="n">
        <f aca="false">IF(AB$3&lt;Assumptions!$D$124,0,MIN(Assumptions!$D$136,Assumptions!$D$128+Assumptions!$D$132*(AB$3-Assumptions!$D$124)))+IF(AB$3&lt;Assumptions!$D$124,0,AB$19*Assumptions!$D$138)</f>
        <v>1.01</v>
      </c>
      <c r="AC24" s="41" t="n">
        <f aca="false">IF(AC$3&lt;Assumptions!$D$124,0,MIN(Assumptions!$D$136,Assumptions!$D$128+Assumptions!$D$132*(AC$3-Assumptions!$D$124)))+IF(AC$3&lt;Assumptions!$D$124,0,AC$19*Assumptions!$D$138)</f>
        <v>1.04</v>
      </c>
      <c r="AD24" s="41" t="n">
        <f aca="false">IF(AD$3&lt;Assumptions!$D$124,0,MIN(Assumptions!$D$136,Assumptions!$D$128+Assumptions!$D$132*(AD$3-Assumptions!$D$124)))+IF(AD$3&lt;Assumptions!$D$124,0,AD$19*Assumptions!$D$138)</f>
        <v>1.07</v>
      </c>
      <c r="AE24" s="41" t="n">
        <f aca="false">IF(AE$3&lt;Assumptions!$D$124,0,MIN(Assumptions!$D$136,Assumptions!$D$128+Assumptions!$D$132*(AE$3-Assumptions!$D$124)))+IF(AE$3&lt;Assumptions!$D$124,0,AE$19*Assumptions!$D$138)</f>
        <v>1.1</v>
      </c>
      <c r="AF24" s="41" t="n">
        <f aca="false">IF(AF$3&lt;Assumptions!$D$124,0,MIN(Assumptions!$D$136,Assumptions!$D$128+Assumptions!$D$132*(AF$3-Assumptions!$D$124)))+IF(AF$3&lt;Assumptions!$D$124,0,AF$19*Assumptions!$D$138)</f>
        <v>1.13</v>
      </c>
      <c r="AG24" s="41" t="n">
        <f aca="false">IF(AG$3&lt;Assumptions!$D$124,0,MIN(Assumptions!$D$136,Assumptions!$D$128+Assumptions!$D$132*(AG$3-Assumptions!$D$124)))+IF(AG$3&lt;Assumptions!$D$124,0,AG$19*Assumptions!$D$138)</f>
        <v>1.16</v>
      </c>
      <c r="AH24" s="41" t="n">
        <f aca="false">IF(AH$3&lt;Assumptions!$D$124,0,MIN(Assumptions!$D$136,Assumptions!$D$128+Assumptions!$D$132*(AH$3-Assumptions!$D$124)))+IF(AH$3&lt;Assumptions!$D$124,0,AH$19*Assumptions!$D$138)</f>
        <v>1.19</v>
      </c>
      <c r="AI24" s="41" t="n">
        <f aca="false">IF(AI$3&lt;Assumptions!$D$124,0,MIN(Assumptions!$D$136,Assumptions!$D$128+Assumptions!$D$132*(AI$3-Assumptions!$D$124)))+IF(AI$3&lt;Assumptions!$D$124,0,AI$19*Assumptions!$D$138)</f>
        <v>1.22</v>
      </c>
      <c r="AJ24" s="41" t="n">
        <f aca="false">IF(AJ$3&lt;Assumptions!$D$124,0,MIN(Assumptions!$D$136,Assumptions!$D$128+Assumptions!$D$132*(AJ$3-Assumptions!$D$124)))+IF(AJ$3&lt;Assumptions!$D$124,0,AJ$19*Assumptions!$D$138)</f>
        <v>1.25</v>
      </c>
      <c r="AK24" s="41" t="n">
        <f aca="false">IF(AK$3&lt;Assumptions!$D$124,0,MIN(Assumptions!$D$136,Assumptions!$D$128+Assumptions!$D$132*(AK$3-Assumptions!$D$124)))+IF(AK$3&lt;Assumptions!$D$124,0,AK$19*Assumptions!$D$138)</f>
        <v>1.28</v>
      </c>
      <c r="AL24" s="41" t="n">
        <f aca="false">IF(AL$3&lt;Assumptions!$D$124,0,MIN(Assumptions!$D$136,Assumptions!$D$128+Assumptions!$D$132*(AL$3-Assumptions!$D$124)))+IF(AL$3&lt;Assumptions!$D$124,0,AL$19*Assumptions!$D$138)</f>
        <v>1.31</v>
      </c>
    </row>
    <row r="25" customFormat="false" ht="15" hidden="false" customHeight="false" outlineLevel="0" collapsed="false">
      <c r="A25" s="9" t="s">
        <v>570</v>
      </c>
      <c r="B25" s="2" t="s">
        <v>567</v>
      </c>
      <c r="C25" s="41" t="n">
        <f aca="false">IF(C$3&lt;Assumptions!$D$125,0,MIN(Assumptions!$D$137,Assumptions!$D$129+Assumptions!$D$133*(C$3-Assumptions!$D$125)))+IF(C$3&lt;Assumptions!$D$125,0,C$19*Assumptions!$D$139)</f>
        <v>0</v>
      </c>
      <c r="D25" s="41" t="n">
        <f aca="false">IF(D$3&lt;Assumptions!$D$125,0,MIN(Assumptions!$D$137,Assumptions!$D$129+Assumptions!$D$133*(D$3-Assumptions!$D$125)))+IF(D$3&lt;Assumptions!$D$125,0,D$19*Assumptions!$D$139)</f>
        <v>0</v>
      </c>
      <c r="E25" s="41" t="n">
        <f aca="false">IF(E$3&lt;Assumptions!$D$125,0,MIN(Assumptions!$D$137,Assumptions!$D$129+Assumptions!$D$133*(E$3-Assumptions!$D$125)))+IF(E$3&lt;Assumptions!$D$125,0,E$19*Assumptions!$D$139)</f>
        <v>0</v>
      </c>
      <c r="F25" s="41" t="n">
        <f aca="false">IF(F$3&lt;Assumptions!$D$125,0,MIN(Assumptions!$D$137,Assumptions!$D$129+Assumptions!$D$133*(F$3-Assumptions!$D$125)))+IF(F$3&lt;Assumptions!$D$125,0,F$19*Assumptions!$D$139)</f>
        <v>0</v>
      </c>
      <c r="G25" s="41" t="n">
        <f aca="false">IF(G$3&lt;Assumptions!$D$125,0,MIN(Assumptions!$D$137,Assumptions!$D$129+Assumptions!$D$133*(G$3-Assumptions!$D$125)))+IF(G$3&lt;Assumptions!$D$125,0,G$19*Assumptions!$D$139)</f>
        <v>0</v>
      </c>
      <c r="H25" s="41" t="n">
        <f aca="false">IF(H$3&lt;Assumptions!$D$125,0,MIN(Assumptions!$D$137,Assumptions!$D$129+Assumptions!$D$133*(H$3-Assumptions!$D$125)))+IF(H$3&lt;Assumptions!$D$125,0,H$19*Assumptions!$D$139)</f>
        <v>0</v>
      </c>
      <c r="I25" s="41" t="n">
        <f aca="false">IF(I$3&lt;Assumptions!$D$125,0,MIN(Assumptions!$D$137,Assumptions!$D$129+Assumptions!$D$133*(I$3-Assumptions!$D$125)))+IF(I$3&lt;Assumptions!$D$125,0,I$19*Assumptions!$D$139)</f>
        <v>0</v>
      </c>
      <c r="J25" s="41" t="n">
        <f aca="false">IF(J$3&lt;Assumptions!$D$125,0,MIN(Assumptions!$D$137,Assumptions!$D$129+Assumptions!$D$133*(J$3-Assumptions!$D$125)))+IF(J$3&lt;Assumptions!$D$125,0,J$19*Assumptions!$D$139)</f>
        <v>0</v>
      </c>
      <c r="K25" s="41" t="n">
        <f aca="false">IF(K$3&lt;Assumptions!$D$125,0,MIN(Assumptions!$D$137,Assumptions!$D$129+Assumptions!$D$133*(K$3-Assumptions!$D$125)))+IF(K$3&lt;Assumptions!$D$125,0,K$19*Assumptions!$D$139)</f>
        <v>0</v>
      </c>
      <c r="L25" s="41" t="n">
        <f aca="false">IF(L$3&lt;Assumptions!$D$125,0,MIN(Assumptions!$D$137,Assumptions!$D$129+Assumptions!$D$133*(L$3-Assumptions!$D$125)))+IF(L$3&lt;Assumptions!$D$125,0,L$19*Assumptions!$D$139)</f>
        <v>0</v>
      </c>
      <c r="M25" s="41" t="n">
        <f aca="false">IF(M$3&lt;Assumptions!$D$125,0,MIN(Assumptions!$D$137,Assumptions!$D$129+Assumptions!$D$133*(M$3-Assumptions!$D$125)))+IF(M$3&lt;Assumptions!$D$125,0,M$19*Assumptions!$D$139)</f>
        <v>0</v>
      </c>
      <c r="N25" s="41" t="n">
        <f aca="false">IF(N$3&lt;Assumptions!$D$125,0,MIN(Assumptions!$D$137,Assumptions!$D$129+Assumptions!$D$133*(N$3-Assumptions!$D$125)))+IF(N$3&lt;Assumptions!$D$125,0,N$19*Assumptions!$D$139)</f>
        <v>0.08</v>
      </c>
      <c r="O25" s="41" t="n">
        <f aca="false">IF(O$3&lt;Assumptions!$D$125,0,MIN(Assumptions!$D$137,Assumptions!$D$129+Assumptions!$D$133*(O$3-Assumptions!$D$125)))+IF(O$3&lt;Assumptions!$D$125,0,O$19*Assumptions!$D$139)</f>
        <v>0.088</v>
      </c>
      <c r="P25" s="41" t="n">
        <f aca="false">IF(P$3&lt;Assumptions!$D$125,0,MIN(Assumptions!$D$137,Assumptions!$D$129+Assumptions!$D$133*(P$3-Assumptions!$D$125)))+IF(P$3&lt;Assumptions!$D$125,0,P$19*Assumptions!$D$139)</f>
        <v>0.096</v>
      </c>
      <c r="Q25" s="41" t="n">
        <f aca="false">IF(Q$3&lt;Assumptions!$D$125,0,MIN(Assumptions!$D$137,Assumptions!$D$129+Assumptions!$D$133*(Q$3-Assumptions!$D$125)))+IF(Q$3&lt;Assumptions!$D$125,0,Q$19*Assumptions!$D$139)</f>
        <v>0.104</v>
      </c>
      <c r="R25" s="41" t="n">
        <f aca="false">IF(R$3&lt;Assumptions!$D$125,0,MIN(Assumptions!$D$137,Assumptions!$D$129+Assumptions!$D$133*(R$3-Assumptions!$D$125)))+IF(R$3&lt;Assumptions!$D$125,0,R$19*Assumptions!$D$139)</f>
        <v>0.112</v>
      </c>
      <c r="S25" s="41" t="n">
        <f aca="false">IF(S$3&lt;Assumptions!$D$125,0,MIN(Assumptions!$D$137,Assumptions!$D$129+Assumptions!$D$133*(S$3-Assumptions!$D$125)))+IF(S$3&lt;Assumptions!$D$125,0,S$19*Assumptions!$D$139)</f>
        <v>0.12</v>
      </c>
      <c r="T25" s="41" t="n">
        <f aca="false">IF(T$3&lt;Assumptions!$D$125,0,MIN(Assumptions!$D$137,Assumptions!$D$129+Assumptions!$D$133*(T$3-Assumptions!$D$125)))+IF(T$3&lt;Assumptions!$D$125,0,T$19*Assumptions!$D$139)</f>
        <v>0.128</v>
      </c>
      <c r="U25" s="41" t="n">
        <f aca="false">IF(U$3&lt;Assumptions!$D$125,0,MIN(Assumptions!$D$137,Assumptions!$D$129+Assumptions!$D$133*(U$3-Assumptions!$D$125)))+IF(U$3&lt;Assumptions!$D$125,0,U$19*Assumptions!$D$139)</f>
        <v>0.136</v>
      </c>
      <c r="V25" s="41" t="n">
        <f aca="false">IF(V$3&lt;Assumptions!$D$125,0,MIN(Assumptions!$D$137,Assumptions!$D$129+Assumptions!$D$133*(V$3-Assumptions!$D$125)))+IF(V$3&lt;Assumptions!$D$125,0,V$19*Assumptions!$D$139)</f>
        <v>0.144</v>
      </c>
      <c r="W25" s="41" t="n">
        <f aca="false">IF(W$3&lt;Assumptions!$D$125,0,MIN(Assumptions!$D$137,Assumptions!$D$129+Assumptions!$D$133*(W$3-Assumptions!$D$125)))+IF(W$3&lt;Assumptions!$D$125,0,W$19*Assumptions!$D$139)</f>
        <v>0.152</v>
      </c>
      <c r="X25" s="41" t="n">
        <f aca="false">IF(X$3&lt;Assumptions!$D$125,0,MIN(Assumptions!$D$137,Assumptions!$D$129+Assumptions!$D$133*(X$3-Assumptions!$D$125)))+IF(X$3&lt;Assumptions!$D$125,0,X$19*Assumptions!$D$139)</f>
        <v>0.16</v>
      </c>
      <c r="Y25" s="41" t="n">
        <f aca="false">IF(Y$3&lt;Assumptions!$D$125,0,MIN(Assumptions!$D$137,Assumptions!$D$129+Assumptions!$D$133*(Y$3-Assumptions!$D$125)))+IF(Y$3&lt;Assumptions!$D$125,0,Y$19*Assumptions!$D$139)</f>
        <v>0.168</v>
      </c>
      <c r="Z25" s="41" t="n">
        <f aca="false">IF(Z$3&lt;Assumptions!$D$125,0,MIN(Assumptions!$D$137,Assumptions!$D$129+Assumptions!$D$133*(Z$3-Assumptions!$D$125)))+IF(Z$3&lt;Assumptions!$D$125,0,Z$19*Assumptions!$D$139)</f>
        <v>0.176</v>
      </c>
      <c r="AA25" s="41" t="n">
        <f aca="false">IF(AA$3&lt;Assumptions!$D$125,0,MIN(Assumptions!$D$137,Assumptions!$D$129+Assumptions!$D$133*(AA$3-Assumptions!$D$125)))+IF(AA$3&lt;Assumptions!$D$125,0,AA$19*Assumptions!$D$139)</f>
        <v>0.184</v>
      </c>
      <c r="AB25" s="41" t="n">
        <f aca="false">IF(AB$3&lt;Assumptions!$D$125,0,MIN(Assumptions!$D$137,Assumptions!$D$129+Assumptions!$D$133*(AB$3-Assumptions!$D$125)))+IF(AB$3&lt;Assumptions!$D$125,0,AB$19*Assumptions!$D$139)</f>
        <v>0.242</v>
      </c>
      <c r="AC25" s="41" t="n">
        <f aca="false">IF(AC$3&lt;Assumptions!$D$125,0,MIN(Assumptions!$D$137,Assumptions!$D$129+Assumptions!$D$133*(AC$3-Assumptions!$D$125)))+IF(AC$3&lt;Assumptions!$D$125,0,AC$19*Assumptions!$D$139)</f>
        <v>0.25</v>
      </c>
      <c r="AD25" s="41" t="n">
        <f aca="false">IF(AD$3&lt;Assumptions!$D$125,0,MIN(Assumptions!$D$137,Assumptions!$D$129+Assumptions!$D$133*(AD$3-Assumptions!$D$125)))+IF(AD$3&lt;Assumptions!$D$125,0,AD$19*Assumptions!$D$139)</f>
        <v>0.258</v>
      </c>
      <c r="AE25" s="41" t="n">
        <f aca="false">IF(AE$3&lt;Assumptions!$D$125,0,MIN(Assumptions!$D$137,Assumptions!$D$129+Assumptions!$D$133*(AE$3-Assumptions!$D$125)))+IF(AE$3&lt;Assumptions!$D$125,0,AE$19*Assumptions!$D$139)</f>
        <v>0.266</v>
      </c>
      <c r="AF25" s="41" t="n">
        <f aca="false">IF(AF$3&lt;Assumptions!$D$125,0,MIN(Assumptions!$D$137,Assumptions!$D$129+Assumptions!$D$133*(AF$3-Assumptions!$D$125)))+IF(AF$3&lt;Assumptions!$D$125,0,AF$19*Assumptions!$D$139)</f>
        <v>0.274</v>
      </c>
      <c r="AG25" s="41" t="n">
        <f aca="false">IF(AG$3&lt;Assumptions!$D$125,0,MIN(Assumptions!$D$137,Assumptions!$D$129+Assumptions!$D$133*(AG$3-Assumptions!$D$125)))+IF(AG$3&lt;Assumptions!$D$125,0,AG$19*Assumptions!$D$139)</f>
        <v>0.282</v>
      </c>
      <c r="AH25" s="41" t="n">
        <f aca="false">IF(AH$3&lt;Assumptions!$D$125,0,MIN(Assumptions!$D$137,Assumptions!$D$129+Assumptions!$D$133*(AH$3-Assumptions!$D$125)))+IF(AH$3&lt;Assumptions!$D$125,0,AH$19*Assumptions!$D$139)</f>
        <v>0.29</v>
      </c>
      <c r="AI25" s="41" t="n">
        <f aca="false">IF(AI$3&lt;Assumptions!$D$125,0,MIN(Assumptions!$D$137,Assumptions!$D$129+Assumptions!$D$133*(AI$3-Assumptions!$D$125)))+IF(AI$3&lt;Assumptions!$D$125,0,AI$19*Assumptions!$D$139)</f>
        <v>0.298</v>
      </c>
      <c r="AJ25" s="41" t="n">
        <f aca="false">IF(AJ$3&lt;Assumptions!$D$125,0,MIN(Assumptions!$D$137,Assumptions!$D$129+Assumptions!$D$133*(AJ$3-Assumptions!$D$125)))+IF(AJ$3&lt;Assumptions!$D$125,0,AJ$19*Assumptions!$D$139)</f>
        <v>0.306</v>
      </c>
      <c r="AK25" s="41" t="n">
        <f aca="false">IF(AK$3&lt;Assumptions!$D$125,0,MIN(Assumptions!$D$137,Assumptions!$D$129+Assumptions!$D$133*(AK$3-Assumptions!$D$125)))+IF(AK$3&lt;Assumptions!$D$125,0,AK$19*Assumptions!$D$139)</f>
        <v>0.314</v>
      </c>
      <c r="AL25" s="41" t="n">
        <f aca="false">IF(AL$3&lt;Assumptions!$D$125,0,MIN(Assumptions!$D$137,Assumptions!$D$129+Assumptions!$D$133*(AL$3-Assumptions!$D$125)))+IF(AL$3&lt;Assumptions!$D$125,0,AL$19*Assumptions!$D$139)</f>
        <v>0.322</v>
      </c>
    </row>
    <row r="26" customFormat="false" ht="15" hidden="false" customHeight="false" outlineLevel="0" collapsed="false">
      <c r="A26" s="9" t="s">
        <v>571</v>
      </c>
      <c r="B26" s="2" t="s">
        <v>567</v>
      </c>
      <c r="C26" s="41" t="n">
        <f aca="false">0</f>
        <v>0</v>
      </c>
      <c r="D26" s="41" t="n">
        <f aca="false">C30*Assumptions!$D$141</f>
        <v>0</v>
      </c>
      <c r="E26" s="41" t="n">
        <f aca="false">D30*Assumptions!$D$141</f>
        <v>0</v>
      </c>
      <c r="F26" s="41" t="n">
        <f aca="false">E30*Assumptions!$D$141</f>
        <v>0</v>
      </c>
      <c r="G26" s="41" t="n">
        <f aca="false">F30*Assumptions!$D$141</f>
        <v>0</v>
      </c>
      <c r="H26" s="41" t="n">
        <f aca="false">G30*Assumptions!$D$141</f>
        <v>0</v>
      </c>
      <c r="I26" s="41" t="n">
        <f aca="false">H30*Assumptions!$D$141</f>
        <v>0.0525</v>
      </c>
      <c r="J26" s="41" t="n">
        <f aca="false">I30*Assumptions!$D$141</f>
        <v>0.1119125</v>
      </c>
      <c r="K26" s="41" t="n">
        <f aca="false">J30*Assumptions!$D$141</f>
        <v>0.1779955625</v>
      </c>
      <c r="L26" s="41" t="n">
        <f aca="false">K30*Assumptions!$D$141</f>
        <v>0.2505157178125</v>
      </c>
      <c r="M26" s="41" t="n">
        <f aca="false">L30*Assumptions!$D$141</f>
        <v>0.329247667689063</v>
      </c>
      <c r="N26" s="41" t="n">
        <f aca="false">M30*Assumptions!$D$141</f>
        <v>0.413973999319945</v>
      </c>
      <c r="O26" s="41" t="n">
        <f aca="false">N30*Assumptions!$D$141</f>
        <v>0.504484909343747</v>
      </c>
      <c r="P26" s="41" t="n">
        <f aca="false">O30*Assumptions!$D$141</f>
        <v>0.600577937516716</v>
      </c>
      <c r="Q26" s="41" t="n">
        <f aca="false">P30*Assumptions!$D$141</f>
        <v>0.702057709703631</v>
      </c>
      <c r="R26" s="41" t="n">
        <f aca="false">Q30*Assumptions!$D$141</f>
        <v>0.808735689864004</v>
      </c>
      <c r="S26" s="41" t="n">
        <f aca="false">R30*Assumptions!$D$141</f>
        <v>0.920429940718764</v>
      </c>
      <c r="T26" s="41" t="n">
        <f aca="false">S30*Assumptions!$D$141</f>
        <v>1.03696489279361</v>
      </c>
      <c r="U26" s="41" t="n">
        <f aca="false">T30*Assumptions!$D$141</f>
        <v>1.15817112154583</v>
      </c>
      <c r="V26" s="41" t="n">
        <f aca="false">U30*Assumptions!$D$141</f>
        <v>1.28388513229173</v>
      </c>
      <c r="W26" s="41" t="n">
        <f aca="false">V30*Assumptions!$D$141</f>
        <v>1.41394915266152</v>
      </c>
      <c r="X26" s="41" t="n">
        <f aca="false">W30*Assumptions!$D$141</f>
        <v>1.54821093231836</v>
      </c>
      <c r="Y26" s="41" t="n">
        <f aca="false">X30*Assumptions!$D$141</f>
        <v>1.68652354968722</v>
      </c>
      <c r="Z26" s="41" t="n">
        <f aca="false">Y30*Assumptions!$D$141</f>
        <v>1.82874522544817</v>
      </c>
      <c r="AA26" s="41" t="n">
        <f aca="false">Z30*Assumptions!$D$141</f>
        <v>1.97473914255748</v>
      </c>
      <c r="AB26" s="41" t="n">
        <f aca="false">AA30*Assumptions!$D$141</f>
        <v>2.12437327256797</v>
      </c>
      <c r="AC26" s="41" t="n">
        <f aca="false">AB30*Assumptions!$D$141</f>
        <v>2.27752020802809</v>
      </c>
      <c r="AD26" s="41" t="n">
        <f aca="false">AC30*Assumptions!$D$141</f>
        <v>2.43405700074711</v>
      </c>
      <c r="AE26" s="41" t="n">
        <f aca="false">AD30*Assumptions!$D$141</f>
        <v>2.59386500572096</v>
      </c>
      <c r="AF26" s="41" t="n">
        <f aca="false">AE30*Assumptions!$D$141</f>
        <v>2.75682973052073</v>
      </c>
      <c r="AG26" s="41" t="n">
        <f aca="false">AF30*Assumptions!$D$141</f>
        <v>2.9228406899525</v>
      </c>
      <c r="AH26" s="41" t="n">
        <f aca="false">AG30*Assumptions!$D$141</f>
        <v>3.09179126580416</v>
      </c>
      <c r="AI26" s="41" t="n">
        <f aca="false">AH30*Assumptions!$D$141</f>
        <v>3.26357857150102</v>
      </c>
      <c r="AJ26" s="41" t="n">
        <f aca="false">AI30*Assumptions!$D$141</f>
        <v>3.43810332149848</v>
      </c>
      <c r="AK26" s="41" t="n">
        <f aca="false">AJ30*Assumptions!$D$141</f>
        <v>3.61526970524604</v>
      </c>
      <c r="AL26" s="41" t="n">
        <f aca="false">AK30*Assumptions!$D$141</f>
        <v>3.79498526556242</v>
      </c>
    </row>
    <row r="27" customFormat="false" ht="15" hidden="false" customHeight="false" outlineLevel="0" collapsed="false">
      <c r="A27" s="9" t="s">
        <v>572</v>
      </c>
      <c r="B27" s="2" t="s">
        <v>567</v>
      </c>
      <c r="C27" s="41" t="n">
        <f aca="false">0</f>
        <v>0</v>
      </c>
      <c r="D27" s="41" t="n">
        <f aca="false">C31*Assumptions!$D$142</f>
        <v>0</v>
      </c>
      <c r="E27" s="41" t="n">
        <f aca="false">D31*Assumptions!$D$142</f>
        <v>0</v>
      </c>
      <c r="F27" s="41" t="n">
        <f aca="false">E31*Assumptions!$D$142</f>
        <v>0</v>
      </c>
      <c r="G27" s="41" t="n">
        <f aca="false">F31*Assumptions!$D$142</f>
        <v>0</v>
      </c>
      <c r="H27" s="41" t="n">
        <f aca="false">G31*Assumptions!$D$142</f>
        <v>0</v>
      </c>
      <c r="I27" s="41" t="n">
        <f aca="false">H31*Assumptions!$D$142</f>
        <v>0</v>
      </c>
      <c r="J27" s="41" t="n">
        <f aca="false">I31*Assumptions!$D$142</f>
        <v>0.0075</v>
      </c>
      <c r="K27" s="41" t="n">
        <f aca="false">J31*Assumptions!$D$142</f>
        <v>0.0168125</v>
      </c>
      <c r="L27" s="41" t="n">
        <f aca="false">K31*Assumptions!$D$142</f>
        <v>0.0278921875</v>
      </c>
      <c r="M27" s="41" t="n">
        <f aca="false">L31*Assumptions!$D$142</f>
        <v>0.0406948828125</v>
      </c>
      <c r="N27" s="41" t="n">
        <f aca="false">M31*Assumptions!$D$142</f>
        <v>0.0551775107421875</v>
      </c>
      <c r="O27" s="41" t="n">
        <f aca="false">N31*Assumptions!$D$142</f>
        <v>0.0712980729736328</v>
      </c>
      <c r="P27" s="41" t="n">
        <f aca="false">O31*Assumptions!$D$142</f>
        <v>0.089015621149292</v>
      </c>
      <c r="Q27" s="41" t="n">
        <f aca="false">P31*Assumptions!$D$142</f>
        <v>0.10829023062056</v>
      </c>
      <c r="R27" s="41" t="n">
        <f aca="false">Q31*Assumptions!$D$142</f>
        <v>0.129082974855046</v>
      </c>
      <c r="S27" s="41" t="n">
        <f aca="false">R31*Assumptions!$D$142</f>
        <v>0.15135590048367</v>
      </c>
      <c r="T27" s="41" t="n">
        <f aca="false">S31*Assumptions!$D$142</f>
        <v>0.175072002971578</v>
      </c>
      <c r="U27" s="41" t="n">
        <f aca="false">T31*Assumptions!$D$142</f>
        <v>0.200195202897288</v>
      </c>
      <c r="V27" s="41" t="n">
        <f aca="false">U31*Assumptions!$D$142</f>
        <v>0.226690322824856</v>
      </c>
      <c r="W27" s="41" t="n">
        <f aca="false">V31*Assumptions!$D$142</f>
        <v>0.254523064754235</v>
      </c>
      <c r="X27" s="41" t="n">
        <f aca="false">W31*Assumptions!$D$142</f>
        <v>0.283659988135379</v>
      </c>
      <c r="Y27" s="41" t="n">
        <f aca="false">X31*Assumptions!$D$142</f>
        <v>0.314068488431994</v>
      </c>
      <c r="Z27" s="41" t="n">
        <f aca="false">Y31*Assumptions!$D$142</f>
        <v>0.345716776221195</v>
      </c>
      <c r="AA27" s="41" t="n">
        <f aca="false">Z31*Assumptions!$D$142</f>
        <v>0.378573856815665</v>
      </c>
      <c r="AB27" s="41" t="n">
        <f aca="false">AA31*Assumptions!$D$142</f>
        <v>0.412609510395273</v>
      </c>
      <c r="AC27" s="41" t="n">
        <f aca="false">AB31*Assumptions!$D$142</f>
        <v>0.447794272635391</v>
      </c>
      <c r="AD27" s="41" t="n">
        <f aca="false">AC31*Assumptions!$D$142</f>
        <v>0.484099415819506</v>
      </c>
      <c r="AE27" s="41" t="n">
        <f aca="false">AD31*Assumptions!$D$142</f>
        <v>0.521496930424019</v>
      </c>
      <c r="AF27" s="41" t="n">
        <f aca="false">AE31*Assumptions!$D$142</f>
        <v>0.559959507163418</v>
      </c>
      <c r="AG27" s="41" t="n">
        <f aca="false">AF31*Assumptions!$D$142</f>
        <v>0.599460519484333</v>
      </c>
      <c r="AH27" s="41" t="n">
        <f aca="false">AG31*Assumptions!$D$142</f>
        <v>0.639974006497225</v>
      </c>
      <c r="AI27" s="41" t="n">
        <f aca="false">AH31*Assumptions!$D$142</f>
        <v>0.681474656334794</v>
      </c>
      <c r="AJ27" s="41" t="n">
        <f aca="false">AI31*Assumptions!$D$142</f>
        <v>0.723937789926424</v>
      </c>
      <c r="AK27" s="41" t="n">
        <f aca="false">AJ31*Assumptions!$D$142</f>
        <v>0.767339345178264</v>
      </c>
      <c r="AL27" s="41" t="n">
        <f aca="false">AK31*Assumptions!$D$142</f>
        <v>0.811655861548807</v>
      </c>
    </row>
    <row r="28" customFormat="false" ht="15" hidden="false" customHeight="false" outlineLevel="0" collapsed="false">
      <c r="A28" s="9" t="s">
        <v>573</v>
      </c>
      <c r="B28" s="2" t="s">
        <v>567</v>
      </c>
      <c r="C28" s="41" t="n">
        <f aca="false">0</f>
        <v>0</v>
      </c>
      <c r="D28" s="41" t="n">
        <f aca="false">C32*Assumptions!$D$143</f>
        <v>0</v>
      </c>
      <c r="E28" s="41" t="n">
        <f aca="false">D32*Assumptions!$D$143</f>
        <v>0</v>
      </c>
      <c r="F28" s="41" t="n">
        <f aca="false">E32*Assumptions!$D$143</f>
        <v>0</v>
      </c>
      <c r="G28" s="41" t="n">
        <f aca="false">F32*Assumptions!$D$143</f>
        <v>0</v>
      </c>
      <c r="H28" s="41" t="n">
        <f aca="false">G32*Assumptions!$D$143</f>
        <v>0</v>
      </c>
      <c r="I28" s="41" t="n">
        <f aca="false">H32*Assumptions!$D$143</f>
        <v>0</v>
      </c>
      <c r="J28" s="41" t="n">
        <f aca="false">I32*Assumptions!$D$143</f>
        <v>0</v>
      </c>
      <c r="K28" s="41" t="n">
        <f aca="false">J32*Assumptions!$D$143</f>
        <v>0</v>
      </c>
      <c r="L28" s="41" t="n">
        <f aca="false">K32*Assumptions!$D$143</f>
        <v>0.002</v>
      </c>
      <c r="M28" s="41" t="n">
        <f aca="false">L32*Assumptions!$D$143</f>
        <v>0.00428</v>
      </c>
      <c r="N28" s="41" t="n">
        <f aca="false">M32*Assumptions!$D$143</f>
        <v>0.0068372</v>
      </c>
      <c r="O28" s="41" t="n">
        <f aca="false">N32*Assumptions!$D$143</f>
        <v>0.009668828</v>
      </c>
      <c r="P28" s="41" t="n">
        <f aca="false">O32*Assumptions!$D$143</f>
        <v>0.01277213972</v>
      </c>
      <c r="Q28" s="41" t="n">
        <f aca="false">P32*Assumptions!$D$143</f>
        <v>0.0161444183228</v>
      </c>
      <c r="R28" s="41" t="n">
        <f aca="false">Q32*Assumptions!$D$143</f>
        <v>0.019782974139572</v>
      </c>
      <c r="S28" s="41" t="n">
        <f aca="false">R32*Assumptions!$D$143</f>
        <v>0.0236851443981763</v>
      </c>
      <c r="T28" s="41" t="n">
        <f aca="false">S32*Assumptions!$D$143</f>
        <v>0.0278482929541945</v>
      </c>
      <c r="U28" s="41" t="n">
        <f aca="false">T32*Assumptions!$D$143</f>
        <v>0.0322698100246526</v>
      </c>
      <c r="V28" s="41" t="n">
        <f aca="false">U32*Assumptions!$D$143</f>
        <v>0.0369471119244061</v>
      </c>
      <c r="W28" s="41" t="n">
        <f aca="false">V32*Assumptions!$D$143</f>
        <v>0.041877640805162</v>
      </c>
      <c r="X28" s="41" t="n">
        <f aca="false">W32*Assumptions!$D$143</f>
        <v>0.0470588643971104</v>
      </c>
      <c r="Y28" s="41" t="n">
        <f aca="false">X32*Assumptions!$D$143</f>
        <v>0.0524882757531393</v>
      </c>
      <c r="Z28" s="41" t="n">
        <f aca="false">Y32*Assumptions!$D$143</f>
        <v>0.0581633929956079</v>
      </c>
      <c r="AA28" s="41" t="n">
        <f aca="false">Z32*Assumptions!$D$143</f>
        <v>0.0640817590656518</v>
      </c>
      <c r="AB28" s="41" t="n">
        <f aca="false">AA32*Assumptions!$D$143</f>
        <v>0.0702409414749953</v>
      </c>
      <c r="AC28" s="41" t="n">
        <f aca="false">AB32*Assumptions!$D$143</f>
        <v>0.0796385320602453</v>
      </c>
      <c r="AD28" s="41" t="n">
        <f aca="false">AC32*Assumptions!$D$143</f>
        <v>0.0892421467396429</v>
      </c>
      <c r="AE28" s="41" t="n">
        <f aca="false">AD32*Assumptions!$D$143</f>
        <v>0.0990497252722464</v>
      </c>
      <c r="AF28" s="41" t="n">
        <f aca="false">AE32*Assumptions!$D$143</f>
        <v>0.109059228019524</v>
      </c>
      <c r="AG28" s="41" t="n">
        <f aca="false">AF32*Assumptions!$D$143</f>
        <v>0.119268635739329</v>
      </c>
      <c r="AH28" s="41" t="n">
        <f aca="false">AG32*Assumptions!$D$143</f>
        <v>0.129675949381935</v>
      </c>
      <c r="AI28" s="41" t="n">
        <f aca="false">AH32*Assumptions!$D$143</f>
        <v>0.140279189888116</v>
      </c>
      <c r="AJ28" s="41" t="n">
        <f aca="false">AI32*Assumptions!$D$143</f>
        <v>0.151076397989235</v>
      </c>
      <c r="AK28" s="41" t="n">
        <f aca="false">AJ32*Assumptions!$D$143</f>
        <v>0.162065634009343</v>
      </c>
      <c r="AL28" s="41" t="n">
        <f aca="false">AK32*Assumptions!$D$143</f>
        <v>0.173244977669249</v>
      </c>
    </row>
    <row r="29" customFormat="false" ht="15" hidden="false" customHeight="false" outlineLevel="0" collapsed="false">
      <c r="A29" s="9" t="s">
        <v>574</v>
      </c>
      <c r="B29" s="2" t="s">
        <v>567</v>
      </c>
      <c r="C29" s="41" t="n">
        <f aca="false">0</f>
        <v>0</v>
      </c>
      <c r="D29" s="41" t="n">
        <f aca="false">C33*Assumptions!$D$144</f>
        <v>0</v>
      </c>
      <c r="E29" s="41" t="n">
        <f aca="false">D33*Assumptions!$D$144</f>
        <v>0</v>
      </c>
      <c r="F29" s="41" t="n">
        <f aca="false">E33*Assumptions!$D$144</f>
        <v>0</v>
      </c>
      <c r="G29" s="41" t="n">
        <f aca="false">F33*Assumptions!$D$144</f>
        <v>0</v>
      </c>
      <c r="H29" s="41" t="n">
        <f aca="false">G33*Assumptions!$D$144</f>
        <v>0</v>
      </c>
      <c r="I29" s="41" t="n">
        <f aca="false">H33*Assumptions!$D$144</f>
        <v>0</v>
      </c>
      <c r="J29" s="41" t="n">
        <f aca="false">I33*Assumptions!$D$144</f>
        <v>0</v>
      </c>
      <c r="K29" s="41" t="n">
        <f aca="false">J33*Assumptions!$D$144</f>
        <v>0</v>
      </c>
      <c r="L29" s="41" t="n">
        <f aca="false">K33*Assumptions!$D$144</f>
        <v>0</v>
      </c>
      <c r="M29" s="41" t="n">
        <f aca="false">L33*Assumptions!$D$144</f>
        <v>0</v>
      </c>
      <c r="N29" s="41" t="n">
        <f aca="false">M33*Assumptions!$D$144</f>
        <v>0</v>
      </c>
      <c r="O29" s="41" t="n">
        <f aca="false">N33*Assumptions!$D$144</f>
        <v>0.00048</v>
      </c>
      <c r="P29" s="41" t="n">
        <f aca="false">O33*Assumptions!$D$144</f>
        <v>0.00100512</v>
      </c>
      <c r="Q29" s="41" t="n">
        <f aca="false">P33*Assumptions!$D$144</f>
        <v>0.00157508928</v>
      </c>
      <c r="R29" s="41" t="n">
        <f aca="false">Q33*Assumptions!$D$144</f>
        <v>0.00218963874432</v>
      </c>
      <c r="S29" s="41" t="n">
        <f aca="false">R33*Assumptions!$D$144</f>
        <v>0.00284850091185408</v>
      </c>
      <c r="T29" s="41" t="n">
        <f aca="false">S33*Assumptions!$D$144</f>
        <v>0.00355140990638296</v>
      </c>
      <c r="U29" s="41" t="n">
        <f aca="false">T33*Assumptions!$D$144</f>
        <v>0.00429810144694466</v>
      </c>
      <c r="V29" s="41" t="n">
        <f aca="false">U33*Assumptions!$D$144</f>
        <v>0.00508831283826299</v>
      </c>
      <c r="W29" s="41" t="n">
        <f aca="false">V33*Assumptions!$D$144</f>
        <v>0.00592178296123341</v>
      </c>
      <c r="X29" s="41" t="n">
        <f aca="false">W33*Assumptions!$D$144</f>
        <v>0.00679825226346601</v>
      </c>
      <c r="Y29" s="41" t="n">
        <f aca="false">X33*Assumptions!$D$144</f>
        <v>0.00771746274988522</v>
      </c>
      <c r="Z29" s="41" t="n">
        <f aca="false">Y33*Assumptions!$D$144</f>
        <v>0.00867915797338591</v>
      </c>
      <c r="AA29" s="41" t="n">
        <f aca="false">Z33*Assumptions!$D$144</f>
        <v>0.00968308302554559</v>
      </c>
      <c r="AB29" s="41" t="n">
        <f aca="false">AA33*Assumptions!$D$144</f>
        <v>0.0107289845273923</v>
      </c>
      <c r="AC29" s="41" t="n">
        <f aca="false">AB33*Assumptions!$D$144</f>
        <v>0.012116610620228</v>
      </c>
      <c r="AD29" s="41" t="n">
        <f aca="false">AC33*Assumptions!$D$144</f>
        <v>0.0135439109565066</v>
      </c>
      <c r="AE29" s="41" t="n">
        <f aca="false">AD33*Assumptions!$D$144</f>
        <v>0.0150106474907676</v>
      </c>
      <c r="AF29" s="41" t="n">
        <f aca="false">AE33*Assumptions!$D$144</f>
        <v>0.016516583605823</v>
      </c>
      <c r="AG29" s="41" t="n">
        <f aca="false">AF33*Assumptions!$D$144</f>
        <v>0.018061484104188</v>
      </c>
      <c r="AH29" s="41" t="n">
        <f aca="false">AG33*Assumptions!$D$144</f>
        <v>0.0196451151995629</v>
      </c>
      <c r="AI29" s="41" t="n">
        <f aca="false">AH33*Assumptions!$D$144</f>
        <v>0.0212672445083655</v>
      </c>
      <c r="AJ29" s="41" t="n">
        <f aca="false">AI33*Assumptions!$D$144</f>
        <v>0.0229276410413153</v>
      </c>
      <c r="AK29" s="41" t="n">
        <f aca="false">AJ33*Assumptions!$D$144</f>
        <v>0.0246260751950674</v>
      </c>
      <c r="AL29" s="41" t="n">
        <f aca="false">AK33*Assumptions!$D$144</f>
        <v>0.026362318743897</v>
      </c>
    </row>
    <row r="30" customFormat="false" ht="15" hidden="false" customHeight="false" outlineLevel="0" collapsed="false">
      <c r="A30" s="9" t="s">
        <v>575</v>
      </c>
      <c r="B30" s="2" t="s">
        <v>567</v>
      </c>
      <c r="C30" s="42" t="n">
        <f aca="false">C22-C26</f>
        <v>0</v>
      </c>
      <c r="D30" s="42" t="n">
        <f aca="false">C30+D22-D26</f>
        <v>0</v>
      </c>
      <c r="E30" s="42" t="n">
        <f aca="false">D30+E22-E26</f>
        <v>0</v>
      </c>
      <c r="F30" s="42" t="n">
        <f aca="false">E30+F22-F26</f>
        <v>0</v>
      </c>
      <c r="G30" s="42" t="n">
        <f aca="false">F30+G22-G26</f>
        <v>0</v>
      </c>
      <c r="H30" s="42" t="n">
        <f aca="false">G30+H22-H26</f>
        <v>1.5</v>
      </c>
      <c r="I30" s="42" t="n">
        <f aca="false">H30+I22-I26</f>
        <v>3.1975</v>
      </c>
      <c r="J30" s="42" t="n">
        <f aca="false">I30+J22-J26</f>
        <v>5.0855875</v>
      </c>
      <c r="K30" s="42" t="n">
        <f aca="false">J30+K22-K26</f>
        <v>7.1575919375</v>
      </c>
      <c r="L30" s="42" t="n">
        <f aca="false">K30+L22-L26</f>
        <v>9.4070762196875</v>
      </c>
      <c r="M30" s="42" t="n">
        <f aca="false">L30+M22-M26</f>
        <v>11.8278285519984</v>
      </c>
      <c r="N30" s="42" t="n">
        <f aca="false">M30+N22-N26</f>
        <v>14.4138545526785</v>
      </c>
      <c r="O30" s="42" t="n">
        <f aca="false">N30+O22-O26</f>
        <v>17.1593696433347</v>
      </c>
      <c r="P30" s="42" t="n">
        <f aca="false">O30+P22-P26</f>
        <v>20.058791705818</v>
      </c>
      <c r="Q30" s="42" t="n">
        <f aca="false">P30+Q22-Q26</f>
        <v>23.1067339961144</v>
      </c>
      <c r="R30" s="42" t="n">
        <f aca="false">Q30+R22-R26</f>
        <v>26.2979983062504</v>
      </c>
      <c r="S30" s="42" t="n">
        <f aca="false">R30+S22-S26</f>
        <v>29.6275683655316</v>
      </c>
      <c r="T30" s="42" t="n">
        <f aca="false">S30+T22-T26</f>
        <v>33.090603472738</v>
      </c>
      <c r="U30" s="42" t="n">
        <f aca="false">T30+U22-U26</f>
        <v>36.6824323511922</v>
      </c>
      <c r="V30" s="42" t="n">
        <f aca="false">U30+V22-V26</f>
        <v>40.3985472189005</v>
      </c>
      <c r="W30" s="42" t="n">
        <f aca="false">V30+W22-W26</f>
        <v>44.2345980662389</v>
      </c>
      <c r="X30" s="42" t="n">
        <f aca="false">W30+X22-X26</f>
        <v>48.1863871339206</v>
      </c>
      <c r="Y30" s="42" t="n">
        <f aca="false">X30+Y22-Y26</f>
        <v>52.2498635842334</v>
      </c>
      <c r="Z30" s="42" t="n">
        <f aca="false">Y30+Z22-Z26</f>
        <v>56.4211183587852</v>
      </c>
      <c r="AA30" s="42" t="n">
        <f aca="false">Z30+AA22-AA26</f>
        <v>60.6963792162277</v>
      </c>
      <c r="AB30" s="42" t="n">
        <f aca="false">AA30+AB22-AB26</f>
        <v>65.0720059436598</v>
      </c>
      <c r="AC30" s="42" t="n">
        <f aca="false">AB30+AC22-AC26</f>
        <v>69.5444857356317</v>
      </c>
      <c r="AD30" s="42" t="n">
        <f aca="false">AC30+AD22-AD26</f>
        <v>74.1104287348846</v>
      </c>
      <c r="AE30" s="42" t="n">
        <f aca="false">AD30+AE22-AE26</f>
        <v>78.7665637291636</v>
      </c>
      <c r="AF30" s="42" t="n">
        <f aca="false">AE30+AF22-AF26</f>
        <v>83.5097339986429</v>
      </c>
      <c r="AG30" s="42" t="n">
        <f aca="false">AF30+AG22-AG26</f>
        <v>88.3368933086904</v>
      </c>
      <c r="AH30" s="42" t="n">
        <f aca="false">AG30+AH22-AH26</f>
        <v>93.2451020428862</v>
      </c>
      <c r="AI30" s="42" t="n">
        <f aca="false">AH30+AI22-AI26</f>
        <v>98.2315234713852</v>
      </c>
      <c r="AJ30" s="42" t="n">
        <f aca="false">AI30+AJ22-AJ26</f>
        <v>103.293420149887</v>
      </c>
      <c r="AK30" s="42" t="n">
        <f aca="false">AJ30+AK22-AK26</f>
        <v>108.428150444641</v>
      </c>
      <c r="AL30" s="42" t="n">
        <f aca="false">AK30+AL22-AL26</f>
        <v>113.633165179078</v>
      </c>
    </row>
    <row r="31" customFormat="false" ht="15" hidden="false" customHeight="false" outlineLevel="0" collapsed="false">
      <c r="A31" s="9" t="s">
        <v>576</v>
      </c>
      <c r="B31" s="2" t="s">
        <v>567</v>
      </c>
      <c r="C31" s="42" t="n">
        <f aca="false">C23-C27</f>
        <v>0</v>
      </c>
      <c r="D31" s="42" t="n">
        <f aca="false">C31+D23-D27</f>
        <v>0</v>
      </c>
      <c r="E31" s="42" t="n">
        <f aca="false">D31+E23-E27</f>
        <v>0</v>
      </c>
      <c r="F31" s="42" t="n">
        <f aca="false">E31+F23-F27</f>
        <v>0</v>
      </c>
      <c r="G31" s="42" t="n">
        <f aca="false">F31+G23-G27</f>
        <v>0</v>
      </c>
      <c r="H31" s="42" t="n">
        <f aca="false">G31+H23-H27</f>
        <v>0</v>
      </c>
      <c r="I31" s="42" t="n">
        <f aca="false">H31+I23-I27</f>
        <v>0.3</v>
      </c>
      <c r="J31" s="42" t="n">
        <f aca="false">I31+J23-J27</f>
        <v>0.6725</v>
      </c>
      <c r="K31" s="42" t="n">
        <f aca="false">J31+K23-K27</f>
        <v>1.1156875</v>
      </c>
      <c r="L31" s="42" t="n">
        <f aca="false">K31+L23-L27</f>
        <v>1.6277953125</v>
      </c>
      <c r="M31" s="42" t="n">
        <f aca="false">L31+M23-M27</f>
        <v>2.2071004296875</v>
      </c>
      <c r="N31" s="42" t="n">
        <f aca="false">M31+N23-N27</f>
        <v>2.85192291894531</v>
      </c>
      <c r="O31" s="42" t="n">
        <f aca="false">N31+O23-O27</f>
        <v>3.56062484597168</v>
      </c>
      <c r="P31" s="42" t="n">
        <f aca="false">O31+P23-P27</f>
        <v>4.33160922482239</v>
      </c>
      <c r="Q31" s="42" t="n">
        <f aca="false">P31+Q23-Q27</f>
        <v>5.16331899420183</v>
      </c>
      <c r="R31" s="42" t="n">
        <f aca="false">Q31+R23-R27</f>
        <v>6.05423601934678</v>
      </c>
      <c r="S31" s="42" t="n">
        <f aca="false">R31+S23-S27</f>
        <v>7.00288011886311</v>
      </c>
      <c r="T31" s="42" t="n">
        <f aca="false">S31+T23-T27</f>
        <v>8.00780811589154</v>
      </c>
      <c r="U31" s="42" t="n">
        <f aca="false">T31+U23-U27</f>
        <v>9.06761291299425</v>
      </c>
      <c r="V31" s="42" t="n">
        <f aca="false">U31+V23-V27</f>
        <v>10.1809225901694</v>
      </c>
      <c r="W31" s="42" t="n">
        <f aca="false">V31+W23-W27</f>
        <v>11.3463995254152</v>
      </c>
      <c r="X31" s="42" t="n">
        <f aca="false">W31+X23-X27</f>
        <v>12.5627395372798</v>
      </c>
      <c r="Y31" s="42" t="n">
        <f aca="false">X31+Y23-Y27</f>
        <v>13.8286710488478</v>
      </c>
      <c r="Z31" s="42" t="n">
        <f aca="false">Y31+Z23-Z27</f>
        <v>15.1429542726266</v>
      </c>
      <c r="AA31" s="42" t="n">
        <f aca="false">Z31+AA23-AA27</f>
        <v>16.5043804158109</v>
      </c>
      <c r="AB31" s="42" t="n">
        <f aca="false">AA31+AB23-AB27</f>
        <v>17.9117709054157</v>
      </c>
      <c r="AC31" s="42" t="n">
        <f aca="false">AB31+AC23-AC27</f>
        <v>19.3639766327803</v>
      </c>
      <c r="AD31" s="42" t="n">
        <f aca="false">AC31+AD23-AD27</f>
        <v>20.8598772169608</v>
      </c>
      <c r="AE31" s="42" t="n">
        <f aca="false">AD31+AE23-AE27</f>
        <v>22.3983802865367</v>
      </c>
      <c r="AF31" s="42" t="n">
        <f aca="false">AE31+AF23-AF27</f>
        <v>23.9784207793733</v>
      </c>
      <c r="AG31" s="42" t="n">
        <f aca="false">AF31+AG23-AG27</f>
        <v>25.598960259889</v>
      </c>
      <c r="AH31" s="42" t="n">
        <f aca="false">AG31+AH23-AH27</f>
        <v>27.2589862533918</v>
      </c>
      <c r="AI31" s="42" t="n">
        <f aca="false">AH31+AI23-AI27</f>
        <v>28.957511597057</v>
      </c>
      <c r="AJ31" s="42" t="n">
        <f aca="false">AI31+AJ23-AJ27</f>
        <v>30.6935738071305</v>
      </c>
      <c r="AK31" s="42" t="n">
        <f aca="false">AJ31+AK23-AK27</f>
        <v>32.4662344619523</v>
      </c>
      <c r="AL31" s="42" t="n">
        <f aca="false">AK31+AL23-AL27</f>
        <v>34.2745786004035</v>
      </c>
    </row>
    <row r="32" customFormat="false" ht="15" hidden="false" customHeight="false" outlineLevel="0" collapsed="false">
      <c r="A32" s="9" t="s">
        <v>577</v>
      </c>
      <c r="B32" s="2" t="s">
        <v>567</v>
      </c>
      <c r="C32" s="42" t="n">
        <f aca="false">C24-C28</f>
        <v>0</v>
      </c>
      <c r="D32" s="42" t="n">
        <f aca="false">C32+D24-D28</f>
        <v>0</v>
      </c>
      <c r="E32" s="42" t="n">
        <f aca="false">D32+E24-E28</f>
        <v>0</v>
      </c>
      <c r="F32" s="42" t="n">
        <f aca="false">E32+F24-F28</f>
        <v>0</v>
      </c>
      <c r="G32" s="42" t="n">
        <f aca="false">F32+G24-G28</f>
        <v>0</v>
      </c>
      <c r="H32" s="42" t="n">
        <f aca="false">G32+H24-H28</f>
        <v>0</v>
      </c>
      <c r="I32" s="42" t="n">
        <f aca="false">H32+I24-I28</f>
        <v>0</v>
      </c>
      <c r="J32" s="42" t="n">
        <f aca="false">I32+J24-J28</f>
        <v>0</v>
      </c>
      <c r="K32" s="42" t="n">
        <f aca="false">J32+K24-K28</f>
        <v>0.2</v>
      </c>
      <c r="L32" s="42" t="n">
        <f aca="false">K32+L24-L28</f>
        <v>0.428</v>
      </c>
      <c r="M32" s="42" t="n">
        <f aca="false">L32+M24-M28</f>
        <v>0.68372</v>
      </c>
      <c r="N32" s="42" t="n">
        <f aca="false">M32+N24-N28</f>
        <v>0.9668828</v>
      </c>
      <c r="O32" s="42" t="n">
        <f aca="false">N32+O24-O28</f>
        <v>1.277213972</v>
      </c>
      <c r="P32" s="42" t="n">
        <f aca="false">O32+P24-P28</f>
        <v>1.61444183228</v>
      </c>
      <c r="Q32" s="42" t="n">
        <f aca="false">P32+Q24-Q28</f>
        <v>1.9782974139572</v>
      </c>
      <c r="R32" s="42" t="n">
        <f aca="false">Q32+R24-R28</f>
        <v>2.36851443981763</v>
      </c>
      <c r="S32" s="42" t="n">
        <f aca="false">R32+S24-S28</f>
        <v>2.78482929541945</v>
      </c>
      <c r="T32" s="42" t="n">
        <f aca="false">S32+T24-T28</f>
        <v>3.22698100246526</v>
      </c>
      <c r="U32" s="42" t="n">
        <f aca="false">T32+U24-U28</f>
        <v>3.69471119244061</v>
      </c>
      <c r="V32" s="42" t="n">
        <f aca="false">U32+V24-V28</f>
        <v>4.1877640805162</v>
      </c>
      <c r="W32" s="42" t="n">
        <f aca="false">V32+W24-W28</f>
        <v>4.70588643971104</v>
      </c>
      <c r="X32" s="42" t="n">
        <f aca="false">W32+X24-X28</f>
        <v>5.24882757531393</v>
      </c>
      <c r="Y32" s="42" t="n">
        <f aca="false">X32+Y24-Y28</f>
        <v>5.81633929956079</v>
      </c>
      <c r="Z32" s="42" t="n">
        <f aca="false">Y32+Z24-Z28</f>
        <v>6.40817590656518</v>
      </c>
      <c r="AA32" s="42" t="n">
        <f aca="false">Z32+AA24-AA28</f>
        <v>7.02409414749953</v>
      </c>
      <c r="AB32" s="42" t="n">
        <f aca="false">AA32+AB24-AB28</f>
        <v>7.96385320602453</v>
      </c>
      <c r="AC32" s="42" t="n">
        <f aca="false">AB32+AC24-AC28</f>
        <v>8.92421467396429</v>
      </c>
      <c r="AD32" s="42" t="n">
        <f aca="false">AC32+AD24-AD28</f>
        <v>9.90497252722464</v>
      </c>
      <c r="AE32" s="42" t="n">
        <f aca="false">AD32+AE24-AE28</f>
        <v>10.9059228019524</v>
      </c>
      <c r="AF32" s="42" t="n">
        <f aca="false">AE32+AF24-AF28</f>
        <v>11.9268635739329</v>
      </c>
      <c r="AG32" s="42" t="n">
        <f aca="false">AF32+AG24-AG28</f>
        <v>12.9675949381935</v>
      </c>
      <c r="AH32" s="42" t="n">
        <f aca="false">AG32+AH24-AH28</f>
        <v>14.0279189888116</v>
      </c>
      <c r="AI32" s="42" t="n">
        <f aca="false">AH32+AI24-AI28</f>
        <v>15.1076397989235</v>
      </c>
      <c r="AJ32" s="42" t="n">
        <f aca="false">AI32+AJ24-AJ28</f>
        <v>16.2065634009343</v>
      </c>
      <c r="AK32" s="42" t="n">
        <f aca="false">AJ32+AK24-AK28</f>
        <v>17.3244977669249</v>
      </c>
      <c r="AL32" s="42" t="n">
        <f aca="false">AK32+AL24-AL28</f>
        <v>18.4612527892557</v>
      </c>
    </row>
    <row r="33" customFormat="false" ht="15" hidden="false" customHeight="false" outlineLevel="0" collapsed="false">
      <c r="A33" s="9" t="s">
        <v>578</v>
      </c>
      <c r="B33" s="2" t="s">
        <v>567</v>
      </c>
      <c r="C33" s="42" t="n">
        <f aca="false">C25-C29</f>
        <v>0</v>
      </c>
      <c r="D33" s="42" t="n">
        <f aca="false">C33+D25-D29</f>
        <v>0</v>
      </c>
      <c r="E33" s="42" t="n">
        <f aca="false">D33+E25-E29</f>
        <v>0</v>
      </c>
      <c r="F33" s="42" t="n">
        <f aca="false">E33+F25-F29</f>
        <v>0</v>
      </c>
      <c r="G33" s="42" t="n">
        <f aca="false">F33+G25-G29</f>
        <v>0</v>
      </c>
      <c r="H33" s="42" t="n">
        <f aca="false">G33+H25-H29</f>
        <v>0</v>
      </c>
      <c r="I33" s="42" t="n">
        <f aca="false">H33+I25-I29</f>
        <v>0</v>
      </c>
      <c r="J33" s="42" t="n">
        <f aca="false">I33+J25-J29</f>
        <v>0</v>
      </c>
      <c r="K33" s="42" t="n">
        <f aca="false">J33+K25-K29</f>
        <v>0</v>
      </c>
      <c r="L33" s="42" t="n">
        <f aca="false">K33+L25-L29</f>
        <v>0</v>
      </c>
      <c r="M33" s="42" t="n">
        <f aca="false">L33+M25-M29</f>
        <v>0</v>
      </c>
      <c r="N33" s="42" t="n">
        <f aca="false">M33+N25-N29</f>
        <v>0.08</v>
      </c>
      <c r="O33" s="42" t="n">
        <f aca="false">N33+O25-O29</f>
        <v>0.16752</v>
      </c>
      <c r="P33" s="42" t="n">
        <f aca="false">O33+P25-P29</f>
        <v>0.26251488</v>
      </c>
      <c r="Q33" s="42" t="n">
        <f aca="false">P33+Q25-Q29</f>
        <v>0.36493979072</v>
      </c>
      <c r="R33" s="42" t="n">
        <f aca="false">Q33+R25-R29</f>
        <v>0.47475015197568</v>
      </c>
      <c r="S33" s="42" t="n">
        <f aca="false">R33+S25-S29</f>
        <v>0.591901651063826</v>
      </c>
      <c r="T33" s="42" t="n">
        <f aca="false">S33+T25-T29</f>
        <v>0.716350241157443</v>
      </c>
      <c r="U33" s="42" t="n">
        <f aca="false">T33+U25-U29</f>
        <v>0.848052139710498</v>
      </c>
      <c r="V33" s="42" t="n">
        <f aca="false">U33+V25-V29</f>
        <v>0.986963826872235</v>
      </c>
      <c r="W33" s="42" t="n">
        <f aca="false">V33+W25-W29</f>
        <v>1.133042043911</v>
      </c>
      <c r="X33" s="42" t="n">
        <f aca="false">W33+X25-X29</f>
        <v>1.28624379164754</v>
      </c>
      <c r="Y33" s="42" t="n">
        <f aca="false">X33+Y25-Y29</f>
        <v>1.44652632889765</v>
      </c>
      <c r="Z33" s="42" t="n">
        <f aca="false">Y33+Z25-Z29</f>
        <v>1.61384717092426</v>
      </c>
      <c r="AA33" s="42" t="n">
        <f aca="false">Z33+AA25-AA29</f>
        <v>1.78816408789872</v>
      </c>
      <c r="AB33" s="42" t="n">
        <f aca="false">AA33+AB25-AB29</f>
        <v>2.01943510337133</v>
      </c>
      <c r="AC33" s="42" t="n">
        <f aca="false">AB33+AC25-AC29</f>
        <v>2.2573184927511</v>
      </c>
      <c r="AD33" s="42" t="n">
        <f aca="false">AC33+AD25-AD29</f>
        <v>2.50177458179459</v>
      </c>
      <c r="AE33" s="42" t="n">
        <f aca="false">AD33+AE25-AE29</f>
        <v>2.75276393430383</v>
      </c>
      <c r="AF33" s="42" t="n">
        <f aca="false">AE33+AF25-AF29</f>
        <v>3.010247350698</v>
      </c>
      <c r="AG33" s="42" t="n">
        <f aca="false">AF33+AG25-AG29</f>
        <v>3.27418586659381</v>
      </c>
      <c r="AH33" s="42" t="n">
        <f aca="false">AG33+AH25-AH29</f>
        <v>3.54454075139425</v>
      </c>
      <c r="AI33" s="42" t="n">
        <f aca="false">AH33+AI25-AI29</f>
        <v>3.82127350688589</v>
      </c>
      <c r="AJ33" s="42" t="n">
        <f aca="false">AI33+AJ25-AJ29</f>
        <v>4.10434586584457</v>
      </c>
      <c r="AK33" s="42" t="n">
        <f aca="false">AJ33+AK25-AK29</f>
        <v>4.3937197906495</v>
      </c>
      <c r="AL33" s="42" t="n">
        <f aca="false">AK33+AL25-AL29</f>
        <v>4.68935747190561</v>
      </c>
    </row>
    <row r="34" customFormat="false" ht="15" hidden="false" customHeight="false" outlineLevel="0" collapsed="false">
      <c r="A34" s="3" t="s">
        <v>579</v>
      </c>
      <c r="B34" s="2" t="s">
        <v>567</v>
      </c>
      <c r="C34" s="43" t="n">
        <f aca="false">C22+C23+C24+C25</f>
        <v>0</v>
      </c>
      <c r="D34" s="43" t="n">
        <f aca="false">D22+D23+D24+D25</f>
        <v>0</v>
      </c>
      <c r="E34" s="43" t="n">
        <f aca="false">E22+E23+E24+E25</f>
        <v>0</v>
      </c>
      <c r="F34" s="43" t="n">
        <f aca="false">F22+F23+F24+F25</f>
        <v>0</v>
      </c>
      <c r="G34" s="43" t="n">
        <f aca="false">G22+G23+G24+G25</f>
        <v>0</v>
      </c>
      <c r="H34" s="43" t="n">
        <f aca="false">H22+H23+H24+H25</f>
        <v>1.5</v>
      </c>
      <c r="I34" s="43" t="n">
        <f aca="false">I22+I23+I24+I25</f>
        <v>2.05</v>
      </c>
      <c r="J34" s="43" t="n">
        <f aca="false">J22+J23+J24+J25</f>
        <v>2.38</v>
      </c>
      <c r="K34" s="43" t="n">
        <f aca="false">K22+K23+K24+K25</f>
        <v>2.91</v>
      </c>
      <c r="L34" s="43" t="n">
        <f aca="false">L22+L23+L24+L25</f>
        <v>3.27</v>
      </c>
      <c r="M34" s="43" t="n">
        <f aca="false">M22+M23+M24+M25</f>
        <v>3.63</v>
      </c>
      <c r="N34" s="43" t="n">
        <f aca="false">N22+N23+N24+N25</f>
        <v>4.07</v>
      </c>
      <c r="O34" s="43" t="n">
        <f aca="false">O22+O23+O24+O25</f>
        <v>4.438</v>
      </c>
      <c r="P34" s="43" t="n">
        <f aca="false">P22+P23+P24+P25</f>
        <v>4.806</v>
      </c>
      <c r="Q34" s="43" t="n">
        <f aca="false">Q22+Q23+Q24+Q25</f>
        <v>5.174</v>
      </c>
      <c r="R34" s="43" t="n">
        <f aca="false">R22+R23+R24+R25</f>
        <v>5.542</v>
      </c>
      <c r="S34" s="43" t="n">
        <f aca="false">S22+S23+S24+S25</f>
        <v>5.91</v>
      </c>
      <c r="T34" s="43" t="n">
        <f aca="false">T22+T23+T24+T25</f>
        <v>6.278</v>
      </c>
      <c r="U34" s="43" t="n">
        <f aca="false">U22+U23+U24+U25</f>
        <v>6.646</v>
      </c>
      <c r="V34" s="43" t="n">
        <f aca="false">V22+V23+V24+V25</f>
        <v>7.014</v>
      </c>
      <c r="W34" s="43" t="n">
        <f aca="false">W22+W23+W24+W25</f>
        <v>7.382</v>
      </c>
      <c r="X34" s="43" t="n">
        <f aca="false">X22+X23+X24+X25</f>
        <v>7.75</v>
      </c>
      <c r="Y34" s="43" t="n">
        <f aca="false">Y22+Y23+Y24+Y25</f>
        <v>8.118</v>
      </c>
      <c r="Z34" s="43" t="n">
        <f aca="false">Z22+Z23+Z24+Z25</f>
        <v>8.486</v>
      </c>
      <c r="AA34" s="43" t="n">
        <f aca="false">AA22+AA23+AA24+AA25</f>
        <v>8.854</v>
      </c>
      <c r="AB34" s="43" t="n">
        <f aca="false">AB22+AB23+AB24+AB25</f>
        <v>9.572</v>
      </c>
      <c r="AC34" s="43" t="n">
        <f aca="false">AC22+AC23+AC24+AC25</f>
        <v>9.94</v>
      </c>
      <c r="AD34" s="43" t="n">
        <f aca="false">AD22+AD23+AD24+AD25</f>
        <v>10.308</v>
      </c>
      <c r="AE34" s="43" t="n">
        <f aca="false">AE22+AE23+AE24+AE25</f>
        <v>10.676</v>
      </c>
      <c r="AF34" s="43" t="n">
        <f aca="false">AF22+AF23+AF24+AF25</f>
        <v>11.044</v>
      </c>
      <c r="AG34" s="43" t="n">
        <f aca="false">AG22+AG23+AG24+AG25</f>
        <v>11.412</v>
      </c>
      <c r="AH34" s="43" t="n">
        <f aca="false">AH22+AH23+AH24+AH25</f>
        <v>11.78</v>
      </c>
      <c r="AI34" s="43" t="n">
        <f aca="false">AI22+AI23+AI24+AI25</f>
        <v>12.148</v>
      </c>
      <c r="AJ34" s="43" t="n">
        <f aca="false">AJ22+AJ23+AJ24+AJ25</f>
        <v>12.516</v>
      </c>
      <c r="AK34" s="43" t="n">
        <f aca="false">AK22+AK23+AK24+AK25</f>
        <v>12.884</v>
      </c>
      <c r="AL34" s="43" t="n">
        <f aca="false">AL22+AL23+AL24+AL25</f>
        <v>13.252</v>
      </c>
    </row>
    <row r="35" customFormat="false" ht="15" hidden="false" customHeight="false" outlineLevel="0" collapsed="false">
      <c r="A35" s="9" t="s">
        <v>580</v>
      </c>
      <c r="B35" s="2" t="s">
        <v>567</v>
      </c>
      <c r="C35" s="41" t="n">
        <f aca="false">C26+C27+C28+C29</f>
        <v>0</v>
      </c>
      <c r="D35" s="41" t="n">
        <f aca="false">D26+D27+D28+D29</f>
        <v>0</v>
      </c>
      <c r="E35" s="41" t="n">
        <f aca="false">E26+E27+E28+E29</f>
        <v>0</v>
      </c>
      <c r="F35" s="41" t="n">
        <f aca="false">F26+F27+F28+F29</f>
        <v>0</v>
      </c>
      <c r="G35" s="41" t="n">
        <f aca="false">G26+G27+G28+G29</f>
        <v>0</v>
      </c>
      <c r="H35" s="41" t="n">
        <f aca="false">H26+H27+H28+H29</f>
        <v>0</v>
      </c>
      <c r="I35" s="41" t="n">
        <f aca="false">I26+I27+I28+I29</f>
        <v>0.0525</v>
      </c>
      <c r="J35" s="41" t="n">
        <f aca="false">J26+J27+J28+J29</f>
        <v>0.1194125</v>
      </c>
      <c r="K35" s="41" t="n">
        <f aca="false">K26+K27+K28+K29</f>
        <v>0.1948080625</v>
      </c>
      <c r="L35" s="41" t="n">
        <f aca="false">L26+L27+L28+L29</f>
        <v>0.2804079053125</v>
      </c>
      <c r="M35" s="41" t="n">
        <f aca="false">M26+M27+M28+M29</f>
        <v>0.374222550501563</v>
      </c>
      <c r="N35" s="41" t="n">
        <f aca="false">N26+N27+N28+N29</f>
        <v>0.475988710062133</v>
      </c>
      <c r="O35" s="41" t="n">
        <f aca="false">O26+O27+O28+O29</f>
        <v>0.58593181031738</v>
      </c>
      <c r="P35" s="41" t="n">
        <f aca="false">P26+P27+P28+P29</f>
        <v>0.703370818386008</v>
      </c>
      <c r="Q35" s="41" t="n">
        <f aca="false">Q26+Q27+Q28+Q29</f>
        <v>0.828067447926991</v>
      </c>
      <c r="R35" s="41" t="n">
        <f aca="false">R26+R27+R28+R29</f>
        <v>0.959791277602942</v>
      </c>
      <c r="S35" s="41" t="n">
        <f aca="false">S26+S27+S28+S29</f>
        <v>1.09831948651246</v>
      </c>
      <c r="T35" s="41" t="n">
        <f aca="false">T26+T27+T28+T29</f>
        <v>1.24343659862576</v>
      </c>
      <c r="U35" s="41" t="n">
        <f aca="false">U26+U27+U28+U29</f>
        <v>1.39493423591472</v>
      </c>
      <c r="V35" s="41" t="n">
        <f aca="false">V26+V27+V28+V29</f>
        <v>1.55261087987925</v>
      </c>
      <c r="W35" s="41" t="n">
        <f aca="false">W26+W27+W28+W29</f>
        <v>1.71627164118215</v>
      </c>
      <c r="X35" s="41" t="n">
        <f aca="false">X26+X27+X28+X29</f>
        <v>1.88572803711432</v>
      </c>
      <c r="Y35" s="41" t="n">
        <f aca="false">Y26+Y27+Y28+Y29</f>
        <v>2.06079777662224</v>
      </c>
      <c r="Z35" s="41" t="n">
        <f aca="false">Z26+Z27+Z28+Z29</f>
        <v>2.24130455263836</v>
      </c>
      <c r="AA35" s="41" t="n">
        <f aca="false">AA26+AA27+AA28+AA29</f>
        <v>2.42707784146434</v>
      </c>
      <c r="AB35" s="41" t="n">
        <f aca="false">AB26+AB27+AB28+AB29</f>
        <v>2.61795270896563</v>
      </c>
      <c r="AC35" s="41" t="n">
        <f aca="false">AC26+AC27+AC28+AC29</f>
        <v>2.81706962334396</v>
      </c>
      <c r="AD35" s="41" t="n">
        <f aca="false">AD26+AD27+AD28+AD29</f>
        <v>3.02094247426276</v>
      </c>
      <c r="AE35" s="41" t="n">
        <f aca="false">AE26+AE27+AE28+AE29</f>
        <v>3.22942230890799</v>
      </c>
      <c r="AF35" s="41" t="n">
        <f aca="false">AF26+AF27+AF28+AF29</f>
        <v>3.44236504930949</v>
      </c>
      <c r="AG35" s="41" t="n">
        <f aca="false">AG26+AG27+AG28+AG29</f>
        <v>3.65963132928035</v>
      </c>
      <c r="AH35" s="41" t="n">
        <f aca="false">AH26+AH27+AH28+AH29</f>
        <v>3.88108633688289</v>
      </c>
      <c r="AI35" s="41" t="n">
        <f aca="false">AI26+AI27+AI28+AI29</f>
        <v>4.10659966223229</v>
      </c>
      <c r="AJ35" s="41" t="n">
        <f aca="false">AJ26+AJ27+AJ28+AJ29</f>
        <v>4.33604515045546</v>
      </c>
      <c r="AK35" s="41" t="n">
        <f aca="false">AK26+AK27+AK28+AK29</f>
        <v>4.56930075962871</v>
      </c>
      <c r="AL35" s="41" t="n">
        <f aca="false">AL26+AL27+AL28+AL29</f>
        <v>4.80624842352438</v>
      </c>
    </row>
    <row r="36" customFormat="false" ht="15" hidden="false" customHeight="false" outlineLevel="0" collapsed="false">
      <c r="A36" s="3" t="s">
        <v>581</v>
      </c>
      <c r="B36" s="2" t="s">
        <v>567</v>
      </c>
      <c r="C36" s="44" t="n">
        <f aca="false">C30+C31+C32+C33</f>
        <v>0</v>
      </c>
      <c r="D36" s="44" t="n">
        <f aca="false">D30+D31+D32+D33</f>
        <v>0</v>
      </c>
      <c r="E36" s="44" t="n">
        <f aca="false">E30+E31+E32+E33</f>
        <v>0</v>
      </c>
      <c r="F36" s="44" t="n">
        <f aca="false">F30+F31+F32+F33</f>
        <v>0</v>
      </c>
      <c r="G36" s="44" t="n">
        <f aca="false">G30+G31+G32+G33</f>
        <v>0</v>
      </c>
      <c r="H36" s="44" t="n">
        <f aca="false">H30+H31+H32+H33</f>
        <v>1.5</v>
      </c>
      <c r="I36" s="44" t="n">
        <f aca="false">I30+I31+I32+I33</f>
        <v>3.4975</v>
      </c>
      <c r="J36" s="44" t="n">
        <f aca="false">J30+J31+J32+J33</f>
        <v>5.7580875</v>
      </c>
      <c r="K36" s="44" t="n">
        <f aca="false">K30+K31+K32+K33</f>
        <v>8.4732794375</v>
      </c>
      <c r="L36" s="44" t="n">
        <f aca="false">L30+L31+L32+L33</f>
        <v>11.4628715321875</v>
      </c>
      <c r="M36" s="44" t="n">
        <f aca="false">M30+M31+M32+M33</f>
        <v>14.7186489816859</v>
      </c>
      <c r="N36" s="44" t="n">
        <f aca="false">N30+N31+N32+N33</f>
        <v>18.3126602716238</v>
      </c>
      <c r="O36" s="44" t="n">
        <f aca="false">O30+O31+O32+O33</f>
        <v>22.1647284613064</v>
      </c>
      <c r="P36" s="44" t="n">
        <f aca="false">P30+P31+P32+P33</f>
        <v>26.2673576429204</v>
      </c>
      <c r="Q36" s="44" t="n">
        <f aca="false">Q30+Q31+Q32+Q33</f>
        <v>30.6132901949934</v>
      </c>
      <c r="R36" s="44" t="n">
        <f aca="false">R30+R31+R32+R33</f>
        <v>35.1954989173905</v>
      </c>
      <c r="S36" s="44" t="n">
        <f aca="false">S30+S31+S32+S33</f>
        <v>40.007179430878</v>
      </c>
      <c r="T36" s="44" t="n">
        <f aca="false">T30+T31+T32+T33</f>
        <v>45.0417428322523</v>
      </c>
      <c r="U36" s="44" t="n">
        <f aca="false">U30+U31+U32+U33</f>
        <v>50.2928085963375</v>
      </c>
      <c r="V36" s="44" t="n">
        <f aca="false">V30+V31+V32+V33</f>
        <v>55.7541977164583</v>
      </c>
      <c r="W36" s="44" t="n">
        <f aca="false">W30+W31+W32+W33</f>
        <v>61.4199260752761</v>
      </c>
      <c r="X36" s="44" t="n">
        <f aca="false">X30+X31+X32+X33</f>
        <v>67.2841980381618</v>
      </c>
      <c r="Y36" s="44" t="n">
        <f aca="false">Y30+Y31+Y32+Y33</f>
        <v>73.3414002615396</v>
      </c>
      <c r="Z36" s="44" t="n">
        <f aca="false">Z30+Z31+Z32+Z33</f>
        <v>79.5860957089012</v>
      </c>
      <c r="AA36" s="44" t="n">
        <f aca="false">AA30+AA31+AA32+AA33</f>
        <v>86.0130178674369</v>
      </c>
      <c r="AB36" s="44" t="n">
        <f aca="false">AB30+AB31+AB32+AB33</f>
        <v>92.9670651584713</v>
      </c>
      <c r="AC36" s="44" t="n">
        <f aca="false">AC30+AC31+AC32+AC33</f>
        <v>100.089995535127</v>
      </c>
      <c r="AD36" s="44" t="n">
        <f aca="false">AD30+AD31+AD32+AD33</f>
        <v>107.377053060865</v>
      </c>
      <c r="AE36" s="44" t="n">
        <f aca="false">AE30+AE31+AE32+AE33</f>
        <v>114.823630751957</v>
      </c>
      <c r="AF36" s="44" t="n">
        <f aca="false">AF30+AF31+AF32+AF33</f>
        <v>122.425265702647</v>
      </c>
      <c r="AG36" s="44" t="n">
        <f aca="false">AG30+AG31+AG32+AG33</f>
        <v>130.177634373367</v>
      </c>
      <c r="AH36" s="44" t="n">
        <f aca="false">AH30+AH31+AH32+AH33</f>
        <v>138.076548036484</v>
      </c>
      <c r="AI36" s="44" t="n">
        <f aca="false">AI30+AI31+AI32+AI33</f>
        <v>146.117948374252</v>
      </c>
      <c r="AJ36" s="44" t="n">
        <f aca="false">AJ30+AJ31+AJ32+AJ33</f>
        <v>154.297903223796</v>
      </c>
      <c r="AK36" s="44" t="n">
        <f aca="false">AK30+AK31+AK32+AK33</f>
        <v>162.612602464167</v>
      </c>
      <c r="AL36" s="44" t="n">
        <f aca="false">AL30+AL31+AL32+AL33</f>
        <v>171.058354040643</v>
      </c>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customFormat="false" ht="15" hidden="false" customHeight="false" outlineLevel="0" collapsed="false">
      <c r="A38" s="5" t="s">
        <v>582</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customFormat="false" ht="15" hidden="false" customHeight="false" outlineLevel="0" collapsed="false">
      <c r="A39" s="9" t="s">
        <v>583</v>
      </c>
      <c r="B39" s="2" t="s">
        <v>105</v>
      </c>
      <c r="C39" s="37" t="n">
        <f aca="false">C22*Assumptions!$D$73*Assumptions!$D$149</f>
        <v>0</v>
      </c>
      <c r="D39" s="37" t="n">
        <f aca="false">C39*(1-Assumptions!$D$141)*(1+Assumptions!$D$145)+D22*Assumptions!$D$73*Assumptions!$D$149</f>
        <v>0</v>
      </c>
      <c r="E39" s="37" t="n">
        <f aca="false">D39*(1-Assumptions!$D$141)*(1+Assumptions!$D$145)+E22*Assumptions!$D$73*Assumptions!$D$149</f>
        <v>0</v>
      </c>
      <c r="F39" s="37" t="n">
        <f aca="false">E39*(1-Assumptions!$D$141)*(1+Assumptions!$D$145)+F22*Assumptions!$D$73*Assumptions!$D$149</f>
        <v>0</v>
      </c>
      <c r="G39" s="37" t="n">
        <f aca="false">F39*(1-Assumptions!$D$141)*(1+Assumptions!$D$145)+G22*Assumptions!$D$73*Assumptions!$D$149</f>
        <v>0</v>
      </c>
      <c r="H39" s="37" t="n">
        <f aca="false">G39*(1-Assumptions!$D$141)*(1+Assumptions!$D$145)+H22*Assumptions!$D$73*Assumptions!$D$149</f>
        <v>201.15</v>
      </c>
      <c r="I39" s="37" t="n">
        <f aca="false">H39*(1-Assumptions!$D$141)*(1+Assumptions!$D$145)+I22*Assumptions!$D$73*Assumptions!$D$149</f>
        <v>429.1729695</v>
      </c>
      <c r="J39" s="37" t="n">
        <f aca="false">I39*(1-Assumptions!$D$141)*(1+Assumptions!$D$145)+J22*Assumptions!$D$73*Assumptions!$D$149</f>
        <v>683.180219398635</v>
      </c>
      <c r="K39" s="37" t="n">
        <f aca="false">J39*(1-Assumptions!$D$141)*(1+Assumptions!$D$145)+K22*Assumptions!$D$73*Assumptions!$D$149</f>
        <v>962.312449543122</v>
      </c>
      <c r="L39" s="37" t="n">
        <f aca="false">K39*(1-Assumptions!$D$141)*(1+Assumptions!$D$145)+L22*Assumptions!$D$73*Assumptions!$D$149</f>
        <v>1265.73877683673</v>
      </c>
      <c r="M39" s="37" t="n">
        <f aca="false">L39*(1-Assumptions!$D$141)*(1+Assumptions!$D$145)+M22*Assumptions!$D$73*Assumptions!$D$149</f>
        <v>1592.65579548674</v>
      </c>
      <c r="N39" s="37" t="n">
        <f aca="false">M39*(1-Assumptions!$D$141)*(1+Assumptions!$D$145)+N22*Assumptions!$D$73*Assumptions!$D$149</f>
        <v>1942.28666832999</v>
      </c>
      <c r="O39" s="37" t="n">
        <f aca="false">N39*(1-Assumptions!$D$141)*(1+Assumptions!$D$145)+O22*Assumptions!$D$73*Assumptions!$D$149</f>
        <v>2313.88024820832</v>
      </c>
      <c r="P39" s="37" t="n">
        <f aca="false">O39*(1-Assumptions!$D$141)*(1+Assumptions!$D$145)+P22*Assumptions!$D$73*Assumptions!$D$149</f>
        <v>2706.71022840007</v>
      </c>
      <c r="Q39" s="37" t="n">
        <f aca="false">P39*(1-Assumptions!$D$141)*(1+Assumptions!$D$145)+Q22*Assumptions!$D$73*Assumptions!$D$149</f>
        <v>3120.07432114688</v>
      </c>
      <c r="R39" s="37" t="n">
        <f aca="false">Q39*(1-Assumptions!$D$141)*(1+Assumptions!$D$145)+R22*Assumptions!$D$73*Assumptions!$D$149</f>
        <v>3553.29346334655</v>
      </c>
      <c r="S39" s="37" t="n">
        <f aca="false">R39*(1-Assumptions!$D$141)*(1+Assumptions!$D$145)+S22*Assumptions!$D$73*Assumptions!$D$149</f>
        <v>4005.71104851368</v>
      </c>
      <c r="T39" s="37" t="n">
        <f aca="false">S39*(1-Assumptions!$D$141)*(1+Assumptions!$D$145)+T22*Assumptions!$D$73*Assumptions!$D$149</f>
        <v>4476.69218413934</v>
      </c>
      <c r="U39" s="37" t="n">
        <f aca="false">T39*(1-Assumptions!$D$141)*(1+Assumptions!$D$145)+U22*Assumptions!$D$73*Assumptions!$D$149</f>
        <v>4965.62297360985</v>
      </c>
      <c r="V39" s="37" t="n">
        <f aca="false">U39*(1-Assumptions!$D$141)*(1+Assumptions!$D$145)+V22*Assumptions!$D$73*Assumptions!$D$149</f>
        <v>5471.90982187257</v>
      </c>
      <c r="W39" s="37" t="n">
        <f aca="false">V39*(1-Assumptions!$D$141)*(1+Assumptions!$D$145)+W22*Assumptions!$D$73*Assumptions!$D$149</f>
        <v>5994.97876406325</v>
      </c>
      <c r="X39" s="37" t="n">
        <f aca="false">W39*(1-Assumptions!$D$141)*(1+Assumptions!$D$145)+X22*Assumptions!$D$73*Assumptions!$D$149</f>
        <v>6534.27481633567</v>
      </c>
      <c r="Y39" s="37" t="n">
        <f aca="false">X39*(1-Assumptions!$D$141)*(1+Assumptions!$D$145)+Y22*Assumptions!$D$73*Assumptions!$D$149</f>
        <v>7089.26134815945</v>
      </c>
      <c r="Z39" s="37" t="n">
        <f aca="false">Y39*(1-Assumptions!$D$141)*(1+Assumptions!$D$145)+Z22*Assumptions!$D$73*Assumptions!$D$149</f>
        <v>7659.41947537582</v>
      </c>
      <c r="AA39" s="37" t="n">
        <f aca="false">Z39*(1-Assumptions!$D$141)*(1+Assumptions!$D$145)+AA22*Assumptions!$D$73*Assumptions!$D$149</f>
        <v>8244.24747332514</v>
      </c>
      <c r="AB39" s="37" t="n">
        <f aca="false">AA39*(1-Assumptions!$D$141)*(1+Assumptions!$D$145)+AB22*Assumptions!$D$73*Assumptions!$D$149</f>
        <v>8843.26020938228</v>
      </c>
      <c r="AC39" s="37" t="n">
        <f aca="false">AB39*(1-Assumptions!$D$141)*(1+Assumptions!$D$145)+AC22*Assumptions!$D$73*Assumptions!$D$149</f>
        <v>9455.988594258</v>
      </c>
      <c r="AD39" s="37" t="n">
        <f aca="false">AC39*(1-Assumptions!$D$141)*(1+Assumptions!$D$145)+AD22*Assumptions!$D$73*Assumptions!$D$149</f>
        <v>10081.9790514459</v>
      </c>
      <c r="AE39" s="37" t="n">
        <f aca="false">AD39*(1-Assumptions!$D$141)*(1+Assumptions!$D$145)+AE22*Assumptions!$D$73*Assumptions!$D$149</f>
        <v>10720.7930042146</v>
      </c>
      <c r="AF39" s="37" t="n">
        <f aca="false">AE39*(1-Assumptions!$D$141)*(1+Assumptions!$D$145)+AF22*Assumptions!$D$73*Assumptions!$D$149</f>
        <v>11372.0063795652</v>
      </c>
      <c r="AG39" s="37" t="n">
        <f aca="false">AF39*(1-Assumptions!$D$141)*(1+Assumptions!$D$145)+AG22*Assumptions!$D$73*Assumptions!$D$149</f>
        <v>12035.209128593</v>
      </c>
      <c r="AH39" s="37" t="n">
        <f aca="false">AG39*(1-Assumptions!$D$141)*(1+Assumptions!$D$145)+AH22*Assumptions!$D$73*Assumptions!$D$149</f>
        <v>12710.0047627104</v>
      </c>
      <c r="AI39" s="37" t="n">
        <f aca="false">AH39*(1-Assumptions!$D$141)*(1+Assumptions!$D$145)+AI22*Assumptions!$D$73*Assumptions!$D$149</f>
        <v>13396.0099052076</v>
      </c>
      <c r="AJ39" s="37" t="n">
        <f aca="false">AI39*(1-Assumptions!$D$141)*(1+Assumptions!$D$145)+AJ22*Assumptions!$D$73*Assumptions!$D$149</f>
        <v>14092.8538576424</v>
      </c>
      <c r="AK39" s="37" t="n">
        <f aca="false">AJ39*(1-Assumptions!$D$141)*(1+Assumptions!$D$145)+AK22*Assumptions!$D$73*Assumptions!$D$149</f>
        <v>14800.1781805701</v>
      </c>
      <c r="AL39" s="37" t="n">
        <f aca="false">AK39*(1-Assumptions!$D$141)*(1+Assumptions!$D$145)+AL22*Assumptions!$D$73*Assumptions!$D$149</f>
        <v>15517.6362881387</v>
      </c>
    </row>
    <row r="40" customFormat="false" ht="15" hidden="false" customHeight="false" outlineLevel="0" collapsed="false">
      <c r="A40" s="9" t="s">
        <v>584</v>
      </c>
      <c r="B40" s="2" t="s">
        <v>105</v>
      </c>
      <c r="C40" s="37" t="n">
        <f aca="false">C23*Assumptions!$D$74*Assumptions!$D$150</f>
        <v>0</v>
      </c>
      <c r="D40" s="37" t="n">
        <f aca="false">C40*(1-Assumptions!$D$142)*(1+Assumptions!$D$146)+D23*Assumptions!$D$74*Assumptions!$D$150</f>
        <v>0</v>
      </c>
      <c r="E40" s="37" t="n">
        <f aca="false">D40*(1-Assumptions!$D$142)*(1+Assumptions!$D$146)+E23*Assumptions!$D$74*Assumptions!$D$150</f>
        <v>0</v>
      </c>
      <c r="F40" s="37" t="n">
        <f aca="false">E40*(1-Assumptions!$D$142)*(1+Assumptions!$D$146)+F23*Assumptions!$D$74*Assumptions!$D$150</f>
        <v>0</v>
      </c>
      <c r="G40" s="37" t="n">
        <f aca="false">F40*(1-Assumptions!$D$142)*(1+Assumptions!$D$146)+G23*Assumptions!$D$74*Assumptions!$D$150</f>
        <v>0</v>
      </c>
      <c r="H40" s="37" t="n">
        <f aca="false">G40*(1-Assumptions!$D$142)*(1+Assumptions!$D$146)+H23*Assumptions!$D$74*Assumptions!$D$150</f>
        <v>0</v>
      </c>
      <c r="I40" s="37" t="n">
        <f aca="false">H40*(1-Assumptions!$D$142)*(1+Assumptions!$D$146)+I23*Assumptions!$D$74*Assumptions!$D$150</f>
        <v>127.245</v>
      </c>
      <c r="J40" s="37" t="n">
        <f aca="false">I40*(1-Assumptions!$D$142)*(1+Assumptions!$D$146)+J23*Assumptions!$D$74*Assumptions!$D$150</f>
        <v>285.861194375</v>
      </c>
      <c r="K40" s="37" t="n">
        <f aca="false">J40*(1-Assumptions!$D$142)*(1+Assumptions!$D$146)+K23*Assumptions!$D$74*Assumptions!$D$150</f>
        <v>475.217237838203</v>
      </c>
      <c r="L40" s="37" t="n">
        <f aca="false">K40*(1-Assumptions!$D$142)*(1+Assumptions!$D$146)+L23*Assumptions!$D$74*Assumptions!$D$150</f>
        <v>694.694490926709</v>
      </c>
      <c r="M40" s="37" t="n">
        <f aca="false">L40*(1-Assumptions!$D$142)*(1+Assumptions!$D$146)+M23*Assumptions!$D$74*Assumptions!$D$150</f>
        <v>943.686764296809</v>
      </c>
      <c r="N40" s="37" t="n">
        <f aca="false">M40*(1-Assumptions!$D$142)*(1+Assumptions!$D$146)+N23*Assumptions!$D$74*Assumptions!$D$150</f>
        <v>1221.60006816534</v>
      </c>
      <c r="O40" s="37" t="n">
        <f aca="false">N40*(1-Assumptions!$D$142)*(1+Assumptions!$D$146)+O23*Assumptions!$D$74*Assumptions!$D$150</f>
        <v>1527.85236679351</v>
      </c>
      <c r="P40" s="37" t="n">
        <f aca="false">O40*(1-Assumptions!$D$142)*(1+Assumptions!$D$146)+P23*Assumptions!$D$74*Assumptions!$D$150</f>
        <v>1861.87333791179</v>
      </c>
      <c r="Q40" s="37" t="n">
        <f aca="false">P40*(1-Assumptions!$D$142)*(1+Assumptions!$D$146)+Q23*Assumptions!$D$74*Assumptions!$D$150</f>
        <v>2223.10413698631</v>
      </c>
      <c r="R40" s="37" t="n">
        <f aca="false">Q40*(1-Assumptions!$D$142)*(1+Assumptions!$D$146)+R23*Assumptions!$D$74*Assumptions!$D$150</f>
        <v>2610.99716622946</v>
      </c>
      <c r="S40" s="37" t="n">
        <f aca="false">R40*(1-Assumptions!$D$142)*(1+Assumptions!$D$146)+S23*Assumptions!$D$74*Assumptions!$D$150</f>
        <v>3025.0158482591</v>
      </c>
      <c r="T40" s="37" t="n">
        <f aca="false">S40*(1-Assumptions!$D$142)*(1+Assumptions!$D$146)+T23*Assumptions!$D$74*Assumptions!$D$150</f>
        <v>3464.63440431288</v>
      </c>
      <c r="U40" s="37" t="n">
        <f aca="false">T40*(1-Assumptions!$D$142)*(1+Assumptions!$D$146)+U23*Assumptions!$D$74*Assumptions!$D$150</f>
        <v>3929.33763692608</v>
      </c>
      <c r="V40" s="37" t="n">
        <f aca="false">U40*(1-Assumptions!$D$142)*(1+Assumptions!$D$146)+V23*Assumptions!$D$74*Assumptions!$D$150</f>
        <v>4418.62071698295</v>
      </c>
      <c r="W40" s="37" t="n">
        <f aca="false">V40*(1-Assumptions!$D$142)*(1+Assumptions!$D$146)+W23*Assumptions!$D$74*Assumptions!$D$150</f>
        <v>4931.98897505366</v>
      </c>
      <c r="X40" s="37" t="n">
        <f aca="false">W40*(1-Assumptions!$D$142)*(1+Assumptions!$D$146)+X23*Assumptions!$D$74*Assumptions!$D$150</f>
        <v>5468.95769693071</v>
      </c>
      <c r="Y40" s="37" t="n">
        <f aca="false">X40*(1-Assumptions!$D$142)*(1+Assumptions!$D$146)+Y23*Assumptions!$D$74*Assumptions!$D$150</f>
        <v>6029.05192327998</v>
      </c>
      <c r="Z40" s="37" t="n">
        <f aca="false">Y40*(1-Assumptions!$D$142)*(1+Assumptions!$D$146)+Z23*Assumptions!$D$74*Assumptions!$D$150</f>
        <v>6611.80625332397</v>
      </c>
      <c r="AA40" s="37" t="n">
        <f aca="false">Z40*(1-Assumptions!$D$142)*(1+Assumptions!$D$146)+AA23*Assumptions!$D$74*Assumptions!$D$150</f>
        <v>7216.76465247582</v>
      </c>
      <c r="AB40" s="37" t="n">
        <f aca="false">AA40*(1-Assumptions!$D$142)*(1+Assumptions!$D$146)+AB23*Assumptions!$D$74*Assumptions!$D$150</f>
        <v>7843.48026384474</v>
      </c>
      <c r="AC40" s="37" t="n">
        <f aca="false">AB40*(1-Assumptions!$D$142)*(1+Assumptions!$D$146)+AC23*Assumptions!$D$74*Assumptions!$D$150</f>
        <v>8491.51522353487</v>
      </c>
      <c r="AD40" s="37" t="n">
        <f aca="false">AC40*(1-Assumptions!$D$142)*(1+Assumptions!$D$146)+AD23*Assumptions!$D$74*Assumptions!$D$150</f>
        <v>9160.44047966123</v>
      </c>
      <c r="AE40" s="37" t="n">
        <f aca="false">AD40*(1-Assumptions!$D$142)*(1+Assumptions!$D$146)+AE23*Assumptions!$D$74*Assumptions!$D$150</f>
        <v>9849.83561500804</v>
      </c>
      <c r="AF40" s="37" t="n">
        <f aca="false">AE40*(1-Assumptions!$D$142)*(1+Assumptions!$D$146)+AF23*Assumptions!$D$74*Assumptions!$D$150</f>
        <v>10559.288673256</v>
      </c>
      <c r="AG40" s="37" t="n">
        <f aca="false">AF40*(1-Assumptions!$D$142)*(1+Assumptions!$D$146)+AG23*Assumptions!$D$74*Assumptions!$D$150</f>
        <v>11288.3959887067</v>
      </c>
      <c r="AH40" s="37" t="n">
        <f aca="false">AG40*(1-Assumptions!$D$142)*(1+Assumptions!$D$146)+AH23*Assumptions!$D$74*Assumptions!$D$150</f>
        <v>12036.762019434</v>
      </c>
      <c r="AI40" s="37" t="n">
        <f aca="false">AH40*(1-Assumptions!$D$142)*(1+Assumptions!$D$146)+AI23*Assumptions!$D$74*Assumptions!$D$150</f>
        <v>12803.9991837929</v>
      </c>
      <c r="AJ40" s="37" t="n">
        <f aca="false">AI40*(1-Assumptions!$D$142)*(1+Assumptions!$D$146)+AJ23*Assumptions!$D$74*Assumptions!$D$150</f>
        <v>13589.7277002191</v>
      </c>
      <c r="AK40" s="37" t="n">
        <f aca="false">AJ40*(1-Assumptions!$D$142)*(1+Assumptions!$D$146)+AK23*Assumptions!$D$74*Assumptions!$D$150</f>
        <v>14393.5754302521</v>
      </c>
      <c r="AL40" s="37" t="n">
        <f aca="false">AK40*(1-Assumptions!$D$142)*(1+Assumptions!$D$146)+AL23*Assumptions!$D$74*Assumptions!$D$150</f>
        <v>15215.1777247183</v>
      </c>
    </row>
    <row r="41" customFormat="false" ht="15" hidden="false" customHeight="false" outlineLevel="0" collapsed="false">
      <c r="A41" s="9" t="s">
        <v>585</v>
      </c>
      <c r="B41" s="2" t="s">
        <v>105</v>
      </c>
      <c r="C41" s="37" t="n">
        <f aca="false">C24*Assumptions!$D$75*Assumptions!$D$151</f>
        <v>0</v>
      </c>
      <c r="D41" s="37" t="n">
        <f aca="false">C41*(1-Assumptions!$D$143)*(1+Assumptions!$D$147)+D24*Assumptions!$D$75*Assumptions!$D$151</f>
        <v>0</v>
      </c>
      <c r="E41" s="37" t="n">
        <f aca="false">D41*(1-Assumptions!$D$143)*(1+Assumptions!$D$147)+E24*Assumptions!$D$75*Assumptions!$D$151</f>
        <v>0</v>
      </c>
      <c r="F41" s="37" t="n">
        <f aca="false">E41*(1-Assumptions!$D$143)*(1+Assumptions!$D$147)+F24*Assumptions!$D$75*Assumptions!$D$151</f>
        <v>0</v>
      </c>
      <c r="G41" s="37" t="n">
        <f aca="false">F41*(1-Assumptions!$D$143)*(1+Assumptions!$D$147)+G24*Assumptions!$D$75*Assumptions!$D$151</f>
        <v>0</v>
      </c>
      <c r="H41" s="37" t="n">
        <f aca="false">G41*(1-Assumptions!$D$143)*(1+Assumptions!$D$147)+H24*Assumptions!$D$75*Assumptions!$D$151</f>
        <v>0</v>
      </c>
      <c r="I41" s="37" t="n">
        <f aca="false">H41*(1-Assumptions!$D$143)*(1+Assumptions!$D$147)+I24*Assumptions!$D$75*Assumptions!$D$151</f>
        <v>0</v>
      </c>
      <c r="J41" s="37" t="n">
        <f aca="false">I41*(1-Assumptions!$D$143)*(1+Assumptions!$D$147)+J24*Assumptions!$D$75*Assumptions!$D$151</f>
        <v>0</v>
      </c>
      <c r="K41" s="37" t="n">
        <f aca="false">J41*(1-Assumptions!$D$143)*(1+Assumptions!$D$147)+K24*Assumptions!$D$75*Assumptions!$D$151</f>
        <v>269.82</v>
      </c>
      <c r="L41" s="37" t="n">
        <f aca="false">K41*(1-Assumptions!$D$143)*(1+Assumptions!$D$147)+L24*Assumptions!$D$75*Assumptions!$D$151</f>
        <v>579.5517744</v>
      </c>
      <c r="M41" s="37" t="n">
        <f aca="false">L41*(1-Assumptions!$D$143)*(1+Assumptions!$D$147)+M24*Assumptions!$D$75*Assumptions!$D$151</f>
        <v>929.112306709248</v>
      </c>
      <c r="N41" s="37" t="n">
        <f aca="false">M41*(1-Assumptions!$D$143)*(1+Assumptions!$D$147)+N24*Assumptions!$D$75*Assumptions!$D$151</f>
        <v>1318.41875311129</v>
      </c>
      <c r="O41" s="37" t="n">
        <f aca="false">N41*(1-Assumptions!$D$143)*(1+Assumptions!$D$147)+O24*Assumptions!$D$75*Assumptions!$D$151</f>
        <v>1747.38844210482</v>
      </c>
      <c r="P41" s="37" t="n">
        <f aca="false">O41*(1-Assumptions!$D$143)*(1+Assumptions!$D$147)+P24*Assumptions!$D$75*Assumptions!$D$151</f>
        <v>2215.93887414524</v>
      </c>
      <c r="Q41" s="37" t="n">
        <f aca="false">P41*(1-Assumptions!$D$143)*(1+Assumptions!$D$147)+Q24*Assumptions!$D$75*Assumptions!$D$151</f>
        <v>2723.98772128702</v>
      </c>
      <c r="R41" s="37" t="n">
        <f aca="false">Q41*(1-Assumptions!$D$143)*(1+Assumptions!$D$147)+R24*Assumptions!$D$75*Assumptions!$D$151</f>
        <v>3271.45282682674</v>
      </c>
      <c r="S41" s="37" t="n">
        <f aca="false">R41*(1-Assumptions!$D$143)*(1+Assumptions!$D$147)+S24*Assumptions!$D$75*Assumptions!$D$151</f>
        <v>3858.25220494694</v>
      </c>
      <c r="T41" s="37" t="n">
        <f aca="false">S41*(1-Assumptions!$D$143)*(1+Assumptions!$D$147)+T24*Assumptions!$D$75*Assumptions!$D$151</f>
        <v>4484.30404036066</v>
      </c>
      <c r="U41" s="37" t="n">
        <f aca="false">T41*(1-Assumptions!$D$143)*(1+Assumptions!$D$147)+U24*Assumptions!$D$75*Assumptions!$D$151</f>
        <v>5149.52668795671</v>
      </c>
      <c r="V41" s="37" t="n">
        <f aca="false">U41*(1-Assumptions!$D$143)*(1+Assumptions!$D$147)+V24*Assumptions!$D$75*Assumptions!$D$151</f>
        <v>5853.83867244576</v>
      </c>
      <c r="W41" s="37" t="n">
        <f aca="false">V41*(1-Assumptions!$D$143)*(1+Assumptions!$D$147)+W24*Assumptions!$D$75*Assumptions!$D$151</f>
        <v>6597.15868800707</v>
      </c>
      <c r="X41" s="37" t="n">
        <f aca="false">W41*(1-Assumptions!$D$143)*(1+Assumptions!$D$147)+X24*Assumptions!$D$75*Assumptions!$D$151</f>
        <v>7379.40559793602</v>
      </c>
      <c r="Y41" s="37" t="n">
        <f aca="false">X41*(1-Assumptions!$D$143)*(1+Assumptions!$D$147)+Y24*Assumptions!$D$75*Assumptions!$D$151</f>
        <v>8200.49843429231</v>
      </c>
      <c r="Z41" s="37" t="n">
        <f aca="false">Y41*(1-Assumptions!$D$143)*(1+Assumptions!$D$147)+Z24*Assumptions!$D$75*Assumptions!$D$151</f>
        <v>9060.35639754898</v>
      </c>
      <c r="AA41" s="37" t="n">
        <f aca="false">Z41*(1-Assumptions!$D$143)*(1+Assumptions!$D$147)+AA24*Assumptions!$D$75*Assumptions!$D$151</f>
        <v>9958.89885624208</v>
      </c>
      <c r="AB41" s="37" t="n">
        <f aca="false">AA41*(1-Assumptions!$D$143)*(1+Assumptions!$D$147)+AB24*Assumptions!$D$75*Assumptions!$D$151</f>
        <v>11300.7753466211</v>
      </c>
      <c r="AC41" s="37" t="n">
        <f aca="false">AB41*(1-Assumptions!$D$143)*(1+Assumptions!$D$147)+AC24*Assumptions!$D$75*Assumptions!$D$151</f>
        <v>12680.3337339001</v>
      </c>
      <c r="AD41" s="37" t="n">
        <f aca="false">AC41*(1-Assumptions!$D$143)*(1+Assumptions!$D$147)+AD24*Assumptions!$D$75*Assumptions!$D$151</f>
        <v>14097.4956397336</v>
      </c>
      <c r="AE41" s="37" t="n">
        <f aca="false">AD41*(1-Assumptions!$D$143)*(1+Assumptions!$D$147)+AE24*Assumptions!$D$75*Assumptions!$D$151</f>
        <v>15552.182848803</v>
      </c>
      <c r="AF41" s="37" t="n">
        <f aca="false">AE41*(1-Assumptions!$D$143)*(1+Assumptions!$D$147)+AF24*Assumptions!$D$75*Assumptions!$D$151</f>
        <v>17044.3173084775</v>
      </c>
      <c r="AG41" s="37" t="n">
        <f aca="false">AF41*(1-Assumptions!$D$143)*(1+Assumptions!$D$147)+AG24*Assumptions!$D$75*Assumptions!$D$151</f>
        <v>18573.8211284758</v>
      </c>
      <c r="AH41" s="37" t="n">
        <f aca="false">AG41*(1-Assumptions!$D$143)*(1+Assumptions!$D$147)+AH24*Assumptions!$D$75*Assumptions!$D$151</f>
        <v>20140.6165805286</v>
      </c>
      <c r="AI41" s="37" t="n">
        <f aca="false">AH41*(1-Assumptions!$D$143)*(1+Assumptions!$D$147)+AI24*Assumptions!$D$75*Assumptions!$D$151</f>
        <v>21744.6260980411</v>
      </c>
      <c r="AJ41" s="37" t="n">
        <f aca="false">AI41*(1-Assumptions!$D$143)*(1+Assumptions!$D$147)+AJ24*Assumptions!$D$75*Assumptions!$D$151</f>
        <v>23385.7722757572</v>
      </c>
      <c r="AK41" s="37" t="n">
        <f aca="false">AJ41*(1-Assumptions!$D$143)*(1+Assumptions!$D$147)+AK24*Assumptions!$D$75*Assumptions!$D$151</f>
        <v>25063.9778694236</v>
      </c>
      <c r="AL41" s="37" t="n">
        <f aca="false">AK41*(1-Assumptions!$D$143)*(1+Assumptions!$D$147)+AL24*Assumptions!$D$75*Assumptions!$D$151</f>
        <v>26779.1657954552</v>
      </c>
    </row>
    <row r="42" customFormat="false" ht="15" hidden="false" customHeight="false" outlineLevel="0" collapsed="false">
      <c r="A42" s="9" t="s">
        <v>586</v>
      </c>
      <c r="B42" s="2" t="s">
        <v>105</v>
      </c>
      <c r="C42" s="37" t="n">
        <f aca="false">C25*Assumptions!$D$76*Assumptions!$D$152</f>
        <v>0</v>
      </c>
      <c r="D42" s="37" t="n">
        <f aca="false">C42*(1-Assumptions!$D$144)*(1+Assumptions!$D$148)+D25*Assumptions!$D$76*Assumptions!$D$152</f>
        <v>0</v>
      </c>
      <c r="E42" s="37" t="n">
        <f aca="false">D42*(1-Assumptions!$D$144)*(1+Assumptions!$D$148)+E25*Assumptions!$D$76*Assumptions!$D$152</f>
        <v>0</v>
      </c>
      <c r="F42" s="37" t="n">
        <f aca="false">E42*(1-Assumptions!$D$144)*(1+Assumptions!$D$148)+F25*Assumptions!$D$76*Assumptions!$D$152</f>
        <v>0</v>
      </c>
      <c r="G42" s="37" t="n">
        <f aca="false">F42*(1-Assumptions!$D$144)*(1+Assumptions!$D$148)+G25*Assumptions!$D$76*Assumptions!$D$152</f>
        <v>0</v>
      </c>
      <c r="H42" s="37" t="n">
        <f aca="false">G42*(1-Assumptions!$D$144)*(1+Assumptions!$D$148)+H25*Assumptions!$D$76*Assumptions!$D$152</f>
        <v>0</v>
      </c>
      <c r="I42" s="37" t="n">
        <f aca="false">H42*(1-Assumptions!$D$144)*(1+Assumptions!$D$148)+I25*Assumptions!$D$76*Assumptions!$D$152</f>
        <v>0</v>
      </c>
      <c r="J42" s="37" t="n">
        <f aca="false">I42*(1-Assumptions!$D$144)*(1+Assumptions!$D$148)+J25*Assumptions!$D$76*Assumptions!$D$152</f>
        <v>0</v>
      </c>
      <c r="K42" s="37" t="n">
        <f aca="false">J42*(1-Assumptions!$D$144)*(1+Assumptions!$D$148)+K25*Assumptions!$D$76*Assumptions!$D$152</f>
        <v>0</v>
      </c>
      <c r="L42" s="37" t="n">
        <f aca="false">K42*(1-Assumptions!$D$144)*(1+Assumptions!$D$148)+L25*Assumptions!$D$76*Assumptions!$D$152</f>
        <v>0</v>
      </c>
      <c r="M42" s="37" t="n">
        <f aca="false">L42*(1-Assumptions!$D$144)*(1+Assumptions!$D$148)+M25*Assumptions!$D$76*Assumptions!$D$152</f>
        <v>0</v>
      </c>
      <c r="N42" s="37" t="n">
        <f aca="false">M42*(1-Assumptions!$D$144)*(1+Assumptions!$D$148)+N25*Assumptions!$D$76*Assumptions!$D$152</f>
        <v>400</v>
      </c>
      <c r="O42" s="37" t="n">
        <f aca="false">N42*(1-Assumptions!$D$144)*(1+Assumptions!$D$148)+O25*Assumptions!$D$76*Assumptions!$D$152</f>
        <v>841.576</v>
      </c>
      <c r="P42" s="37" t="n">
        <f aca="false">O42*(1-Assumptions!$D$144)*(1+Assumptions!$D$148)+P25*Assumptions!$D$76*Assumptions!$D$152</f>
        <v>1324.89180944</v>
      </c>
      <c r="Q42" s="37" t="n">
        <f aca="false">P42*(1-Assumptions!$D$144)*(1+Assumptions!$D$148)+Q25*Assumptions!$D$76*Assumptions!$D$152</f>
        <v>1850.11188316919</v>
      </c>
      <c r="R42" s="37" t="n">
        <f aca="false">Q42*(1-Assumptions!$D$144)*(1+Assumptions!$D$148)+R25*Assumptions!$D$76*Assumptions!$D$152</f>
        <v>2417.40132398888</v>
      </c>
      <c r="S42" s="37" t="n">
        <f aca="false">R42*(1-Assumptions!$D$144)*(1+Assumptions!$D$148)+S25*Assumptions!$D$76*Assumptions!$D$152</f>
        <v>3026.9258852054</v>
      </c>
      <c r="T42" s="37" t="n">
        <f aca="false">S42*(1-Assumptions!$D$144)*(1+Assumptions!$D$148)+T25*Assumptions!$D$76*Assumptions!$D$152</f>
        <v>3678.85197319311</v>
      </c>
      <c r="U42" s="37" t="n">
        <f aca="false">T42*(1-Assumptions!$D$144)*(1+Assumptions!$D$148)+U25*Assumptions!$D$76*Assumptions!$D$152</f>
        <v>4373.34664996749</v>
      </c>
      <c r="V42" s="37" t="n">
        <f aca="false">U42*(1-Assumptions!$D$144)*(1+Assumptions!$D$148)+V25*Assumptions!$D$76*Assumptions!$D$152</f>
        <v>5110.57763576836</v>
      </c>
      <c r="W42" s="37" t="n">
        <f aca="false">V42*(1-Assumptions!$D$144)*(1+Assumptions!$D$148)+W25*Assumptions!$D$76*Assumptions!$D$152</f>
        <v>5890.71331165329</v>
      </c>
      <c r="X42" s="37" t="n">
        <f aca="false">W42*(1-Assumptions!$D$144)*(1+Assumptions!$D$148)+X25*Assumptions!$D$76*Assumptions!$D$152</f>
        <v>6713.9227221012</v>
      </c>
      <c r="Y42" s="37" t="n">
        <f aca="false">X42*(1-Assumptions!$D$144)*(1+Assumptions!$D$148)+Y25*Assumptions!$D$76*Assumptions!$D$152</f>
        <v>7580.37557762628</v>
      </c>
      <c r="Z42" s="37" t="n">
        <f aca="false">Y42*(1-Assumptions!$D$144)*(1+Assumptions!$D$148)+Z25*Assumptions!$D$76*Assumptions!$D$152</f>
        <v>8490.24225740213</v>
      </c>
      <c r="AA42" s="37" t="n">
        <f aca="false">Z42*(1-Assumptions!$D$144)*(1+Assumptions!$D$148)+AA25*Assumptions!$D$76*Assumptions!$D$152</f>
        <v>9443.69381189629</v>
      </c>
      <c r="AB42" s="37" t="n">
        <f aca="false">AA42*(1-Assumptions!$D$144)*(1+Assumptions!$D$148)+AB25*Assumptions!$D$76*Assumptions!$D$152</f>
        <v>10690.9019655152</v>
      </c>
      <c r="AC42" s="37" t="n">
        <f aca="false">AB42*(1-Assumptions!$D$144)*(1+Assumptions!$D$148)+AC25*Assumptions!$D$76*Assumptions!$D$152</f>
        <v>11983.0241192593</v>
      </c>
      <c r="AD42" s="37" t="n">
        <f aca="false">AC42*(1-Assumptions!$D$144)*(1+Assumptions!$D$148)+AD25*Assumptions!$D$76*Assumptions!$D$152</f>
        <v>13320.2372342892</v>
      </c>
      <c r="AE42" s="37" t="n">
        <f aca="false">AD42*(1-Assumptions!$D$144)*(1+Assumptions!$D$148)+AE25*Assumptions!$D$76*Assumptions!$D$152</f>
        <v>14702.7189689923</v>
      </c>
      <c r="AF42" s="37" t="n">
        <f aca="false">AE42*(1-Assumptions!$D$144)*(1+Assumptions!$D$148)+AF25*Assumptions!$D$76*Assumptions!$D$152</f>
        <v>16130.6476817301</v>
      </c>
      <c r="AG42" s="37" t="n">
        <f aca="false">AF42*(1-Assumptions!$D$144)*(1+Assumptions!$D$148)+AG25*Assumptions!$D$76*Assumptions!$D$152</f>
        <v>17604.2024335961</v>
      </c>
      <c r="AH42" s="37" t="n">
        <f aca="false">AG42*(1-Assumptions!$D$144)*(1+Assumptions!$D$148)+AH25*Assumptions!$D$76*Assumptions!$D$152</f>
        <v>19123.5629911845</v>
      </c>
      <c r="AI42" s="37" t="n">
        <f aca="false">AH42*(1-Assumptions!$D$144)*(1+Assumptions!$D$148)+AI25*Assumptions!$D$76*Assumptions!$D$152</f>
        <v>20688.9098293698</v>
      </c>
      <c r="AJ42" s="37" t="n">
        <f aca="false">AI42*(1-Assumptions!$D$144)*(1+Assumptions!$D$148)+AJ25*Assumptions!$D$76*Assumptions!$D$152</f>
        <v>22300.4241340975</v>
      </c>
      <c r="AK42" s="37" t="n">
        <f aca="false">AJ42*(1-Assumptions!$D$144)*(1+Assumptions!$D$148)+AK25*Assumptions!$D$76*Assumptions!$D$152</f>
        <v>23958.2878051858</v>
      </c>
      <c r="AL42" s="37" t="n">
        <f aca="false">AK42*(1-Assumptions!$D$144)*(1+Assumptions!$D$148)+AL25*Assumptions!$D$76*Assumptions!$D$152</f>
        <v>25662.6834591382</v>
      </c>
    </row>
    <row r="43" customFormat="false" ht="15" hidden="false" customHeight="false" outlineLevel="0" collapsed="false">
      <c r="A43" s="3" t="s">
        <v>587</v>
      </c>
      <c r="B43" s="2" t="s">
        <v>105</v>
      </c>
      <c r="C43" s="45" t="n">
        <f aca="false">C39+C40+C41+C42</f>
        <v>0</v>
      </c>
      <c r="D43" s="45" t="n">
        <f aca="false">D39+D40+D41+D42</f>
        <v>0</v>
      </c>
      <c r="E43" s="45" t="n">
        <f aca="false">E39+E40+E41+E42</f>
        <v>0</v>
      </c>
      <c r="F43" s="45" t="n">
        <f aca="false">F39+F40+F41+F42</f>
        <v>0</v>
      </c>
      <c r="G43" s="45" t="n">
        <f aca="false">G39+G40+G41+G42</f>
        <v>0</v>
      </c>
      <c r="H43" s="45" t="n">
        <f aca="false">H39+H40+H41+H42</f>
        <v>201.15</v>
      </c>
      <c r="I43" s="45" t="n">
        <f aca="false">I39+I40+I41+I42</f>
        <v>556.4179695</v>
      </c>
      <c r="J43" s="45" t="n">
        <f aca="false">J39+J40+J41+J42</f>
        <v>969.041413773635</v>
      </c>
      <c r="K43" s="45" t="n">
        <f aca="false">K39+K40+K41+K42</f>
        <v>1707.34968738133</v>
      </c>
      <c r="L43" s="45" t="n">
        <f aca="false">L39+L40+L41+L42</f>
        <v>2539.98504216344</v>
      </c>
      <c r="M43" s="45" t="n">
        <f aca="false">M39+M40+M41+M42</f>
        <v>3465.4548664928</v>
      </c>
      <c r="N43" s="45" t="n">
        <f aca="false">N39+N40+N41+N42</f>
        <v>4882.30548960662</v>
      </c>
      <c r="O43" s="45" t="n">
        <f aca="false">O39+O40+O41+O42</f>
        <v>6430.69705710665</v>
      </c>
      <c r="P43" s="45" t="n">
        <f aca="false">P39+P40+P41+P42</f>
        <v>8109.4142498971</v>
      </c>
      <c r="Q43" s="45" t="n">
        <f aca="false">Q39+Q40+Q41+Q42</f>
        <v>9917.27806258941</v>
      </c>
      <c r="R43" s="45" t="n">
        <f aca="false">R39+R40+R41+R42</f>
        <v>11853.1447803916</v>
      </c>
      <c r="S43" s="45" t="n">
        <f aca="false">S39+S40+S41+S42</f>
        <v>13915.9049869251</v>
      </c>
      <c r="T43" s="45" t="n">
        <f aca="false">T39+T40+T41+T42</f>
        <v>16104.482602006</v>
      </c>
      <c r="U43" s="45" t="n">
        <f aca="false">U39+U40+U41+U42</f>
        <v>18417.8339484601</v>
      </c>
      <c r="V43" s="45" t="n">
        <f aca="false">V39+V40+V41+V42</f>
        <v>20854.9468470696</v>
      </c>
      <c r="W43" s="45" t="n">
        <f aca="false">W39+W40+W41+W42</f>
        <v>23414.8397387773</v>
      </c>
      <c r="X43" s="45" t="n">
        <f aca="false">X39+X40+X41+X42</f>
        <v>26096.5608333036</v>
      </c>
      <c r="Y43" s="45" t="n">
        <f aca="false">Y39+Y40+Y41+Y42</f>
        <v>28899.187283358</v>
      </c>
      <c r="Z43" s="45" t="n">
        <f aca="false">Z39+Z40+Z41+Z42</f>
        <v>31821.8243836509</v>
      </c>
      <c r="AA43" s="45" t="n">
        <f aca="false">AA39+AA40+AA41+AA42</f>
        <v>34863.6047939393</v>
      </c>
      <c r="AB43" s="45" t="n">
        <f aca="false">AB39+AB40+AB41+AB42</f>
        <v>38678.4177853633</v>
      </c>
      <c r="AC43" s="45" t="n">
        <f aca="false">AC39+AC40+AC41+AC42</f>
        <v>42610.8616709523</v>
      </c>
      <c r="AD43" s="45" t="n">
        <f aca="false">AD39+AD40+AD41+AD42</f>
        <v>46660.1524051299</v>
      </c>
      <c r="AE43" s="45" t="n">
        <f aca="false">AE39+AE40+AE41+AE42</f>
        <v>50825.5304370179</v>
      </c>
      <c r="AF43" s="45" t="n">
        <f aca="false">AF39+AF40+AF41+AF42</f>
        <v>55106.2600430288</v>
      </c>
      <c r="AG43" s="45" t="n">
        <f aca="false">AG39+AG40+AG41+AG42</f>
        <v>59501.6286793716</v>
      </c>
      <c r="AH43" s="45" t="n">
        <f aca="false">AH39+AH40+AH41+AH42</f>
        <v>64010.9463538575</v>
      </c>
      <c r="AI43" s="45" t="n">
        <f aca="false">AI39+AI40+AI41+AI42</f>
        <v>68633.5450164113</v>
      </c>
      <c r="AJ43" s="45" t="n">
        <f aca="false">AJ39+AJ40+AJ41+AJ42</f>
        <v>73368.7779677161</v>
      </c>
      <c r="AK43" s="45" t="n">
        <f aca="false">AK39+AK40+AK41+AK42</f>
        <v>78216.0192854317</v>
      </c>
      <c r="AL43" s="45" t="n">
        <f aca="false">AL39+AL40+AL41+AL42</f>
        <v>83174.6632674504</v>
      </c>
    </row>
    <row r="44" customFormat="false" ht="15" hidden="false" customHeight="false" outlineLevel="0" collapsed="false">
      <c r="A44" s="3" t="s">
        <v>588</v>
      </c>
      <c r="B44" s="2" t="s">
        <v>105</v>
      </c>
      <c r="C44" s="46" t="n">
        <f aca="false">C43*12</f>
        <v>0</v>
      </c>
      <c r="D44" s="46" t="n">
        <f aca="false">D43*12</f>
        <v>0</v>
      </c>
      <c r="E44" s="46" t="n">
        <f aca="false">E43*12</f>
        <v>0</v>
      </c>
      <c r="F44" s="46" t="n">
        <f aca="false">F43*12</f>
        <v>0</v>
      </c>
      <c r="G44" s="46" t="n">
        <f aca="false">G43*12</f>
        <v>0</v>
      </c>
      <c r="H44" s="46" t="n">
        <f aca="false">H43*12</f>
        <v>2413.8</v>
      </c>
      <c r="I44" s="46" t="n">
        <f aca="false">I43*12</f>
        <v>6677.015634</v>
      </c>
      <c r="J44" s="46" t="n">
        <f aca="false">J43*12</f>
        <v>11628.4969652836</v>
      </c>
      <c r="K44" s="46" t="n">
        <f aca="false">K43*12</f>
        <v>20488.1962485759</v>
      </c>
      <c r="L44" s="46" t="n">
        <f aca="false">L43*12</f>
        <v>30479.8205059613</v>
      </c>
      <c r="M44" s="46" t="n">
        <f aca="false">M43*12</f>
        <v>41585.4583979136</v>
      </c>
      <c r="N44" s="46" t="n">
        <f aca="false">N43*12</f>
        <v>58587.6658752795</v>
      </c>
      <c r="O44" s="46" t="n">
        <f aca="false">O43*12</f>
        <v>77168.3646852798</v>
      </c>
      <c r="P44" s="46" t="n">
        <f aca="false">P43*12</f>
        <v>97312.9709987652</v>
      </c>
      <c r="Q44" s="46" t="n">
        <f aca="false">Q43*12</f>
        <v>119007.336751073</v>
      </c>
      <c r="R44" s="46" t="n">
        <f aca="false">R43*12</f>
        <v>142237.7373647</v>
      </c>
      <c r="S44" s="46" t="n">
        <f aca="false">S43*12</f>
        <v>166990.859843101</v>
      </c>
      <c r="T44" s="46" t="n">
        <f aca="false">T43*12</f>
        <v>193253.791224072</v>
      </c>
      <c r="U44" s="46" t="n">
        <f aca="false">U43*12</f>
        <v>221014.007381522</v>
      </c>
      <c r="V44" s="46" t="n">
        <f aca="false">V43*12</f>
        <v>250259.362164836</v>
      </c>
      <c r="W44" s="46" t="n">
        <f aca="false">W43*12</f>
        <v>280978.076865327</v>
      </c>
      <c r="X44" s="46" t="n">
        <f aca="false">X43*12</f>
        <v>313158.729999643</v>
      </c>
      <c r="Y44" s="46" t="n">
        <f aca="false">Y43*12</f>
        <v>346790.247400296</v>
      </c>
      <c r="Z44" s="46" t="n">
        <f aca="false">Z43*12</f>
        <v>381861.892603811</v>
      </c>
      <c r="AA44" s="46" t="n">
        <f aca="false">AA43*12</f>
        <v>418363.257527272</v>
      </c>
      <c r="AB44" s="46" t="n">
        <f aca="false">AB43*12</f>
        <v>464141.013424359</v>
      </c>
      <c r="AC44" s="46" t="n">
        <f aca="false">AC43*12</f>
        <v>511330.340051428</v>
      </c>
      <c r="AD44" s="46" t="n">
        <f aca="false">AD43*12</f>
        <v>559921.828861559</v>
      </c>
      <c r="AE44" s="46" t="n">
        <f aca="false">AE43*12</f>
        <v>609906.365244214</v>
      </c>
      <c r="AF44" s="46" t="n">
        <f aca="false">AF43*12</f>
        <v>661275.120516345</v>
      </c>
      <c r="AG44" s="46" t="n">
        <f aca="false">AG43*12</f>
        <v>714019.54415246</v>
      </c>
      <c r="AH44" s="46" t="n">
        <f aca="false">AH43*12</f>
        <v>768131.35624629</v>
      </c>
      <c r="AI44" s="46" t="n">
        <f aca="false">AI43*12</f>
        <v>823602.540196936</v>
      </c>
      <c r="AJ44" s="46" t="n">
        <f aca="false">AJ43*12</f>
        <v>880425.335612593</v>
      </c>
      <c r="AK44" s="46" t="n">
        <f aca="false">AK43*12</f>
        <v>938592.23142518</v>
      </c>
      <c r="AL44" s="46" t="n">
        <f aca="false">AL43*12</f>
        <v>998095.959209405</v>
      </c>
    </row>
    <row r="45" customFormat="false" ht="15" hidden="false" customHeight="false" outlineLevel="0" collapsed="false">
      <c r="A45" s="9" t="s">
        <v>589</v>
      </c>
      <c r="B45" s="2" t="s">
        <v>241</v>
      </c>
      <c r="C45" s="37" t="n">
        <f aca="false">IF(C30&lt;0.0001,0,C39/C30)</f>
        <v>0</v>
      </c>
      <c r="D45" s="37" t="n">
        <f aca="false">IF(D30&lt;0.0001,0,D39/D30)</f>
        <v>0</v>
      </c>
      <c r="E45" s="37" t="n">
        <f aca="false">IF(E30&lt;0.0001,0,E39/E30)</f>
        <v>0</v>
      </c>
      <c r="F45" s="37" t="n">
        <f aca="false">IF(F30&lt;0.0001,0,F39/F30)</f>
        <v>0</v>
      </c>
      <c r="G45" s="37" t="n">
        <f aca="false">IF(G30&lt;0.0001,0,G39/G30)</f>
        <v>0</v>
      </c>
      <c r="H45" s="37" t="n">
        <f aca="false">IF(H30&lt;0.0001,0,H39/H30)</f>
        <v>134.1</v>
      </c>
      <c r="I45" s="37" t="n">
        <f aca="false">IF(I30&lt;0.0001,0,I39/I30)</f>
        <v>134.221413448006</v>
      </c>
      <c r="J45" s="37" t="n">
        <f aca="false">IF(J30&lt;0.0001,0,J39/J30)</f>
        <v>134.336538187306</v>
      </c>
      <c r="K45" s="37" t="n">
        <f aca="false">IF(K30&lt;0.0001,0,K39/K30)</f>
        <v>134.446397328322</v>
      </c>
      <c r="L45" s="37" t="n">
        <f aca="false">IF(L30&lt;0.0001,0,L39/L30)</f>
        <v>134.551772227352</v>
      </c>
      <c r="M45" s="37" t="n">
        <f aca="false">IF(M30&lt;0.0001,0,M39/M30)</f>
        <v>134.65327033487</v>
      </c>
      <c r="N45" s="37" t="n">
        <f aca="false">IF(N30&lt;0.0001,0,N39/N30)</f>
        <v>134.751371413628</v>
      </c>
      <c r="O45" s="37" t="n">
        <f aca="false">IF(O30&lt;0.0001,0,O39/O30)</f>
        <v>134.846459765328</v>
      </c>
      <c r="P45" s="37" t="n">
        <f aca="false">IF(P30&lt;0.0001,0,P39/P30)</f>
        <v>134.938847169692</v>
      </c>
      <c r="Q45" s="37" t="n">
        <f aca="false">IF(Q30&lt;0.0001,0,Q39/Q30)</f>
        <v>135.028789515279</v>
      </c>
      <c r="R45" s="37" t="n">
        <f aca="false">IF(R30&lt;0.0001,0,R39/R30)</f>
        <v>135.116499056965</v>
      </c>
      <c r="S45" s="37" t="n">
        <f aca="false">IF(S30&lt;0.0001,0,S39/S30)</f>
        <v>135.202153585236</v>
      </c>
      <c r="T45" s="37" t="n">
        <f aca="false">IF(T30&lt;0.0001,0,T39/T30)</f>
        <v>135.285903378205</v>
      </c>
      <c r="U45" s="37" t="n">
        <f aca="false">IF(U30&lt;0.0001,0,U39/U30)</f>
        <v>135.367876537458</v>
      </c>
      <c r="V45" s="37" t="n">
        <f aca="false">IF(V30&lt;0.0001,0,V39/V30)</f>
        <v>135.448183129529</v>
      </c>
      <c r="W45" s="37" t="n">
        <f aca="false">IF(W30&lt;0.0001,0,W39/W30)</f>
        <v>135.526918433532</v>
      </c>
      <c r="X45" s="37" t="n">
        <f aca="false">IF(X30&lt;0.0001,0,X39/X30)</f>
        <v>135.604165512046</v>
      </c>
      <c r="Y45" s="37" t="n">
        <f aca="false">IF(Y30&lt;0.0001,0,Y39/Y30)</f>
        <v>135.679997264121</v>
      </c>
      <c r="Z45" s="37" t="n">
        <f aca="false">IF(Z30&lt;0.0001,0,Z39/Z30)</f>
        <v>135.754478078033</v>
      </c>
      <c r="AA45" s="37" t="n">
        <f aca="false">IF(AA30&lt;0.0001,0,AA39/AA30)</f>
        <v>135.827665171846</v>
      </c>
      <c r="AB45" s="37" t="n">
        <f aca="false">IF(AB30&lt;0.0001,0,AB39/AB30)</f>
        <v>135.899609688364</v>
      </c>
      <c r="AC45" s="37" t="n">
        <f aca="false">IF(AC30&lt;0.0001,0,AC39/AC30)</f>
        <v>135.970357595342</v>
      </c>
      <c r="AD45" s="37" t="n">
        <f aca="false">IF(AD30&lt;0.0001,0,AD39/AD30)</f>
        <v>136.039950430083</v>
      </c>
      <c r="AE45" s="37" t="n">
        <f aca="false">IF(AE30&lt;0.0001,0,AE39/AE30)</f>
        <v>136.108425918867</v>
      </c>
      <c r="AF45" s="37" t="n">
        <f aca="false">IF(AF30&lt;0.0001,0,AF39/AF30)</f>
        <v>136.175818495003</v>
      </c>
      <c r="AG45" s="37" t="n">
        <f aca="false">IF(AG30&lt;0.0001,0,AG39/AG30)</f>
        <v>136.242159734284</v>
      </c>
      <c r="AH45" s="37" t="n">
        <f aca="false">IF(AH30&lt;0.0001,0,AH39/AH30)</f>
        <v>136.30747872274</v>
      </c>
      <c r="AI45" s="37" t="n">
        <f aca="false">IF(AI30&lt;0.0001,0,AI39/AI30)</f>
        <v>136.371802368614</v>
      </c>
      <c r="AJ45" s="37" t="n">
        <f aca="false">IF(AJ30&lt;0.0001,0,AJ39/AJ30)</f>
        <v>136.43515566812</v>
      </c>
      <c r="AK45" s="37" t="n">
        <f aca="false">IF(AK30&lt;0.0001,0,AK39/AK30)</f>
        <v>136.497561932743</v>
      </c>
      <c r="AL45" s="37" t="n">
        <f aca="false">IF(AL30&lt;0.0001,0,AL39/AL30)</f>
        <v>136.55904298436</v>
      </c>
    </row>
    <row r="46" customFormat="false" ht="15" hidden="false" customHeight="false" outlineLevel="0" collapsed="false">
      <c r="A46" s="9" t="s">
        <v>590</v>
      </c>
      <c r="B46" s="2" t="s">
        <v>241</v>
      </c>
      <c r="C46" s="37" t="n">
        <f aca="false">IF(C31&lt;0.0001,0,C40/C31)</f>
        <v>0</v>
      </c>
      <c r="D46" s="37" t="n">
        <f aca="false">IF(D31&lt;0.0001,0,D40/D31)</f>
        <v>0</v>
      </c>
      <c r="E46" s="37" t="n">
        <f aca="false">IF(E31&lt;0.0001,0,E40/E31)</f>
        <v>0</v>
      </c>
      <c r="F46" s="37" t="n">
        <f aca="false">IF(F31&lt;0.0001,0,F40/F31)</f>
        <v>0</v>
      </c>
      <c r="G46" s="37" t="n">
        <f aca="false">IF(G31&lt;0.0001,0,G40/G31)</f>
        <v>0</v>
      </c>
      <c r="H46" s="37" t="n">
        <f aca="false">IF(H31&lt;0.0001,0,H40/H31)</f>
        <v>0</v>
      </c>
      <c r="I46" s="37" t="n">
        <f aca="false">IF(I31&lt;0.0001,0,I40/I31)</f>
        <v>424.15</v>
      </c>
      <c r="J46" s="37" t="n">
        <f aca="false">IF(J31&lt;0.0001,0,J40/J31)</f>
        <v>425.072407992565</v>
      </c>
      <c r="K46" s="37" t="n">
        <f aca="false">IF(K31&lt;0.0001,0,K40/K31)</f>
        <v>425.94116886512</v>
      </c>
      <c r="L46" s="37" t="n">
        <f aca="false">IF(L31&lt;0.0001,0,L40/L31)</f>
        <v>426.770175335979</v>
      </c>
      <c r="M46" s="37" t="n">
        <f aca="false">IF(M31&lt;0.0001,0,M40/M31)</f>
        <v>427.568565346355</v>
      </c>
      <c r="N46" s="37" t="n">
        <f aca="false">IF(N31&lt;0.0001,0,N40/N31)</f>
        <v>428.342596516284</v>
      </c>
      <c r="O46" s="37" t="n">
        <f aca="false">IF(O31&lt;0.0001,0,O40/O31)</f>
        <v>429.096698721868</v>
      </c>
      <c r="P46" s="37" t="n">
        <f aca="false">IF(P31&lt;0.0001,0,P40/P31)</f>
        <v>429.834096585232</v>
      </c>
      <c r="Q46" s="37" t="n">
        <f aca="false">IF(Q31&lt;0.0001,0,Q40/Q31)</f>
        <v>430.557193828768</v>
      </c>
      <c r="R46" s="37" t="n">
        <f aca="false">IF(R31&lt;0.0001,0,R40/R31)</f>
        <v>431.267819405424</v>
      </c>
      <c r="S46" s="37" t="n">
        <f aca="false">IF(S31&lt;0.0001,0,S40/S31)</f>
        <v>431.967390118652</v>
      </c>
      <c r="T46" s="37" t="n">
        <f aca="false">IF(T31&lt;0.0001,0,T40/T31)</f>
        <v>432.657021018935</v>
      </c>
      <c r="U46" s="37" t="n">
        <f aca="false">IF(U31&lt;0.0001,0,U40/U31)</f>
        <v>433.337602148322</v>
      </c>
      <c r="V46" s="37" t="n">
        <f aca="false">IF(V31&lt;0.0001,0,V40/V31)</f>
        <v>434.009853021526</v>
      </c>
      <c r="W46" s="37" t="n">
        <f aca="false">IF(W31&lt;0.0001,0,W40/W31)</f>
        <v>434.674362030558</v>
      </c>
      <c r="X46" s="37" t="n">
        <f aca="false">IF(X31&lt;0.0001,0,X40/X31)</f>
        <v>435.331615425254</v>
      </c>
      <c r="Y46" s="37" t="n">
        <f aca="false">IF(Y31&lt;0.0001,0,Y40/Y31)</f>
        <v>435.982018950572</v>
      </c>
      <c r="Z46" s="37" t="n">
        <f aca="false">IF(Z31&lt;0.0001,0,Z40/Z31)</f>
        <v>436.625914223086</v>
      </c>
      <c r="AA46" s="37" t="n">
        <f aca="false">IF(AA31&lt;0.0001,0,AA40/AA31)</f>
        <v>437.263591280426</v>
      </c>
      <c r="AB46" s="37" t="n">
        <f aca="false">IF(AB31&lt;0.0001,0,AB40/AB31)</f>
        <v>437.89529830762</v>
      </c>
      <c r="AC46" s="37" t="n">
        <f aca="false">IF(AC31&lt;0.0001,0,AC40/AC31)</f>
        <v>438.521249254145</v>
      </c>
      <c r="AD46" s="37" t="n">
        <f aca="false">IF(AD31&lt;0.0001,0,AD40/AD31)</f>
        <v>439.141629856433</v>
      </c>
      <c r="AE46" s="37" t="n">
        <f aca="false">IF(AE31&lt;0.0001,0,AE40/AE31)</f>
        <v>439.756602441856</v>
      </c>
      <c r="AF46" s="37" t="n">
        <f aca="false">IF(AF31&lt;0.0001,0,AF40/AF31)</f>
        <v>440.366309792149</v>
      </c>
      <c r="AG46" s="37" t="n">
        <f aca="false">IF(AG31&lt;0.0001,0,AG40/AG31)</f>
        <v>440.970878274088</v>
      </c>
      <c r="AH46" s="37" t="n">
        <f aca="false">IF(AH31&lt;0.0001,0,AH40/AH31)</f>
        <v>441.57042039435</v>
      </c>
      <c r="AI46" s="37" t="n">
        <f aca="false">IF(AI31&lt;0.0001,0,AI40/AI31)</f>
        <v>442.165036898205</v>
      </c>
      <c r="AJ46" s="37" t="n">
        <f aca="false">IF(AJ31&lt;0.0001,0,AJ40/AJ31)</f>
        <v>442.754818504125</v>
      </c>
      <c r="AK46" s="37" t="n">
        <f aca="false">IF(AK31&lt;0.0001,0,AK40/AK31)</f>
        <v>443.339847345716</v>
      </c>
      <c r="AL46" s="37" t="n">
        <f aca="false">IF(AL31&lt;0.0001,0,AL40/AL31)</f>
        <v>443.920198176826</v>
      </c>
    </row>
    <row r="47" customFormat="false" ht="15" hidden="false" customHeight="false" outlineLevel="0" collapsed="false">
      <c r="A47" s="9" t="s">
        <v>591</v>
      </c>
      <c r="B47" s="2" t="s">
        <v>241</v>
      </c>
      <c r="C47" s="37" t="n">
        <f aca="false">IF(C32&lt;0.0001,0,C41/C32)</f>
        <v>0</v>
      </c>
      <c r="D47" s="37" t="n">
        <f aca="false">IF(D32&lt;0.0001,0,D41/D32)</f>
        <v>0</v>
      </c>
      <c r="E47" s="37" t="n">
        <f aca="false">IF(E32&lt;0.0001,0,E41/E32)</f>
        <v>0</v>
      </c>
      <c r="F47" s="37" t="n">
        <f aca="false">IF(F32&lt;0.0001,0,F41/F32)</f>
        <v>0</v>
      </c>
      <c r="G47" s="37" t="n">
        <f aca="false">IF(G32&lt;0.0001,0,G41/G32)</f>
        <v>0</v>
      </c>
      <c r="H47" s="37" t="n">
        <f aca="false">IF(H32&lt;0.0001,0,H41/H32)</f>
        <v>0</v>
      </c>
      <c r="I47" s="37" t="n">
        <f aca="false">IF(I32&lt;0.0001,0,I41/I32)</f>
        <v>0</v>
      </c>
      <c r="J47" s="37" t="n">
        <f aca="false">IF(J32&lt;0.0001,0,J41/J32)</f>
        <v>0</v>
      </c>
      <c r="K47" s="37" t="n">
        <f aca="false">IF(K32&lt;0.0001,0,K41/K32)</f>
        <v>1349.1</v>
      </c>
      <c r="L47" s="37" t="n">
        <f aca="false">IF(L32&lt;0.0001,0,L41/L32)</f>
        <v>1354.09293084112</v>
      </c>
      <c r="M47" s="37" t="n">
        <f aca="false">IF(M32&lt;0.0001,0,M41/M32)</f>
        <v>1358.90760356469</v>
      </c>
      <c r="N47" s="37" t="n">
        <f aca="false">IF(N32&lt;0.0001,0,N41/N32)</f>
        <v>1363.57659181784</v>
      </c>
      <c r="O47" s="37" t="n">
        <f aca="false">IF(O32&lt;0.0001,0,O41/O32)</f>
        <v>1368.12506002308</v>
      </c>
      <c r="P47" s="37" t="n">
        <f aca="false">IF(P32&lt;0.0001,0,P41/P32)</f>
        <v>1372.5727553874</v>
      </c>
      <c r="Q47" s="37" t="n">
        <f aca="false">IF(Q32&lt;0.0001,0,Q41/Q32)</f>
        <v>1376.93539003229</v>
      </c>
      <c r="R47" s="37" t="n">
        <f aca="false">IF(R32&lt;0.0001,0,R41/R32)</f>
        <v>1381.22562051116</v>
      </c>
      <c r="S47" s="37" t="n">
        <f aca="false">IF(S32&lt;0.0001,0,S41/S32)</f>
        <v>1385.45375520614</v>
      </c>
      <c r="T47" s="37" t="n">
        <f aca="false">IF(T32&lt;0.0001,0,T41/T32)</f>
        <v>1389.628273899</v>
      </c>
      <c r="U47" s="37" t="n">
        <f aca="false">IF(U32&lt;0.0001,0,U41/U32)</f>
        <v>1393.75621523346</v>
      </c>
      <c r="V47" s="37" t="n">
        <f aca="false">IF(V32&lt;0.0001,0,V41/V32)</f>
        <v>1397.84346966465</v>
      </c>
      <c r="W47" s="37" t="n">
        <f aca="false">IF(W32&lt;0.0001,0,W41/W32)</f>
        <v>1401.89500374177</v>
      </c>
      <c r="X47" s="37" t="n">
        <f aca="false">IF(X32&lt;0.0001,0,X41/X32)</f>
        <v>1405.91503379584</v>
      </c>
      <c r="Y47" s="37" t="n">
        <f aca="false">IF(Y32&lt;0.0001,0,Y41/Y32)</f>
        <v>1409.90716186581</v>
      </c>
      <c r="Z47" s="37" t="n">
        <f aca="false">IF(Z32&lt;0.0001,0,Z41/Z32)</f>
        <v>1413.87448310628</v>
      </c>
      <c r="AA47" s="37" t="n">
        <f aca="false">IF(AA32&lt;0.0001,0,AA41/AA32)</f>
        <v>1417.81967142159</v>
      </c>
      <c r="AB47" s="37" t="n">
        <f aca="false">IF(AB32&lt;0.0001,0,AB41/AB32)</f>
        <v>1419.0084942892</v>
      </c>
      <c r="AC47" s="37" t="n">
        <f aca="false">IF(AC32&lt;0.0001,0,AC41/AC32)</f>
        <v>1420.89071107781</v>
      </c>
      <c r="AD47" s="37" t="n">
        <f aca="false">IF(AD32&lt;0.0001,0,AD41/AD32)</f>
        <v>1423.27458263872</v>
      </c>
      <c r="AE47" s="37" t="n">
        <f aca="false">IF(AE32&lt;0.0001,0,AE41/AE32)</f>
        <v>1426.03089451713</v>
      </c>
      <c r="AF47" s="37" t="n">
        <f aca="false">IF(AF32&lt;0.0001,0,AF41/AF32)</f>
        <v>1429.06952886836</v>
      </c>
      <c r="AG47" s="37" t="n">
        <f aca="false">IF(AG32&lt;0.0001,0,AG41/AG32)</f>
        <v>1432.32582579906</v>
      </c>
      <c r="AH47" s="37" t="n">
        <f aca="false">IF(AH32&lt;0.0001,0,AH41/AH32)</f>
        <v>1435.75227349063</v>
      </c>
      <c r="AI47" s="37" t="n">
        <f aca="false">IF(AI32&lt;0.0001,0,AI41/AI32)</f>
        <v>1439.31324730091</v>
      </c>
      <c r="AJ47" s="37" t="n">
        <f aca="false">IF(AJ32&lt;0.0001,0,AJ41/AJ32)</f>
        <v>1442.98156846806</v>
      </c>
      <c r="AK47" s="37" t="n">
        <f aca="false">IF(AK32&lt;0.0001,0,AK41/AK32)</f>
        <v>1446.73618864003</v>
      </c>
      <c r="AL47" s="37" t="n">
        <f aca="false">IF(AL32&lt;0.0001,0,AL41/AL32)</f>
        <v>1450.5605931056</v>
      </c>
    </row>
    <row r="48" customFormat="false" ht="15" hidden="false" customHeight="false" outlineLevel="0" collapsed="false">
      <c r="A48" s="9" t="s">
        <v>592</v>
      </c>
      <c r="B48" s="2" t="s">
        <v>241</v>
      </c>
      <c r="C48" s="37" t="n">
        <f aca="false">IF(C33&lt;0.0001,0,C42/C33)</f>
        <v>0</v>
      </c>
      <c r="D48" s="37" t="n">
        <f aca="false">IF(D33&lt;0.0001,0,D42/D33)</f>
        <v>0</v>
      </c>
      <c r="E48" s="37" t="n">
        <f aca="false">IF(E33&lt;0.0001,0,E42/E33)</f>
        <v>0</v>
      </c>
      <c r="F48" s="37" t="n">
        <f aca="false">IF(F33&lt;0.0001,0,F42/F33)</f>
        <v>0</v>
      </c>
      <c r="G48" s="37" t="n">
        <f aca="false">IF(G33&lt;0.0001,0,G42/G33)</f>
        <v>0</v>
      </c>
      <c r="H48" s="37" t="n">
        <f aca="false">IF(H33&lt;0.0001,0,H42/H33)</f>
        <v>0</v>
      </c>
      <c r="I48" s="37" t="n">
        <f aca="false">IF(I33&lt;0.0001,0,I42/I33)</f>
        <v>0</v>
      </c>
      <c r="J48" s="37" t="n">
        <f aca="false">IF(J33&lt;0.0001,0,J42/J33)</f>
        <v>0</v>
      </c>
      <c r="K48" s="37" t="n">
        <f aca="false">IF(K33&lt;0.0001,0,K42/K33)</f>
        <v>0</v>
      </c>
      <c r="L48" s="37" t="n">
        <f aca="false">IF(L33&lt;0.0001,0,L42/L33)</f>
        <v>0</v>
      </c>
      <c r="M48" s="37" t="n">
        <f aca="false">IF(M33&lt;0.0001,0,M42/M33)</f>
        <v>0</v>
      </c>
      <c r="N48" s="37" t="n">
        <f aca="false">IF(N33&lt;0.0001,0,N42/N33)</f>
        <v>5000</v>
      </c>
      <c r="O48" s="37" t="n">
        <f aca="false">IF(O33&lt;0.0001,0,O42/O33)</f>
        <v>5023.73447946514</v>
      </c>
      <c r="P48" s="37" t="n">
        <f aca="false">IF(P33&lt;0.0001,0,P42/P33)</f>
        <v>5046.920804794</v>
      </c>
      <c r="Q48" s="37" t="n">
        <f aca="false">IF(Q33&lt;0.0001,0,Q42/Q33)</f>
        <v>5069.63595150602</v>
      </c>
      <c r="R48" s="37" t="n">
        <f aca="false">IF(R33&lt;0.0001,0,R42/R33)</f>
        <v>5091.94428675552</v>
      </c>
      <c r="S48" s="37" t="n">
        <f aca="false">IF(S33&lt;0.0001,0,S42/S33)</f>
        <v>5113.90005377599</v>
      </c>
      <c r="T48" s="37" t="n">
        <f aca="false">IF(T33&lt;0.0001,0,T42/T33)</f>
        <v>5135.54929115261</v>
      </c>
      <c r="U48" s="37" t="n">
        <f aca="false">IF(U33&lt;0.0001,0,U42/U33)</f>
        <v>5156.93133143963</v>
      </c>
      <c r="V48" s="37" t="n">
        <f aca="false">IF(V33&lt;0.0001,0,V42/V33)</f>
        <v>5178.07998289479</v>
      </c>
      <c r="W48" s="37" t="n">
        <f aca="false">IF(W33&lt;0.0001,0,W42/W33)</f>
        <v>5199.02446984217</v>
      </c>
      <c r="X48" s="37" t="n">
        <f aca="false">IF(X33&lt;0.0001,0,X42/X33)</f>
        <v>5219.79018728744</v>
      </c>
      <c r="Y48" s="37" t="n">
        <f aca="false">IF(Y33&lt;0.0001,0,Y42/Y33)</f>
        <v>5240.39931122652</v>
      </c>
      <c r="Z48" s="37" t="n">
        <f aca="false">IF(Z33&lt;0.0001,0,Z42/Z33)</f>
        <v>5260.87129584872</v>
      </c>
      <c r="AA48" s="37" t="n">
        <f aca="false">IF(AA33&lt;0.0001,0,AA42/AA33)</f>
        <v>5281.22328135648</v>
      </c>
      <c r="AB48" s="37" t="n">
        <f aca="false">IF(AB33&lt;0.0001,0,AB42/AB33)</f>
        <v>5294.00620384747</v>
      </c>
      <c r="AC48" s="37" t="n">
        <f aca="false">IF(AC33&lt;0.0001,0,AC42/AC33)</f>
        <v>5308.52166308841</v>
      </c>
      <c r="AD48" s="37" t="n">
        <f aca="false">IF(AD33&lt;0.0001,0,AD42/AD33)</f>
        <v>5324.31552035923</v>
      </c>
      <c r="AE48" s="37" t="n">
        <f aca="false">IF(AE33&lt;0.0001,0,AE42/AE33)</f>
        <v>5341.07512299655</v>
      </c>
      <c r="AF48" s="37" t="n">
        <f aca="false">IF(AF33&lt;0.0001,0,AF42/AF33)</f>
        <v>5358.57881512289</v>
      </c>
      <c r="AG48" s="37" t="n">
        <f aca="false">IF(AG33&lt;0.0001,0,AG42/AG33)</f>
        <v>5376.66557455092</v>
      </c>
      <c r="AH48" s="37" t="n">
        <f aca="false">IF(AH33&lt;0.0001,0,AH42/AH33)</f>
        <v>5395.21600468614</v>
      </c>
      <c r="AI48" s="37" t="n">
        <f aca="false">IF(AI33&lt;0.0001,0,AI42/AI33)</f>
        <v>5414.14002219119</v>
      </c>
      <c r="AJ48" s="37" t="n">
        <f aca="false">IF(AJ33&lt;0.0001,0,AJ42/AJ33)</f>
        <v>5433.36864460584</v>
      </c>
      <c r="AK48" s="37" t="n">
        <f aca="false">IF(AK33&lt;0.0001,0,AK42/AK33)</f>
        <v>5452.84837148074</v>
      </c>
      <c r="AL48" s="37" t="n">
        <f aca="false">IF(AL33&lt;0.0001,0,AL42/AL33)</f>
        <v>5472.53725332007</v>
      </c>
    </row>
    <row r="49" customFormat="false" ht="15" hidden="false" customHeight="false" outlineLevel="0" collapsed="false">
      <c r="A49" s="9" t="s">
        <v>593</v>
      </c>
      <c r="B49" s="2" t="s">
        <v>241</v>
      </c>
      <c r="C49" s="37" t="n">
        <f aca="false">IF(C36&lt;0.0001,0,C43/C36)</f>
        <v>0</v>
      </c>
      <c r="D49" s="37" t="n">
        <f aca="false">IF(D36&lt;0.0001,0,D43/D36)</f>
        <v>0</v>
      </c>
      <c r="E49" s="37" t="n">
        <f aca="false">IF(E36&lt;0.0001,0,E43/E36)</f>
        <v>0</v>
      </c>
      <c r="F49" s="37" t="n">
        <f aca="false">IF(F36&lt;0.0001,0,F43/F36)</f>
        <v>0</v>
      </c>
      <c r="G49" s="37" t="n">
        <f aca="false">IF(G36&lt;0.0001,0,G43/G36)</f>
        <v>0</v>
      </c>
      <c r="H49" s="37" t="n">
        <f aca="false">IF(H36&lt;0.0001,0,H43/H36)</f>
        <v>134.1</v>
      </c>
      <c r="I49" s="37" t="n">
        <f aca="false">IF(I36&lt;0.0001,0,I43/I36)</f>
        <v>159.090198570407</v>
      </c>
      <c r="J49" s="37" t="n">
        <f aca="false">IF(J36&lt;0.0001,0,J43/J36)</f>
        <v>168.292234839022</v>
      </c>
      <c r="K49" s="37" t="n">
        <f aca="false">IF(K36&lt;0.0001,0,K43/K36)</f>
        <v>201.498097634447</v>
      </c>
      <c r="L49" s="37" t="n">
        <f aca="false">IF(L36&lt;0.0001,0,L43/L36)</f>
        <v>221.583661217106</v>
      </c>
      <c r="M49" s="37" t="n">
        <f aca="false">IF(M36&lt;0.0001,0,M43/M36)</f>
        <v>235.446532545533</v>
      </c>
      <c r="N49" s="37" t="n">
        <f aca="false">IF(N36&lt;0.0001,0,N43/N36)</f>
        <v>266.608205317496</v>
      </c>
      <c r="O49" s="37" t="n">
        <f aca="false">IF(O36&lt;0.0001,0,O43/O36)</f>
        <v>290.132002669597</v>
      </c>
      <c r="P49" s="37" t="n">
        <f aca="false">IF(P36&lt;0.0001,0,P43/P36)</f>
        <v>308.725923640163</v>
      </c>
      <c r="Q49" s="37" t="n">
        <f aca="false">IF(Q36&lt;0.0001,0,Q43/Q36)</f>
        <v>323.953354880205</v>
      </c>
      <c r="R49" s="37" t="n">
        <f aca="false">IF(R36&lt;0.0001,0,R43/R36)</f>
        <v>336.780132261028</v>
      </c>
      <c r="S49" s="37" t="n">
        <f aca="false">IF(S36&lt;0.0001,0,S43/S36)</f>
        <v>347.835193204964</v>
      </c>
      <c r="T49" s="37" t="n">
        <f aca="false">IF(T36&lt;0.0001,0,T43/T36)</f>
        <v>357.545725128432</v>
      </c>
      <c r="U49" s="37" t="n">
        <f aca="false">IF(U36&lt;0.0001,0,U43/U36)</f>
        <v>366.212078078323</v>
      </c>
      <c r="V49" s="37" t="n">
        <f aca="false">IF(V36&lt;0.0001,0,V43/V36)</f>
        <v>374.05159972221</v>
      </c>
      <c r="W49" s="37" t="n">
        <f aca="false">IF(W36&lt;0.0001,0,W43/W36)</f>
        <v>381.225462728172</v>
      </c>
      <c r="X49" s="37" t="n">
        <f aca="false">IF(X36&lt;0.0001,0,X43/X36)</f>
        <v>387.855716412081</v>
      </c>
      <c r="Y49" s="37" t="n">
        <f aca="false">IF(Y36&lt;0.0001,0,Y43/Y36)</f>
        <v>394.036481173006</v>
      </c>
      <c r="Z49" s="37" t="n">
        <f aca="false">IF(Z36&lt;0.0001,0,Z43/Z36)</f>
        <v>399.841506235515</v>
      </c>
      <c r="AA49" s="37" t="n">
        <f aca="false">IF(AA36&lt;0.0001,0,AA43/AA36)</f>
        <v>405.329398483274</v>
      </c>
      <c r="AB49" s="37" t="n">
        <f aca="false">IF(AB36&lt;0.0001,0,AB43/AB36)</f>
        <v>416.044302564916</v>
      </c>
      <c r="AC49" s="37" t="n">
        <f aca="false">IF(AC36&lt;0.0001,0,AC43/AC36)</f>
        <v>425.725482783119</v>
      </c>
      <c r="AD49" s="37" t="n">
        <f aca="false">IF(AD36&lt;0.0001,0,AD43/AD36)</f>
        <v>434.544915091696</v>
      </c>
      <c r="AE49" s="37" t="n">
        <f aca="false">IF(AE36&lt;0.0001,0,AE43/AE36)</f>
        <v>442.639987119131</v>
      </c>
      <c r="AF49" s="37" t="n">
        <f aca="false">IF(AF36&lt;0.0001,0,AF43/AF36)</f>
        <v>450.121629115952</v>
      </c>
      <c r="AG49" s="37" t="n">
        <f aca="false">IF(AG36&lt;0.0001,0,AG43/AG36)</f>
        <v>457.080273165151</v>
      </c>
      <c r="AH49" s="37" t="n">
        <f aca="false">IF(AH36&lt;0.0001,0,AH43/AH36)</f>
        <v>463.590285708359</v>
      </c>
      <c r="AI49" s="37" t="n">
        <f aca="false">IF(AI36&lt;0.0001,0,AI43/AI36)</f>
        <v>469.713308871682</v>
      </c>
      <c r="AJ49" s="37" t="n">
        <f aca="false">IF(AJ36&lt;0.0001,0,AJ43/AJ36)</f>
        <v>475.50081002268</v>
      </c>
      <c r="AK49" s="37" t="n">
        <f aca="false">IF(AK36&lt;0.0001,0,AK43/AK36)</f>
        <v>480.996048892748</v>
      </c>
      <c r="AL49" s="37" t="n">
        <f aca="false">IF(AL36&lt;0.0001,0,AL43/AL36)</f>
        <v>486.235610847094</v>
      </c>
    </row>
    <row r="50" customFormat="false" ht="15" hidden="false" customHeight="false" outlineLevel="0" collapsed="false">
      <c r="A50" s="9" t="s">
        <v>594</v>
      </c>
      <c r="B50" s="2" t="s">
        <v>105</v>
      </c>
      <c r="C50" s="37" t="n">
        <f aca="false">C30*Pricing!$B$6*Assumptions!$D$154*Assumptions!$D$79</f>
        <v>0</v>
      </c>
      <c r="D50" s="37" t="n">
        <f aca="false">D30*Pricing!$B$6*Assumptions!$D$154*Assumptions!$D$79</f>
        <v>0</v>
      </c>
      <c r="E50" s="37" t="n">
        <f aca="false">E30*Pricing!$B$6*Assumptions!$D$154*Assumptions!$D$79</f>
        <v>0</v>
      </c>
      <c r="F50" s="37" t="n">
        <f aca="false">F30*Pricing!$B$6*Assumptions!$D$154*Assumptions!$D$79</f>
        <v>0</v>
      </c>
      <c r="G50" s="37" t="n">
        <f aca="false">G30*Pricing!$B$6*Assumptions!$D$154*Assumptions!$D$79</f>
        <v>0</v>
      </c>
      <c r="H50" s="37" t="n">
        <f aca="false">H30*Pricing!$B$6*Assumptions!$D$154*Assumptions!$D$79</f>
        <v>15.6</v>
      </c>
      <c r="I50" s="37" t="n">
        <f aca="false">I30*Pricing!$B$6*Assumptions!$D$154*Assumptions!$D$79</f>
        <v>33.254</v>
      </c>
      <c r="J50" s="37" t="n">
        <f aca="false">J30*Pricing!$B$6*Assumptions!$D$154*Assumptions!$D$79</f>
        <v>52.89011</v>
      </c>
      <c r="K50" s="37" t="n">
        <f aca="false">K30*Pricing!$B$6*Assumptions!$D$154*Assumptions!$D$79</f>
        <v>74.43895615</v>
      </c>
      <c r="L50" s="37" t="n">
        <f aca="false">L30*Pricing!$B$6*Assumptions!$D$154*Assumptions!$D$79</f>
        <v>97.83359268475</v>
      </c>
      <c r="M50" s="37" t="n">
        <f aca="false">M30*Pricing!$B$6*Assumptions!$D$154*Assumptions!$D$79</f>
        <v>123.009416940784</v>
      </c>
      <c r="N50" s="37" t="n">
        <f aca="false">N30*Pricing!$B$6*Assumptions!$D$154*Assumptions!$D$79</f>
        <v>149.904087347856</v>
      </c>
      <c r="O50" s="37" t="n">
        <f aca="false">O30*Pricing!$B$6*Assumptions!$D$154*Assumptions!$D$79</f>
        <v>178.457444290681</v>
      </c>
      <c r="P50" s="37" t="n">
        <f aca="false">P30*Pricing!$B$6*Assumptions!$D$154*Assumptions!$D$79</f>
        <v>208.611433740508</v>
      </c>
      <c r="Q50" s="37" t="n">
        <f aca="false">Q30*Pricing!$B$6*Assumptions!$D$154*Assumptions!$D$79</f>
        <v>240.31003355959</v>
      </c>
      <c r="R50" s="37" t="n">
        <f aca="false">R30*Pricing!$B$6*Assumptions!$D$154*Assumptions!$D$79</f>
        <v>273.499182385004</v>
      </c>
      <c r="S50" s="37" t="n">
        <f aca="false">S30*Pricing!$B$6*Assumptions!$D$154*Assumptions!$D$79</f>
        <v>308.126711001529</v>
      </c>
      <c r="T50" s="37" t="n">
        <f aca="false">T30*Pricing!$B$6*Assumptions!$D$154*Assumptions!$D$79</f>
        <v>344.142276116476</v>
      </c>
      <c r="U50" s="37" t="n">
        <f aca="false">U30*Pricing!$B$6*Assumptions!$D$154*Assumptions!$D$79</f>
        <v>381.497296452399</v>
      </c>
      <c r="V50" s="37" t="n">
        <f aca="false">V30*Pricing!$B$6*Assumptions!$D$154*Assumptions!$D$79</f>
        <v>420.144891076565</v>
      </c>
      <c r="W50" s="37" t="n">
        <f aca="false">W30*Pricing!$B$6*Assumptions!$D$154*Assumptions!$D$79</f>
        <v>460.039819888885</v>
      </c>
      <c r="X50" s="37" t="n">
        <f aca="false">X30*Pricing!$B$6*Assumptions!$D$154*Assumptions!$D$79</f>
        <v>501.138426192774</v>
      </c>
      <c r="Y50" s="37" t="n">
        <f aca="false">Y30*Pricing!$B$6*Assumptions!$D$154*Assumptions!$D$79</f>
        <v>543.398581276027</v>
      </c>
      <c r="Z50" s="37" t="n">
        <f aca="false">Z30*Pricing!$B$6*Assumptions!$D$154*Assumptions!$D$79</f>
        <v>586.779630931366</v>
      </c>
      <c r="AA50" s="37" t="n">
        <f aca="false">AA30*Pricing!$B$6*Assumptions!$D$154*Assumptions!$D$79</f>
        <v>631.242343848768</v>
      </c>
      <c r="AB50" s="37" t="n">
        <f aca="false">AB30*Pricing!$B$6*Assumptions!$D$154*Assumptions!$D$79</f>
        <v>676.748861814062</v>
      </c>
      <c r="AC50" s="37" t="n">
        <f aca="false">AC30*Pricing!$B$6*Assumptions!$D$154*Assumptions!$D$79</f>
        <v>723.262651650569</v>
      </c>
      <c r="AD50" s="37" t="n">
        <f aca="false">AD30*Pricing!$B$6*Assumptions!$D$154*Assumptions!$D$79</f>
        <v>770.748458842799</v>
      </c>
      <c r="AE50" s="37" t="n">
        <f aca="false">AE30*Pricing!$B$6*Assumptions!$D$154*Assumptions!$D$79</f>
        <v>819.172262783301</v>
      </c>
      <c r="AF50" s="37" t="n">
        <f aca="false">AF30*Pricing!$B$6*Assumptions!$D$154*Assumptions!$D$79</f>
        <v>868.501233585886</v>
      </c>
      <c r="AG50" s="37" t="n">
        <f aca="false">AG30*Pricing!$B$6*Assumptions!$D$154*Assumptions!$D$79</f>
        <v>918.70369041038</v>
      </c>
      <c r="AH50" s="37" t="n">
        <f aca="false">AH30*Pricing!$B$6*Assumptions!$D$154*Assumptions!$D$79</f>
        <v>969.749061246017</v>
      </c>
      <c r="AI50" s="37" t="n">
        <f aca="false">AI30*Pricing!$B$6*Assumptions!$D$154*Assumptions!$D$79</f>
        <v>1021.60784410241</v>
      </c>
      <c r="AJ50" s="37" t="n">
        <f aca="false">AJ30*Pricing!$B$6*Assumptions!$D$154*Assumptions!$D$79</f>
        <v>1074.25156955882</v>
      </c>
      <c r="AK50" s="37" t="n">
        <f aca="false">AK30*Pricing!$B$6*Assumptions!$D$154*Assumptions!$D$79</f>
        <v>1127.65276462426</v>
      </c>
      <c r="AL50" s="37" t="n">
        <f aca="false">AL30*Pricing!$B$6*Assumptions!$D$154*Assumptions!$D$79</f>
        <v>1181.78491786241</v>
      </c>
    </row>
    <row r="51" customFormat="false" ht="15" hidden="false" customHeight="false" outlineLevel="0" collapsed="false">
      <c r="A51" s="9" t="s">
        <v>595</v>
      </c>
      <c r="B51" s="2" t="s">
        <v>105</v>
      </c>
      <c r="C51" s="37" t="n">
        <f aca="false">C31*Pricing!$C$6*Assumptions!$D$154*Assumptions!$D$80</f>
        <v>0</v>
      </c>
      <c r="D51" s="37" t="n">
        <f aca="false">D31*Pricing!$C$6*Assumptions!$D$154*Assumptions!$D$80</f>
        <v>0</v>
      </c>
      <c r="E51" s="37" t="n">
        <f aca="false">E31*Pricing!$C$6*Assumptions!$D$154*Assumptions!$D$80</f>
        <v>0</v>
      </c>
      <c r="F51" s="37" t="n">
        <f aca="false">F31*Pricing!$C$6*Assumptions!$D$154*Assumptions!$D$80</f>
        <v>0</v>
      </c>
      <c r="G51" s="37" t="n">
        <f aca="false">G31*Pricing!$C$6*Assumptions!$D$154*Assumptions!$D$80</f>
        <v>0</v>
      </c>
      <c r="H51" s="37" t="n">
        <f aca="false">H31*Pricing!$C$6*Assumptions!$D$154*Assumptions!$D$80</f>
        <v>0</v>
      </c>
      <c r="I51" s="37" t="n">
        <f aca="false">I31*Pricing!$C$6*Assumptions!$D$154*Assumptions!$D$80</f>
        <v>10.71</v>
      </c>
      <c r="J51" s="37" t="n">
        <f aca="false">J31*Pricing!$C$6*Assumptions!$D$154*Assumptions!$D$80</f>
        <v>24.00825</v>
      </c>
      <c r="K51" s="37" t="n">
        <f aca="false">K31*Pricing!$C$6*Assumptions!$D$154*Assumptions!$D$80</f>
        <v>39.83004375</v>
      </c>
      <c r="L51" s="37" t="n">
        <f aca="false">L31*Pricing!$C$6*Assumptions!$D$154*Assumptions!$D$80</f>
        <v>58.11229265625</v>
      </c>
      <c r="M51" s="37" t="n">
        <f aca="false">M31*Pricing!$C$6*Assumptions!$D$154*Assumptions!$D$80</f>
        <v>78.7934853398438</v>
      </c>
      <c r="N51" s="37" t="n">
        <f aca="false">N31*Pricing!$C$6*Assumptions!$D$154*Assumptions!$D$80</f>
        <v>101.813648206348</v>
      </c>
      <c r="O51" s="37" t="n">
        <f aca="false">O31*Pricing!$C$6*Assumptions!$D$154*Assumptions!$D$80</f>
        <v>127.114307001189</v>
      </c>
      <c r="P51" s="37" t="n">
        <f aca="false">P31*Pricing!$C$6*Assumptions!$D$154*Assumptions!$D$80</f>
        <v>154.638449326159</v>
      </c>
      <c r="Q51" s="37" t="n">
        <f aca="false">Q31*Pricing!$C$6*Assumptions!$D$154*Assumptions!$D$80</f>
        <v>184.330488093005</v>
      </c>
      <c r="R51" s="37" t="n">
        <f aca="false">R31*Pricing!$C$6*Assumptions!$D$154*Assumptions!$D$80</f>
        <v>216.13622589068</v>
      </c>
      <c r="S51" s="37" t="n">
        <f aca="false">S31*Pricing!$C$6*Assumptions!$D$154*Assumptions!$D$80</f>
        <v>250.002820243413</v>
      </c>
      <c r="T51" s="37" t="n">
        <f aca="false">T31*Pricing!$C$6*Assumptions!$D$154*Assumptions!$D$80</f>
        <v>285.878749737328</v>
      </c>
      <c r="U51" s="37" t="n">
        <f aca="false">U31*Pricing!$C$6*Assumptions!$D$154*Assumptions!$D$80</f>
        <v>323.713780993895</v>
      </c>
      <c r="V51" s="37" t="n">
        <f aca="false">V31*Pricing!$C$6*Assumptions!$D$154*Assumptions!$D$80</f>
        <v>363.458936469047</v>
      </c>
      <c r="W51" s="37" t="n">
        <f aca="false">W31*Pricing!$C$6*Assumptions!$D$154*Assumptions!$D$80</f>
        <v>405.066463057321</v>
      </c>
      <c r="X51" s="37" t="n">
        <f aca="false">X31*Pricing!$C$6*Assumptions!$D$154*Assumptions!$D$80</f>
        <v>448.489801480888</v>
      </c>
      <c r="Y51" s="37" t="n">
        <f aca="false">Y31*Pricing!$C$6*Assumptions!$D$154*Assumptions!$D$80</f>
        <v>493.683556443866</v>
      </c>
      <c r="Z51" s="37" t="n">
        <f aca="false">Z31*Pricing!$C$6*Assumptions!$D$154*Assumptions!$D$80</f>
        <v>540.603467532769</v>
      </c>
      <c r="AA51" s="37" t="n">
        <f aca="false">AA31*Pricing!$C$6*Assumptions!$D$154*Assumptions!$D$80</f>
        <v>589.20638084445</v>
      </c>
      <c r="AB51" s="37" t="n">
        <f aca="false">AB31*Pricing!$C$6*Assumptions!$D$154*Assumptions!$D$80</f>
        <v>639.450221323339</v>
      </c>
      <c r="AC51" s="37" t="n">
        <f aca="false">AC31*Pricing!$C$6*Assumptions!$D$154*Assumptions!$D$80</f>
        <v>691.293965790255</v>
      </c>
      <c r="AD51" s="37" t="n">
        <f aca="false">AD31*Pricing!$C$6*Assumptions!$D$154*Assumptions!$D$80</f>
        <v>744.697616645499</v>
      </c>
      <c r="AE51" s="37" t="n">
        <f aca="false">AE31*Pricing!$C$6*Assumptions!$D$154*Assumptions!$D$80</f>
        <v>799.622176229361</v>
      </c>
      <c r="AF51" s="37" t="n">
        <f aca="false">AF31*Pricing!$C$6*Assumptions!$D$154*Assumptions!$D$80</f>
        <v>856.029621823627</v>
      </c>
      <c r="AG51" s="37" t="n">
        <f aca="false">AG31*Pricing!$C$6*Assumptions!$D$154*Assumptions!$D$80</f>
        <v>913.882881278037</v>
      </c>
      <c r="AH51" s="37" t="n">
        <f aca="false">AH31*Pricing!$C$6*Assumptions!$D$154*Assumptions!$D$80</f>
        <v>973.145809246086</v>
      </c>
      <c r="AI51" s="37" t="n">
        <f aca="false">AI31*Pricing!$C$6*Assumptions!$D$154*Assumptions!$D$80</f>
        <v>1033.78316401493</v>
      </c>
      <c r="AJ51" s="37" t="n">
        <f aca="false">AJ31*Pricing!$C$6*Assumptions!$D$154*Assumptions!$D$80</f>
        <v>1095.76058491456</v>
      </c>
      <c r="AK51" s="37" t="n">
        <f aca="false">AK31*Pricing!$C$6*Assumptions!$D$154*Assumptions!$D$80</f>
        <v>1159.0445702917</v>
      </c>
      <c r="AL51" s="37" t="n">
        <f aca="false">AL31*Pricing!$C$6*Assumptions!$D$154*Assumptions!$D$80</f>
        <v>1223.6024560344</v>
      </c>
    </row>
    <row r="52" customFormat="false" ht="15" hidden="false" customHeight="false" outlineLevel="0" collapsed="false">
      <c r="A52" s="9" t="s">
        <v>596</v>
      </c>
      <c r="B52" s="2" t="s">
        <v>105</v>
      </c>
      <c r="C52" s="37" t="n">
        <f aca="false">C32*Pricing!$D$6*Assumptions!$D$154*Assumptions!$D$81</f>
        <v>0</v>
      </c>
      <c r="D52" s="37" t="n">
        <f aca="false">D32*Pricing!$D$6*Assumptions!$D$154*Assumptions!$D$81</f>
        <v>0</v>
      </c>
      <c r="E52" s="37" t="n">
        <f aca="false">E32*Pricing!$D$6*Assumptions!$D$154*Assumptions!$D$81</f>
        <v>0</v>
      </c>
      <c r="F52" s="37" t="n">
        <f aca="false">F32*Pricing!$D$6*Assumptions!$D$154*Assumptions!$D$81</f>
        <v>0</v>
      </c>
      <c r="G52" s="37" t="n">
        <f aca="false">G32*Pricing!$D$6*Assumptions!$D$154*Assumptions!$D$81</f>
        <v>0</v>
      </c>
      <c r="H52" s="37" t="n">
        <f aca="false">H32*Pricing!$D$6*Assumptions!$D$154*Assumptions!$D$81</f>
        <v>0</v>
      </c>
      <c r="I52" s="37" t="n">
        <f aca="false">I32*Pricing!$D$6*Assumptions!$D$154*Assumptions!$D$81</f>
        <v>0</v>
      </c>
      <c r="J52" s="37" t="n">
        <f aca="false">J32*Pricing!$D$6*Assumptions!$D$154*Assumptions!$D$81</f>
        <v>0</v>
      </c>
      <c r="K52" s="37" t="n">
        <f aca="false">K32*Pricing!$D$6*Assumptions!$D$154*Assumptions!$D$81</f>
        <v>13.32</v>
      </c>
      <c r="L52" s="37" t="n">
        <f aca="false">L32*Pricing!$D$6*Assumptions!$D$154*Assumptions!$D$81</f>
        <v>28.5048</v>
      </c>
      <c r="M52" s="37" t="n">
        <f aca="false">M32*Pricing!$D$6*Assumptions!$D$154*Assumptions!$D$81</f>
        <v>45.535752</v>
      </c>
      <c r="N52" s="37" t="n">
        <f aca="false">N32*Pricing!$D$6*Assumptions!$D$154*Assumptions!$D$81</f>
        <v>64.39439448</v>
      </c>
      <c r="O52" s="37" t="n">
        <f aca="false">O32*Pricing!$D$6*Assumptions!$D$154*Assumptions!$D$81</f>
        <v>85.0624505352</v>
      </c>
      <c r="P52" s="37" t="n">
        <f aca="false">P32*Pricing!$D$6*Assumptions!$D$154*Assumptions!$D$81</f>
        <v>107.521826029848</v>
      </c>
      <c r="Q52" s="37" t="n">
        <f aca="false">Q32*Pricing!$D$6*Assumptions!$D$154*Assumptions!$D$81</f>
        <v>131.75460776955</v>
      </c>
      <c r="R52" s="37" t="n">
        <f aca="false">R32*Pricing!$D$6*Assumptions!$D$154*Assumptions!$D$81</f>
        <v>157.743061691854</v>
      </c>
      <c r="S52" s="37" t="n">
        <f aca="false">S32*Pricing!$D$6*Assumptions!$D$154*Assumptions!$D$81</f>
        <v>185.469631074935</v>
      </c>
      <c r="T52" s="37" t="n">
        <f aca="false">T32*Pricing!$D$6*Assumptions!$D$154*Assumptions!$D$81</f>
        <v>214.916934764186</v>
      </c>
      <c r="U52" s="37" t="n">
        <f aca="false">U32*Pricing!$D$6*Assumptions!$D$154*Assumptions!$D$81</f>
        <v>246.067765416544</v>
      </c>
      <c r="V52" s="37" t="n">
        <f aca="false">V32*Pricing!$D$6*Assumptions!$D$154*Assumptions!$D$81</f>
        <v>278.905087762379</v>
      </c>
      <c r="W52" s="37" t="n">
        <f aca="false">W32*Pricing!$D$6*Assumptions!$D$154*Assumptions!$D$81</f>
        <v>313.412036884755</v>
      </c>
      <c r="X52" s="37" t="n">
        <f aca="false">X32*Pricing!$D$6*Assumptions!$D$154*Assumptions!$D$81</f>
        <v>349.571916515907</v>
      </c>
      <c r="Y52" s="37" t="n">
        <f aca="false">Y32*Pricing!$D$6*Assumptions!$D$154*Assumptions!$D$81</f>
        <v>387.368197350748</v>
      </c>
      <c r="Z52" s="37" t="n">
        <f aca="false">Z32*Pricing!$D$6*Assumptions!$D$154*Assumptions!$D$81</f>
        <v>426.784515377241</v>
      </c>
      <c r="AA52" s="37" t="n">
        <f aca="false">AA32*Pricing!$D$6*Assumptions!$D$154*Assumptions!$D$81</f>
        <v>467.804670223468</v>
      </c>
      <c r="AB52" s="37" t="n">
        <f aca="false">AB32*Pricing!$D$6*Assumptions!$D$154*Assumptions!$D$81</f>
        <v>530.392623521234</v>
      </c>
      <c r="AC52" s="37" t="n">
        <f aca="false">AC32*Pricing!$D$6*Assumptions!$D$154*Assumptions!$D$81</f>
        <v>594.352697286022</v>
      </c>
      <c r="AD52" s="37" t="n">
        <f aca="false">AD32*Pricing!$D$6*Assumptions!$D$154*Assumptions!$D$81</f>
        <v>659.671170313161</v>
      </c>
      <c r="AE52" s="37" t="n">
        <f aca="false">AE32*Pricing!$D$6*Assumptions!$D$154*Assumptions!$D$81</f>
        <v>726.33445861003</v>
      </c>
      <c r="AF52" s="37" t="n">
        <f aca="false">AF32*Pricing!$D$6*Assumptions!$D$154*Assumptions!$D$81</f>
        <v>794.329114023929</v>
      </c>
      <c r="AG52" s="37" t="n">
        <f aca="false">AG32*Pricing!$D$6*Assumptions!$D$154*Assumptions!$D$81</f>
        <v>863.64182288369</v>
      </c>
      <c r="AH52" s="37" t="n">
        <f aca="false">AH32*Pricing!$D$6*Assumptions!$D$154*Assumptions!$D$81</f>
        <v>934.259404654853</v>
      </c>
      <c r="AI52" s="37" t="n">
        <f aca="false">AI32*Pricing!$D$6*Assumptions!$D$154*Assumptions!$D$81</f>
        <v>1006.1688106083</v>
      </c>
      <c r="AJ52" s="37" t="n">
        <f aca="false">AJ32*Pricing!$D$6*Assumptions!$D$154*Assumptions!$D$81</f>
        <v>1079.35712250222</v>
      </c>
      <c r="AK52" s="37" t="n">
        <f aca="false">AK32*Pricing!$D$6*Assumptions!$D$154*Assumptions!$D$81</f>
        <v>1153.8115512772</v>
      </c>
      <c r="AL52" s="37" t="n">
        <f aca="false">AL32*Pricing!$D$6*Assumptions!$D$154*Assumptions!$D$81</f>
        <v>1229.51943576443</v>
      </c>
    </row>
    <row r="53" customFormat="false" ht="15" hidden="false" customHeight="false" outlineLevel="0" collapsed="false">
      <c r="A53" s="9" t="s">
        <v>597</v>
      </c>
      <c r="B53" s="2" t="s">
        <v>105</v>
      </c>
      <c r="C53" s="37" t="n">
        <f aca="false">C33*Pricing!$E$6*Assumptions!$D$154*Assumptions!$D$82</f>
        <v>0</v>
      </c>
      <c r="D53" s="37" t="n">
        <f aca="false">D33*Pricing!$E$6*Assumptions!$D$154*Assumptions!$D$82</f>
        <v>0</v>
      </c>
      <c r="E53" s="37" t="n">
        <f aca="false">E33*Pricing!$E$6*Assumptions!$D$154*Assumptions!$D$82</f>
        <v>0</v>
      </c>
      <c r="F53" s="37" t="n">
        <f aca="false">F33*Pricing!$E$6*Assumptions!$D$154*Assumptions!$D$82</f>
        <v>0</v>
      </c>
      <c r="G53" s="37" t="n">
        <f aca="false">G33*Pricing!$E$6*Assumptions!$D$154*Assumptions!$D$82</f>
        <v>0</v>
      </c>
      <c r="H53" s="37" t="n">
        <f aca="false">H33*Pricing!$E$6*Assumptions!$D$154*Assumptions!$D$82</f>
        <v>0</v>
      </c>
      <c r="I53" s="37" t="n">
        <f aca="false">I33*Pricing!$E$6*Assumptions!$D$154*Assumptions!$D$82</f>
        <v>0</v>
      </c>
      <c r="J53" s="37" t="n">
        <f aca="false">J33*Pricing!$E$6*Assumptions!$D$154*Assumptions!$D$82</f>
        <v>0</v>
      </c>
      <c r="K53" s="37" t="n">
        <f aca="false">K33*Pricing!$E$6*Assumptions!$D$154*Assumptions!$D$82</f>
        <v>0</v>
      </c>
      <c r="L53" s="37" t="n">
        <f aca="false">L33*Pricing!$E$6*Assumptions!$D$154*Assumptions!$D$82</f>
        <v>0</v>
      </c>
      <c r="M53" s="37" t="n">
        <f aca="false">M33*Pricing!$E$6*Assumptions!$D$154*Assumptions!$D$82</f>
        <v>0</v>
      </c>
      <c r="N53" s="37" t="n">
        <f aca="false">N33*Pricing!$E$6*Assumptions!$D$154*Assumptions!$D$82</f>
        <v>18.74</v>
      </c>
      <c r="O53" s="37" t="n">
        <f aca="false">O33*Pricing!$E$6*Assumptions!$D$154*Assumptions!$D$82</f>
        <v>39.24156</v>
      </c>
      <c r="P53" s="37" t="n">
        <f aca="false">P33*Pricing!$E$6*Assumptions!$D$154*Assumptions!$D$82</f>
        <v>61.49411064</v>
      </c>
      <c r="Q53" s="37" t="n">
        <f aca="false">Q33*Pricing!$E$6*Assumptions!$D$154*Assumptions!$D$82</f>
        <v>85.48714597616</v>
      </c>
      <c r="R53" s="37" t="n">
        <f aca="false">R33*Pricing!$E$6*Assumptions!$D$154*Assumptions!$D$82</f>
        <v>111.210223100303</v>
      </c>
      <c r="S53" s="37" t="n">
        <f aca="false">S33*Pricing!$E$6*Assumptions!$D$154*Assumptions!$D$82</f>
        <v>138.652961761701</v>
      </c>
      <c r="T53" s="37" t="n">
        <f aca="false">T33*Pricing!$E$6*Assumptions!$D$154*Assumptions!$D$82</f>
        <v>167.805043991131</v>
      </c>
      <c r="U53" s="37" t="n">
        <f aca="false">U33*Pricing!$E$6*Assumptions!$D$154*Assumptions!$D$82</f>
        <v>198.656213727184</v>
      </c>
      <c r="V53" s="37" t="n">
        <f aca="false">V33*Pricing!$E$6*Assumptions!$D$154*Assumptions!$D$82</f>
        <v>231.196276444821</v>
      </c>
      <c r="W53" s="37" t="n">
        <f aca="false">W33*Pricing!$E$6*Assumptions!$D$154*Assumptions!$D$82</f>
        <v>265.415098786152</v>
      </c>
      <c r="X53" s="37" t="n">
        <f aca="false">X33*Pricing!$E$6*Assumptions!$D$154*Assumptions!$D$82</f>
        <v>301.302608193435</v>
      </c>
      <c r="Y53" s="37" t="n">
        <f aca="false">Y33*Pricing!$E$6*Assumptions!$D$154*Assumptions!$D$82</f>
        <v>338.848792544275</v>
      </c>
      <c r="Z53" s="37" t="n">
        <f aca="false">Z33*Pricing!$E$6*Assumptions!$D$154*Assumptions!$D$82</f>
        <v>378.043699789009</v>
      </c>
      <c r="AA53" s="37" t="n">
        <f aca="false">AA33*Pricing!$E$6*Assumptions!$D$154*Assumptions!$D$82</f>
        <v>418.877437590275</v>
      </c>
      <c r="AB53" s="37" t="n">
        <f aca="false">AB33*Pricing!$E$6*Assumptions!$D$154*Assumptions!$D$82</f>
        <v>473.052672964733</v>
      </c>
      <c r="AC53" s="37" t="n">
        <f aca="false">AC33*Pricing!$E$6*Assumptions!$D$154*Assumptions!$D$82</f>
        <v>528.776856926945</v>
      </c>
      <c r="AD53" s="37" t="n">
        <f aca="false">AD33*Pricing!$E$6*Assumptions!$D$154*Assumptions!$D$82</f>
        <v>586.040695785383</v>
      </c>
      <c r="AE53" s="37" t="n">
        <f aca="false">AE33*Pricing!$E$6*Assumptions!$D$154*Assumptions!$D$82</f>
        <v>644.834951610671</v>
      </c>
      <c r="AF53" s="37" t="n">
        <f aca="false">AF33*Pricing!$E$6*Assumptions!$D$154*Assumptions!$D$82</f>
        <v>705.150441901007</v>
      </c>
      <c r="AG53" s="37" t="n">
        <f aca="false">AG33*Pricing!$E$6*Assumptions!$D$154*Assumptions!$D$82</f>
        <v>766.978039249601</v>
      </c>
      <c r="AH53" s="37" t="n">
        <f aca="false">AH33*Pricing!$E$6*Assumptions!$D$154*Assumptions!$D$82</f>
        <v>830.308671014103</v>
      </c>
      <c r="AI53" s="37" t="n">
        <f aca="false">AI33*Pricing!$E$6*Assumptions!$D$154*Assumptions!$D$82</f>
        <v>895.133318988019</v>
      </c>
      <c r="AJ53" s="37" t="n">
        <f aca="false">AJ33*Pricing!$E$6*Assumptions!$D$154*Assumptions!$D$82</f>
        <v>961.44301907409</v>
      </c>
      <c r="AK53" s="37" t="n">
        <f aca="false">AK33*Pricing!$E$6*Assumptions!$D$154*Assumptions!$D$82</f>
        <v>1029.22886095965</v>
      </c>
      <c r="AL53" s="37" t="n">
        <f aca="false">AL33*Pricing!$E$6*Assumptions!$D$154*Assumptions!$D$82</f>
        <v>1098.48198779389</v>
      </c>
    </row>
    <row r="54" customFormat="false" ht="15" hidden="false" customHeight="false" outlineLevel="0" collapsed="false">
      <c r="A54" s="9" t="s">
        <v>598</v>
      </c>
      <c r="B54" s="2" t="s">
        <v>105</v>
      </c>
      <c r="C54" s="37" t="n">
        <f aca="false">C22*Assumptions!$D$83*Assumptions!$D$155</f>
        <v>0</v>
      </c>
      <c r="D54" s="37" t="n">
        <f aca="false">D22*Assumptions!$D$83*Assumptions!$D$155</f>
        <v>0</v>
      </c>
      <c r="E54" s="37" t="n">
        <f aca="false">E22*Assumptions!$D$83*Assumptions!$D$155</f>
        <v>0</v>
      </c>
      <c r="F54" s="37" t="n">
        <f aca="false">F22*Assumptions!$D$83*Assumptions!$D$155</f>
        <v>0</v>
      </c>
      <c r="G54" s="37" t="n">
        <f aca="false">G22*Assumptions!$D$83*Assumptions!$D$155</f>
        <v>0</v>
      </c>
      <c r="H54" s="37" t="n">
        <f aca="false">H22*Assumptions!$D$83*Assumptions!$D$155</f>
        <v>0</v>
      </c>
      <c r="I54" s="37" t="n">
        <f aca="false">I22*Assumptions!$D$83*Assumptions!$D$155</f>
        <v>0</v>
      </c>
      <c r="J54" s="37" t="n">
        <f aca="false">J22*Assumptions!$D$83*Assumptions!$D$155</f>
        <v>0</v>
      </c>
      <c r="K54" s="37" t="n">
        <f aca="false">K22*Assumptions!$D$83*Assumptions!$D$155</f>
        <v>0</v>
      </c>
      <c r="L54" s="37" t="n">
        <f aca="false">L22*Assumptions!$D$83*Assumptions!$D$155</f>
        <v>0</v>
      </c>
      <c r="M54" s="37" t="n">
        <f aca="false">M22*Assumptions!$D$83*Assumptions!$D$155</f>
        <v>0</v>
      </c>
      <c r="N54" s="37" t="n">
        <f aca="false">N22*Assumptions!$D$83*Assumptions!$D$155</f>
        <v>0</v>
      </c>
      <c r="O54" s="37" t="n">
        <f aca="false">O22*Assumptions!$D$83*Assumptions!$D$155</f>
        <v>0</v>
      </c>
      <c r="P54" s="37" t="n">
        <f aca="false">P22*Assumptions!$D$83*Assumptions!$D$155</f>
        <v>0</v>
      </c>
      <c r="Q54" s="37" t="n">
        <f aca="false">Q22*Assumptions!$D$83*Assumptions!$D$155</f>
        <v>0</v>
      </c>
      <c r="R54" s="37" t="n">
        <f aca="false">R22*Assumptions!$D$83*Assumptions!$D$155</f>
        <v>0</v>
      </c>
      <c r="S54" s="37" t="n">
        <f aca="false">S22*Assumptions!$D$83*Assumptions!$D$155</f>
        <v>0</v>
      </c>
      <c r="T54" s="37" t="n">
        <f aca="false">T22*Assumptions!$D$83*Assumptions!$D$155</f>
        <v>0</v>
      </c>
      <c r="U54" s="37" t="n">
        <f aca="false">U22*Assumptions!$D$83*Assumptions!$D$155</f>
        <v>0</v>
      </c>
      <c r="V54" s="37" t="n">
        <f aca="false">V22*Assumptions!$D$83*Assumptions!$D$155</f>
        <v>0</v>
      </c>
      <c r="W54" s="37" t="n">
        <f aca="false">W22*Assumptions!$D$83*Assumptions!$D$155</f>
        <v>0</v>
      </c>
      <c r="X54" s="37" t="n">
        <f aca="false">X22*Assumptions!$D$83*Assumptions!$D$155</f>
        <v>0</v>
      </c>
      <c r="Y54" s="37" t="n">
        <f aca="false">Y22*Assumptions!$D$83*Assumptions!$D$155</f>
        <v>0</v>
      </c>
      <c r="Z54" s="37" t="n">
        <f aca="false">Z22*Assumptions!$D$83*Assumptions!$D$155</f>
        <v>0</v>
      </c>
      <c r="AA54" s="37" t="n">
        <f aca="false">AA22*Assumptions!$D$83*Assumptions!$D$155</f>
        <v>0</v>
      </c>
      <c r="AB54" s="37" t="n">
        <f aca="false">AB22*Assumptions!$D$83*Assumptions!$D$155</f>
        <v>0</v>
      </c>
      <c r="AC54" s="37" t="n">
        <f aca="false">AC22*Assumptions!$D$83*Assumptions!$D$155</f>
        <v>0</v>
      </c>
      <c r="AD54" s="37" t="n">
        <f aca="false">AD22*Assumptions!$D$83*Assumptions!$D$155</f>
        <v>0</v>
      </c>
      <c r="AE54" s="37" t="n">
        <f aca="false">AE22*Assumptions!$D$83*Assumptions!$D$155</f>
        <v>0</v>
      </c>
      <c r="AF54" s="37" t="n">
        <f aca="false">AF22*Assumptions!$D$83*Assumptions!$D$155</f>
        <v>0</v>
      </c>
      <c r="AG54" s="37" t="n">
        <f aca="false">AG22*Assumptions!$D$83*Assumptions!$D$155</f>
        <v>0</v>
      </c>
      <c r="AH54" s="37" t="n">
        <f aca="false">AH22*Assumptions!$D$83*Assumptions!$D$155</f>
        <v>0</v>
      </c>
      <c r="AI54" s="37" t="n">
        <f aca="false">AI22*Assumptions!$D$83*Assumptions!$D$155</f>
        <v>0</v>
      </c>
      <c r="AJ54" s="37" t="n">
        <f aca="false">AJ22*Assumptions!$D$83*Assumptions!$D$155</f>
        <v>0</v>
      </c>
      <c r="AK54" s="37" t="n">
        <f aca="false">AK22*Assumptions!$D$83*Assumptions!$D$155</f>
        <v>0</v>
      </c>
      <c r="AL54" s="37" t="n">
        <f aca="false">AL22*Assumptions!$D$83*Assumptions!$D$155</f>
        <v>0</v>
      </c>
    </row>
    <row r="55" customFormat="false" ht="15" hidden="false" customHeight="false" outlineLevel="0" collapsed="false">
      <c r="A55" s="9" t="s">
        <v>599</v>
      </c>
      <c r="B55" s="2" t="s">
        <v>105</v>
      </c>
      <c r="C55" s="37" t="n">
        <f aca="false">C23*Assumptions!$D$84*Assumptions!$D$155</f>
        <v>0</v>
      </c>
      <c r="D55" s="37" t="n">
        <f aca="false">D23*Assumptions!$D$84*Assumptions!$D$155</f>
        <v>0</v>
      </c>
      <c r="E55" s="37" t="n">
        <f aca="false">E23*Assumptions!$D$84*Assumptions!$D$155</f>
        <v>0</v>
      </c>
      <c r="F55" s="37" t="n">
        <f aca="false">F23*Assumptions!$D$84*Assumptions!$D$155</f>
        <v>0</v>
      </c>
      <c r="G55" s="37" t="n">
        <f aca="false">G23*Assumptions!$D$84*Assumptions!$D$155</f>
        <v>0</v>
      </c>
      <c r="H55" s="37" t="n">
        <f aca="false">H23*Assumptions!$D$84*Assumptions!$D$155</f>
        <v>0</v>
      </c>
      <c r="I55" s="37" t="n">
        <f aca="false">I23*Assumptions!$D$84*Assumptions!$D$155</f>
        <v>112.5</v>
      </c>
      <c r="J55" s="37" t="n">
        <f aca="false">J23*Assumptions!$D$84*Assumptions!$D$155</f>
        <v>142.5</v>
      </c>
      <c r="K55" s="37" t="n">
        <f aca="false">K23*Assumptions!$D$84*Assumptions!$D$155</f>
        <v>172.5</v>
      </c>
      <c r="L55" s="37" t="n">
        <f aca="false">L23*Assumptions!$D$84*Assumptions!$D$155</f>
        <v>202.5</v>
      </c>
      <c r="M55" s="37" t="n">
        <f aca="false">M23*Assumptions!$D$84*Assumptions!$D$155</f>
        <v>232.5</v>
      </c>
      <c r="N55" s="37" t="n">
        <f aca="false">N23*Assumptions!$D$84*Assumptions!$D$155</f>
        <v>262.5</v>
      </c>
      <c r="O55" s="37" t="n">
        <f aca="false">O23*Assumptions!$D$84*Assumptions!$D$155</f>
        <v>292.5</v>
      </c>
      <c r="P55" s="37" t="n">
        <f aca="false">P23*Assumptions!$D$84*Assumptions!$D$155</f>
        <v>322.5</v>
      </c>
      <c r="Q55" s="37" t="n">
        <f aca="false">Q23*Assumptions!$D$84*Assumptions!$D$155</f>
        <v>352.5</v>
      </c>
      <c r="R55" s="37" t="n">
        <f aca="false">R23*Assumptions!$D$84*Assumptions!$D$155</f>
        <v>382.5</v>
      </c>
      <c r="S55" s="37" t="n">
        <f aca="false">S23*Assumptions!$D$84*Assumptions!$D$155</f>
        <v>412.5</v>
      </c>
      <c r="T55" s="37" t="n">
        <f aca="false">T23*Assumptions!$D$84*Assumptions!$D$155</f>
        <v>442.5</v>
      </c>
      <c r="U55" s="37" t="n">
        <f aca="false">U23*Assumptions!$D$84*Assumptions!$D$155</f>
        <v>472.5</v>
      </c>
      <c r="V55" s="37" t="n">
        <f aca="false">V23*Assumptions!$D$84*Assumptions!$D$155</f>
        <v>502.5</v>
      </c>
      <c r="W55" s="37" t="n">
        <f aca="false">W23*Assumptions!$D$84*Assumptions!$D$155</f>
        <v>532.5</v>
      </c>
      <c r="X55" s="37" t="n">
        <f aca="false">X23*Assumptions!$D$84*Assumptions!$D$155</f>
        <v>562.5</v>
      </c>
      <c r="Y55" s="37" t="n">
        <f aca="false">Y23*Assumptions!$D$84*Assumptions!$D$155</f>
        <v>592.5</v>
      </c>
      <c r="Z55" s="37" t="n">
        <f aca="false">Z23*Assumptions!$D$84*Assumptions!$D$155</f>
        <v>622.5</v>
      </c>
      <c r="AA55" s="37" t="n">
        <f aca="false">AA23*Assumptions!$D$84*Assumptions!$D$155</f>
        <v>652.5</v>
      </c>
      <c r="AB55" s="37" t="n">
        <f aca="false">AB23*Assumptions!$D$84*Assumptions!$D$155</f>
        <v>682.5</v>
      </c>
      <c r="AC55" s="37" t="n">
        <f aca="false">AC23*Assumptions!$D$84*Assumptions!$D$155</f>
        <v>712.5</v>
      </c>
      <c r="AD55" s="37" t="n">
        <f aca="false">AD23*Assumptions!$D$84*Assumptions!$D$155</f>
        <v>742.5</v>
      </c>
      <c r="AE55" s="37" t="n">
        <f aca="false">AE23*Assumptions!$D$84*Assumptions!$D$155</f>
        <v>772.5</v>
      </c>
      <c r="AF55" s="37" t="n">
        <f aca="false">AF23*Assumptions!$D$84*Assumptions!$D$155</f>
        <v>802.5</v>
      </c>
      <c r="AG55" s="37" t="n">
        <f aca="false">AG23*Assumptions!$D$84*Assumptions!$D$155</f>
        <v>832.5</v>
      </c>
      <c r="AH55" s="37" t="n">
        <f aca="false">AH23*Assumptions!$D$84*Assumptions!$D$155</f>
        <v>862.5</v>
      </c>
      <c r="AI55" s="37" t="n">
        <f aca="false">AI23*Assumptions!$D$84*Assumptions!$D$155</f>
        <v>892.5</v>
      </c>
      <c r="AJ55" s="37" t="n">
        <f aca="false">AJ23*Assumptions!$D$84*Assumptions!$D$155</f>
        <v>922.5</v>
      </c>
      <c r="AK55" s="37" t="n">
        <f aca="false">AK23*Assumptions!$D$84*Assumptions!$D$155</f>
        <v>952.5</v>
      </c>
      <c r="AL55" s="37" t="n">
        <f aca="false">AL23*Assumptions!$D$84*Assumptions!$D$155</f>
        <v>982.5</v>
      </c>
    </row>
    <row r="56" customFormat="false" ht="15" hidden="false" customHeight="false" outlineLevel="0" collapsed="false">
      <c r="A56" s="9" t="s">
        <v>600</v>
      </c>
      <c r="B56" s="2" t="s">
        <v>105</v>
      </c>
      <c r="C56" s="37" t="n">
        <f aca="false">C24*Assumptions!$D$85*Assumptions!$D$155</f>
        <v>0</v>
      </c>
      <c r="D56" s="37" t="n">
        <f aca="false">D24*Assumptions!$D$85*Assumptions!$D$155</f>
        <v>0</v>
      </c>
      <c r="E56" s="37" t="n">
        <f aca="false">E24*Assumptions!$D$85*Assumptions!$D$155</f>
        <v>0</v>
      </c>
      <c r="F56" s="37" t="n">
        <f aca="false">F24*Assumptions!$D$85*Assumptions!$D$155</f>
        <v>0</v>
      </c>
      <c r="G56" s="37" t="n">
        <f aca="false">G24*Assumptions!$D$85*Assumptions!$D$155</f>
        <v>0</v>
      </c>
      <c r="H56" s="37" t="n">
        <f aca="false">H24*Assumptions!$D$85*Assumptions!$D$155</f>
        <v>0</v>
      </c>
      <c r="I56" s="37" t="n">
        <f aca="false">I24*Assumptions!$D$85*Assumptions!$D$155</f>
        <v>0</v>
      </c>
      <c r="J56" s="37" t="n">
        <f aca="false">J24*Assumptions!$D$85*Assumptions!$D$155</f>
        <v>0</v>
      </c>
      <c r="K56" s="37" t="n">
        <f aca="false">K24*Assumptions!$D$85*Assumptions!$D$155</f>
        <v>225</v>
      </c>
      <c r="L56" s="37" t="n">
        <f aca="false">L24*Assumptions!$D$85*Assumptions!$D$155</f>
        <v>258.75</v>
      </c>
      <c r="M56" s="37" t="n">
        <f aca="false">M24*Assumptions!$D$85*Assumptions!$D$155</f>
        <v>292.5</v>
      </c>
      <c r="N56" s="37" t="n">
        <f aca="false">N24*Assumptions!$D$85*Assumptions!$D$155</f>
        <v>326.25</v>
      </c>
      <c r="O56" s="37" t="n">
        <f aca="false">O24*Assumptions!$D$85*Assumptions!$D$155</f>
        <v>360</v>
      </c>
      <c r="P56" s="37" t="n">
        <f aca="false">P24*Assumptions!$D$85*Assumptions!$D$155</f>
        <v>393.75</v>
      </c>
      <c r="Q56" s="37" t="n">
        <f aca="false">Q24*Assumptions!$D$85*Assumptions!$D$155</f>
        <v>427.5</v>
      </c>
      <c r="R56" s="37" t="n">
        <f aca="false">R24*Assumptions!$D$85*Assumptions!$D$155</f>
        <v>461.25</v>
      </c>
      <c r="S56" s="37" t="n">
        <f aca="false">S24*Assumptions!$D$85*Assumptions!$D$155</f>
        <v>495</v>
      </c>
      <c r="T56" s="37" t="n">
        <f aca="false">T24*Assumptions!$D$85*Assumptions!$D$155</f>
        <v>528.75</v>
      </c>
      <c r="U56" s="37" t="n">
        <f aca="false">U24*Assumptions!$D$85*Assumptions!$D$155</f>
        <v>562.5</v>
      </c>
      <c r="V56" s="37" t="n">
        <f aca="false">V24*Assumptions!$D$85*Assumptions!$D$155</f>
        <v>596.25</v>
      </c>
      <c r="W56" s="37" t="n">
        <f aca="false">W24*Assumptions!$D$85*Assumptions!$D$155</f>
        <v>630</v>
      </c>
      <c r="X56" s="37" t="n">
        <f aca="false">X24*Assumptions!$D$85*Assumptions!$D$155</f>
        <v>663.75</v>
      </c>
      <c r="Y56" s="37" t="n">
        <f aca="false">Y24*Assumptions!$D$85*Assumptions!$D$155</f>
        <v>697.5</v>
      </c>
      <c r="Z56" s="37" t="n">
        <f aca="false">Z24*Assumptions!$D$85*Assumptions!$D$155</f>
        <v>731.25</v>
      </c>
      <c r="AA56" s="37" t="n">
        <f aca="false">AA24*Assumptions!$D$85*Assumptions!$D$155</f>
        <v>765</v>
      </c>
      <c r="AB56" s="37" t="n">
        <f aca="false">AB24*Assumptions!$D$85*Assumptions!$D$155</f>
        <v>1136.25</v>
      </c>
      <c r="AC56" s="37" t="n">
        <f aca="false">AC24*Assumptions!$D$85*Assumptions!$D$155</f>
        <v>1170</v>
      </c>
      <c r="AD56" s="37" t="n">
        <f aca="false">AD24*Assumptions!$D$85*Assumptions!$D$155</f>
        <v>1203.75</v>
      </c>
      <c r="AE56" s="37" t="n">
        <f aca="false">AE24*Assumptions!$D$85*Assumptions!$D$155</f>
        <v>1237.5</v>
      </c>
      <c r="AF56" s="37" t="n">
        <f aca="false">AF24*Assumptions!$D$85*Assumptions!$D$155</f>
        <v>1271.25</v>
      </c>
      <c r="AG56" s="37" t="n">
        <f aca="false">AG24*Assumptions!$D$85*Assumptions!$D$155</f>
        <v>1305</v>
      </c>
      <c r="AH56" s="37" t="n">
        <f aca="false">AH24*Assumptions!$D$85*Assumptions!$D$155</f>
        <v>1338.75</v>
      </c>
      <c r="AI56" s="37" t="n">
        <f aca="false">AI24*Assumptions!$D$85*Assumptions!$D$155</f>
        <v>1372.5</v>
      </c>
      <c r="AJ56" s="37" t="n">
        <f aca="false">AJ24*Assumptions!$D$85*Assumptions!$D$155</f>
        <v>1406.25</v>
      </c>
      <c r="AK56" s="37" t="n">
        <f aca="false">AK24*Assumptions!$D$85*Assumptions!$D$155</f>
        <v>1440</v>
      </c>
      <c r="AL56" s="37" t="n">
        <f aca="false">AL24*Assumptions!$D$85*Assumptions!$D$155</f>
        <v>1473.75</v>
      </c>
    </row>
    <row r="57" customFormat="false" ht="15" hidden="false" customHeight="false" outlineLevel="0" collapsed="false">
      <c r="A57" s="9" t="s">
        <v>601</v>
      </c>
      <c r="B57" s="2" t="s">
        <v>105</v>
      </c>
      <c r="C57" s="37" t="n">
        <f aca="false">C25*Assumptions!$D$86*Assumptions!$D$155</f>
        <v>0</v>
      </c>
      <c r="D57" s="37" t="n">
        <f aca="false">D25*Assumptions!$D$86*Assumptions!$D$155</f>
        <v>0</v>
      </c>
      <c r="E57" s="37" t="n">
        <f aca="false">E25*Assumptions!$D$86*Assumptions!$D$155</f>
        <v>0</v>
      </c>
      <c r="F57" s="37" t="n">
        <f aca="false">F25*Assumptions!$D$86*Assumptions!$D$155</f>
        <v>0</v>
      </c>
      <c r="G57" s="37" t="n">
        <f aca="false">G25*Assumptions!$D$86*Assumptions!$D$155</f>
        <v>0</v>
      </c>
      <c r="H57" s="37" t="n">
        <f aca="false">H25*Assumptions!$D$86*Assumptions!$D$155</f>
        <v>0</v>
      </c>
      <c r="I57" s="37" t="n">
        <f aca="false">I25*Assumptions!$D$86*Assumptions!$D$155</f>
        <v>0</v>
      </c>
      <c r="J57" s="37" t="n">
        <f aca="false">J25*Assumptions!$D$86*Assumptions!$D$155</f>
        <v>0</v>
      </c>
      <c r="K57" s="37" t="n">
        <f aca="false">K25*Assumptions!$D$86*Assumptions!$D$155</f>
        <v>0</v>
      </c>
      <c r="L57" s="37" t="n">
        <f aca="false">L25*Assumptions!$D$86*Assumptions!$D$155</f>
        <v>0</v>
      </c>
      <c r="M57" s="37" t="n">
        <f aca="false">M25*Assumptions!$D$86*Assumptions!$D$155</f>
        <v>0</v>
      </c>
      <c r="N57" s="37" t="n">
        <f aca="false">N25*Assumptions!$D$86*Assumptions!$D$155</f>
        <v>450</v>
      </c>
      <c r="O57" s="37" t="n">
        <f aca="false">O25*Assumptions!$D$86*Assumptions!$D$155</f>
        <v>495</v>
      </c>
      <c r="P57" s="37" t="n">
        <f aca="false">P25*Assumptions!$D$86*Assumptions!$D$155</f>
        <v>540</v>
      </c>
      <c r="Q57" s="37" t="n">
        <f aca="false">Q25*Assumptions!$D$86*Assumptions!$D$155</f>
        <v>585</v>
      </c>
      <c r="R57" s="37" t="n">
        <f aca="false">R25*Assumptions!$D$86*Assumptions!$D$155</f>
        <v>630</v>
      </c>
      <c r="S57" s="37" t="n">
        <f aca="false">S25*Assumptions!$D$86*Assumptions!$D$155</f>
        <v>675</v>
      </c>
      <c r="T57" s="37" t="n">
        <f aca="false">T25*Assumptions!$D$86*Assumptions!$D$155</f>
        <v>720</v>
      </c>
      <c r="U57" s="37" t="n">
        <f aca="false">U25*Assumptions!$D$86*Assumptions!$D$155</f>
        <v>765</v>
      </c>
      <c r="V57" s="37" t="n">
        <f aca="false">V25*Assumptions!$D$86*Assumptions!$D$155</f>
        <v>810</v>
      </c>
      <c r="W57" s="37" t="n">
        <f aca="false">W25*Assumptions!$D$86*Assumptions!$D$155</f>
        <v>855</v>
      </c>
      <c r="X57" s="37" t="n">
        <f aca="false">X25*Assumptions!$D$86*Assumptions!$D$155</f>
        <v>900</v>
      </c>
      <c r="Y57" s="37" t="n">
        <f aca="false">Y25*Assumptions!$D$86*Assumptions!$D$155</f>
        <v>945</v>
      </c>
      <c r="Z57" s="37" t="n">
        <f aca="false">Z25*Assumptions!$D$86*Assumptions!$D$155</f>
        <v>990</v>
      </c>
      <c r="AA57" s="37" t="n">
        <f aca="false">AA25*Assumptions!$D$86*Assumptions!$D$155</f>
        <v>1035</v>
      </c>
      <c r="AB57" s="37" t="n">
        <f aca="false">AB25*Assumptions!$D$86*Assumptions!$D$155</f>
        <v>1361.25</v>
      </c>
      <c r="AC57" s="37" t="n">
        <f aca="false">AC25*Assumptions!$D$86*Assumptions!$D$155</f>
        <v>1406.25</v>
      </c>
      <c r="AD57" s="37" t="n">
        <f aca="false">AD25*Assumptions!$D$86*Assumptions!$D$155</f>
        <v>1451.25</v>
      </c>
      <c r="AE57" s="37" t="n">
        <f aca="false">AE25*Assumptions!$D$86*Assumptions!$D$155</f>
        <v>1496.25</v>
      </c>
      <c r="AF57" s="37" t="n">
        <f aca="false">AF25*Assumptions!$D$86*Assumptions!$D$155</f>
        <v>1541.25</v>
      </c>
      <c r="AG57" s="37" t="n">
        <f aca="false">AG25*Assumptions!$D$86*Assumptions!$D$155</f>
        <v>1586.25</v>
      </c>
      <c r="AH57" s="37" t="n">
        <f aca="false">AH25*Assumptions!$D$86*Assumptions!$D$155</f>
        <v>1631.25</v>
      </c>
      <c r="AI57" s="37" t="n">
        <f aca="false">AI25*Assumptions!$D$86*Assumptions!$D$155</f>
        <v>1676.25</v>
      </c>
      <c r="AJ57" s="37" t="n">
        <f aca="false">AJ25*Assumptions!$D$86*Assumptions!$D$155</f>
        <v>1721.25</v>
      </c>
      <c r="AK57" s="37" t="n">
        <f aca="false">AK25*Assumptions!$D$86*Assumptions!$D$155</f>
        <v>1766.25</v>
      </c>
      <c r="AL57" s="37" t="n">
        <f aca="false">AL25*Assumptions!$D$86*Assumptions!$D$155</f>
        <v>1811.25</v>
      </c>
    </row>
    <row r="58" customFormat="false" ht="15" hidden="false" customHeight="false" outlineLevel="0" collapsed="false">
      <c r="A58" s="9" t="s">
        <v>602</v>
      </c>
      <c r="B58" s="2" t="s">
        <v>603</v>
      </c>
      <c r="C58" s="41" t="n">
        <f aca="false">C32*Assumptions!$D$156/12</f>
        <v>0</v>
      </c>
      <c r="D58" s="41" t="n">
        <f aca="false">D32*Assumptions!$D$156/12</f>
        <v>0</v>
      </c>
      <c r="E58" s="41" t="n">
        <f aca="false">E32*Assumptions!$D$156/12</f>
        <v>0</v>
      </c>
      <c r="F58" s="41" t="n">
        <f aca="false">F32*Assumptions!$D$156/12</f>
        <v>0</v>
      </c>
      <c r="G58" s="41" t="n">
        <f aca="false">G32*Assumptions!$D$156/12</f>
        <v>0</v>
      </c>
      <c r="H58" s="41" t="n">
        <f aca="false">H32*Assumptions!$D$156/12</f>
        <v>0</v>
      </c>
      <c r="I58" s="41" t="n">
        <f aca="false">I32*Assumptions!$D$156/12</f>
        <v>0</v>
      </c>
      <c r="J58" s="41" t="n">
        <f aca="false">J32*Assumptions!$D$156/12</f>
        <v>0</v>
      </c>
      <c r="K58" s="41" t="n">
        <f aca="false">K32*Assumptions!$D$156/12</f>
        <v>0.0166666666666667</v>
      </c>
      <c r="L58" s="41" t="n">
        <f aca="false">L32*Assumptions!$D$156/12</f>
        <v>0.0356666666666667</v>
      </c>
      <c r="M58" s="41" t="n">
        <f aca="false">M32*Assumptions!$D$156/12</f>
        <v>0.0569766666666667</v>
      </c>
      <c r="N58" s="41" t="n">
        <f aca="false">N32*Assumptions!$D$156/12</f>
        <v>0.0805735666666667</v>
      </c>
      <c r="O58" s="41" t="n">
        <f aca="false">O32*Assumptions!$D$156/12</f>
        <v>0.106434497666667</v>
      </c>
      <c r="P58" s="41" t="n">
        <f aca="false">P32*Assumptions!$D$156/12</f>
        <v>0.134536819356667</v>
      </c>
      <c r="Q58" s="41" t="n">
        <f aca="false">Q32*Assumptions!$D$156/12</f>
        <v>0.164858117829767</v>
      </c>
      <c r="R58" s="41" t="n">
        <f aca="false">R32*Assumptions!$D$156/12</f>
        <v>0.197376203318136</v>
      </c>
      <c r="S58" s="41" t="n">
        <f aca="false">S32*Assumptions!$D$156/12</f>
        <v>0.232069107951621</v>
      </c>
      <c r="T58" s="41" t="n">
        <f aca="false">T32*Assumptions!$D$156/12</f>
        <v>0.268915083538771</v>
      </c>
      <c r="U58" s="41" t="n">
        <f aca="false">U32*Assumptions!$D$156/12</f>
        <v>0.30789259937005</v>
      </c>
      <c r="V58" s="41" t="n">
        <f aca="false">V32*Assumptions!$D$156/12</f>
        <v>0.348980340043017</v>
      </c>
      <c r="W58" s="41" t="n">
        <f aca="false">W32*Assumptions!$D$156/12</f>
        <v>0.392157203309253</v>
      </c>
      <c r="X58" s="41" t="n">
        <f aca="false">X32*Assumptions!$D$156/12</f>
        <v>0.437402297942827</v>
      </c>
      <c r="Y58" s="41" t="n">
        <f aca="false">Y32*Assumptions!$D$156/12</f>
        <v>0.484694941630066</v>
      </c>
      <c r="Z58" s="41" t="n">
        <f aca="false">Z32*Assumptions!$D$156/12</f>
        <v>0.534014658880432</v>
      </c>
      <c r="AA58" s="41" t="n">
        <f aca="false">AA32*Assumptions!$D$156/12</f>
        <v>0.585341178958294</v>
      </c>
      <c r="AB58" s="41" t="n">
        <f aca="false">AB32*Assumptions!$D$156/12</f>
        <v>0.663654433835378</v>
      </c>
      <c r="AC58" s="41" t="n">
        <f aca="false">AC32*Assumptions!$D$156/12</f>
        <v>0.743684556163691</v>
      </c>
      <c r="AD58" s="41" t="n">
        <f aca="false">AD32*Assumptions!$D$156/12</f>
        <v>0.82541437726872</v>
      </c>
      <c r="AE58" s="41" t="n">
        <f aca="false">AE32*Assumptions!$D$156/12</f>
        <v>0.9088269001627</v>
      </c>
      <c r="AF58" s="41" t="n">
        <f aca="false">AF32*Assumptions!$D$156/12</f>
        <v>0.99390529782774</v>
      </c>
      <c r="AG58" s="41" t="n">
        <f aca="false">AG32*Assumptions!$D$156/12</f>
        <v>1.08063291151613</v>
      </c>
      <c r="AH58" s="41" t="n">
        <f aca="false">AH32*Assumptions!$D$156/12</f>
        <v>1.16899324906763</v>
      </c>
      <c r="AI58" s="41" t="n">
        <f aca="false">AI32*Assumptions!$D$156/12</f>
        <v>1.25896998324362</v>
      </c>
      <c r="AJ58" s="41" t="n">
        <f aca="false">AJ32*Assumptions!$D$156/12</f>
        <v>1.35054695007785</v>
      </c>
      <c r="AK58" s="41" t="n">
        <f aca="false">AK32*Assumptions!$D$156/12</f>
        <v>1.44370814724374</v>
      </c>
      <c r="AL58" s="41" t="n">
        <f aca="false">AL32*Assumptions!$D$156/12</f>
        <v>1.53843773243797</v>
      </c>
    </row>
    <row r="59" customFormat="false" ht="15" hidden="false" customHeight="false" outlineLevel="0" collapsed="false">
      <c r="A59" s="9" t="s">
        <v>604</v>
      </c>
      <c r="B59" s="2" t="s">
        <v>105</v>
      </c>
      <c r="C59" s="37" t="n">
        <f aca="false">C58*Assumptions!$D$48*Assumptions!$D$87</f>
        <v>0</v>
      </c>
      <c r="D59" s="37" t="n">
        <f aca="false">D58*Assumptions!$D$48*Assumptions!$D$87</f>
        <v>0</v>
      </c>
      <c r="E59" s="37" t="n">
        <f aca="false">E58*Assumptions!$D$48*Assumptions!$D$87</f>
        <v>0</v>
      </c>
      <c r="F59" s="37" t="n">
        <f aca="false">F58*Assumptions!$D$48*Assumptions!$D$87</f>
        <v>0</v>
      </c>
      <c r="G59" s="37" t="n">
        <f aca="false">G58*Assumptions!$D$48*Assumptions!$D$87</f>
        <v>0</v>
      </c>
      <c r="H59" s="37" t="n">
        <f aca="false">H58*Assumptions!$D$48*Assumptions!$D$87</f>
        <v>0</v>
      </c>
      <c r="I59" s="37" t="n">
        <f aca="false">I58*Assumptions!$D$48*Assumptions!$D$87</f>
        <v>0</v>
      </c>
      <c r="J59" s="37" t="n">
        <f aca="false">J58*Assumptions!$D$48*Assumptions!$D$87</f>
        <v>0</v>
      </c>
      <c r="K59" s="37" t="n">
        <f aca="false">K58*Assumptions!$D$48*Assumptions!$D$87</f>
        <v>35</v>
      </c>
      <c r="L59" s="37" t="n">
        <f aca="false">L58*Assumptions!$D$48*Assumptions!$D$87</f>
        <v>74.9</v>
      </c>
      <c r="M59" s="37" t="n">
        <f aca="false">M58*Assumptions!$D$48*Assumptions!$D$87</f>
        <v>119.651</v>
      </c>
      <c r="N59" s="37" t="n">
        <f aca="false">N58*Assumptions!$D$48*Assumptions!$D$87</f>
        <v>169.20449</v>
      </c>
      <c r="O59" s="37" t="n">
        <f aca="false">O58*Assumptions!$D$48*Assumptions!$D$87</f>
        <v>223.5124451</v>
      </c>
      <c r="P59" s="37" t="n">
        <f aca="false">P58*Assumptions!$D$48*Assumptions!$D$87</f>
        <v>282.527320649</v>
      </c>
      <c r="Q59" s="37" t="n">
        <f aca="false">Q58*Assumptions!$D$48*Assumptions!$D$87</f>
        <v>346.20204744251</v>
      </c>
      <c r="R59" s="37" t="n">
        <f aca="false">R58*Assumptions!$D$48*Assumptions!$D$87</f>
        <v>414.490026968085</v>
      </c>
      <c r="S59" s="37" t="n">
        <f aca="false">S58*Assumptions!$D$48*Assumptions!$D$87</f>
        <v>487.345126698404</v>
      </c>
      <c r="T59" s="37" t="n">
        <f aca="false">T58*Assumptions!$D$48*Assumptions!$D$87</f>
        <v>564.72167543142</v>
      </c>
      <c r="U59" s="37" t="n">
        <f aca="false">U58*Assumptions!$D$48*Assumptions!$D$87</f>
        <v>646.574458677106</v>
      </c>
      <c r="V59" s="37" t="n">
        <f aca="false">V58*Assumptions!$D$48*Assumptions!$D$87</f>
        <v>732.858714090335</v>
      </c>
      <c r="W59" s="37" t="n">
        <f aca="false">W58*Assumptions!$D$48*Assumptions!$D$87</f>
        <v>823.530126949431</v>
      </c>
      <c r="X59" s="37" t="n">
        <f aca="false">X58*Assumptions!$D$48*Assumptions!$D$87</f>
        <v>918.544825679937</v>
      </c>
      <c r="Y59" s="37" t="n">
        <f aca="false">Y58*Assumptions!$D$48*Assumptions!$D$87</f>
        <v>1017.85937742314</v>
      </c>
      <c r="Z59" s="37" t="n">
        <f aca="false">Z58*Assumptions!$D$48*Assumptions!$D$87</f>
        <v>1121.43078364891</v>
      </c>
      <c r="AA59" s="37" t="n">
        <f aca="false">AA58*Assumptions!$D$48*Assumptions!$D$87</f>
        <v>1229.21647581242</v>
      </c>
      <c r="AB59" s="37" t="n">
        <f aca="false">AB58*Assumptions!$D$48*Assumptions!$D$87</f>
        <v>1393.67431105429</v>
      </c>
      <c r="AC59" s="37" t="n">
        <f aca="false">AC58*Assumptions!$D$48*Assumptions!$D$87</f>
        <v>1561.73756794375</v>
      </c>
      <c r="AD59" s="37" t="n">
        <f aca="false">AD58*Assumptions!$D$48*Assumptions!$D$87</f>
        <v>1733.37019226431</v>
      </c>
      <c r="AE59" s="37" t="n">
        <f aca="false">AE58*Assumptions!$D$48*Assumptions!$D$87</f>
        <v>1908.53649034167</v>
      </c>
      <c r="AF59" s="37" t="n">
        <f aca="false">AF58*Assumptions!$D$48*Assumptions!$D$87</f>
        <v>2087.20112543825</v>
      </c>
      <c r="AG59" s="37" t="n">
        <f aca="false">AG58*Assumptions!$D$48*Assumptions!$D$87</f>
        <v>2269.32911418387</v>
      </c>
      <c r="AH59" s="37" t="n">
        <f aca="false">AH58*Assumptions!$D$48*Assumptions!$D$87</f>
        <v>2454.88582304203</v>
      </c>
      <c r="AI59" s="37" t="n">
        <f aca="false">AI58*Assumptions!$D$48*Assumptions!$D$87</f>
        <v>2643.83696481161</v>
      </c>
      <c r="AJ59" s="37" t="n">
        <f aca="false">AJ58*Assumptions!$D$48*Assumptions!$D$87</f>
        <v>2836.1485951635</v>
      </c>
      <c r="AK59" s="37" t="n">
        <f aca="false">AK58*Assumptions!$D$48*Assumptions!$D$87</f>
        <v>3031.78710921186</v>
      </c>
      <c r="AL59" s="37" t="n">
        <f aca="false">AL58*Assumptions!$D$48*Assumptions!$D$87</f>
        <v>3230.71923811974</v>
      </c>
    </row>
    <row r="60" customFormat="false" ht="15" hidden="false" customHeight="false" outlineLevel="0" collapsed="false">
      <c r="A60" s="9" t="s">
        <v>605</v>
      </c>
      <c r="B60" s="2" t="s">
        <v>105</v>
      </c>
      <c r="C60" s="37" t="n">
        <f aca="false">C43</f>
        <v>0</v>
      </c>
      <c r="D60" s="37" t="n">
        <f aca="false">D43</f>
        <v>0</v>
      </c>
      <c r="E60" s="37" t="n">
        <f aca="false">E43</f>
        <v>0</v>
      </c>
      <c r="F60" s="37" t="n">
        <f aca="false">F43</f>
        <v>0</v>
      </c>
      <c r="G60" s="37" t="n">
        <f aca="false">G43</f>
        <v>0</v>
      </c>
      <c r="H60" s="37" t="n">
        <f aca="false">H43</f>
        <v>201.15</v>
      </c>
      <c r="I60" s="37" t="n">
        <f aca="false">I43</f>
        <v>556.4179695</v>
      </c>
      <c r="J60" s="37" t="n">
        <f aca="false">J43</f>
        <v>969.041413773635</v>
      </c>
      <c r="K60" s="37" t="n">
        <f aca="false">K43</f>
        <v>1707.34968738133</v>
      </c>
      <c r="L60" s="37" t="n">
        <f aca="false">L43</f>
        <v>2539.98504216344</v>
      </c>
      <c r="M60" s="37" t="n">
        <f aca="false">M43</f>
        <v>3465.4548664928</v>
      </c>
      <c r="N60" s="37" t="n">
        <f aca="false">N43</f>
        <v>4882.30548960662</v>
      </c>
      <c r="O60" s="37" t="n">
        <f aca="false">O43</f>
        <v>6430.69705710665</v>
      </c>
      <c r="P60" s="37" t="n">
        <f aca="false">P43</f>
        <v>8109.4142498971</v>
      </c>
      <c r="Q60" s="37" t="n">
        <f aca="false">Q43</f>
        <v>9917.27806258941</v>
      </c>
      <c r="R60" s="37" t="n">
        <f aca="false">R43</f>
        <v>11853.1447803916</v>
      </c>
      <c r="S60" s="37" t="n">
        <f aca="false">S43</f>
        <v>13915.9049869251</v>
      </c>
      <c r="T60" s="37" t="n">
        <f aca="false">T43</f>
        <v>16104.482602006</v>
      </c>
      <c r="U60" s="37" t="n">
        <f aca="false">U43</f>
        <v>18417.8339484601</v>
      </c>
      <c r="V60" s="37" t="n">
        <f aca="false">V43</f>
        <v>20854.9468470696</v>
      </c>
      <c r="W60" s="37" t="n">
        <f aca="false">W43</f>
        <v>23414.8397387773</v>
      </c>
      <c r="X60" s="37" t="n">
        <f aca="false">X43</f>
        <v>26096.5608333036</v>
      </c>
      <c r="Y60" s="37" t="n">
        <f aca="false">Y43</f>
        <v>28899.187283358</v>
      </c>
      <c r="Z60" s="37" t="n">
        <f aca="false">Z43</f>
        <v>31821.8243836509</v>
      </c>
      <c r="AA60" s="37" t="n">
        <f aca="false">AA43</f>
        <v>34863.6047939393</v>
      </c>
      <c r="AB60" s="37" t="n">
        <f aca="false">AB43</f>
        <v>38678.4177853633</v>
      </c>
      <c r="AC60" s="37" t="n">
        <f aca="false">AC43</f>
        <v>42610.8616709523</v>
      </c>
      <c r="AD60" s="37" t="n">
        <f aca="false">AD43</f>
        <v>46660.1524051299</v>
      </c>
      <c r="AE60" s="37" t="n">
        <f aca="false">AE43</f>
        <v>50825.5304370179</v>
      </c>
      <c r="AF60" s="37" t="n">
        <f aca="false">AF43</f>
        <v>55106.2600430288</v>
      </c>
      <c r="AG60" s="37" t="n">
        <f aca="false">AG43</f>
        <v>59501.6286793716</v>
      </c>
      <c r="AH60" s="37" t="n">
        <f aca="false">AH43</f>
        <v>64010.9463538575</v>
      </c>
      <c r="AI60" s="37" t="n">
        <f aca="false">AI43</f>
        <v>68633.5450164113</v>
      </c>
      <c r="AJ60" s="37" t="n">
        <f aca="false">AJ43</f>
        <v>73368.7779677161</v>
      </c>
      <c r="AK60" s="37" t="n">
        <f aca="false">AK43</f>
        <v>78216.0192854317</v>
      </c>
      <c r="AL60" s="37" t="n">
        <f aca="false">AL43</f>
        <v>83174.6632674504</v>
      </c>
    </row>
    <row r="61" customFormat="false" ht="15" hidden="false" customHeight="false" outlineLevel="0" collapsed="false">
      <c r="A61" s="9" t="s">
        <v>606</v>
      </c>
      <c r="B61" s="2" t="s">
        <v>105</v>
      </c>
      <c r="C61" s="37" t="n">
        <f aca="false">C50+C51+C52+C53</f>
        <v>0</v>
      </c>
      <c r="D61" s="37" t="n">
        <f aca="false">D50+D51+D52+D53</f>
        <v>0</v>
      </c>
      <c r="E61" s="37" t="n">
        <f aca="false">E50+E51+E52+E53</f>
        <v>0</v>
      </c>
      <c r="F61" s="37" t="n">
        <f aca="false">F50+F51+F52+F53</f>
        <v>0</v>
      </c>
      <c r="G61" s="37" t="n">
        <f aca="false">G50+G51+G52+G53</f>
        <v>0</v>
      </c>
      <c r="H61" s="37" t="n">
        <f aca="false">H50+H51+H52+H53</f>
        <v>15.6</v>
      </c>
      <c r="I61" s="37" t="n">
        <f aca="false">I50+I51+I52+I53</f>
        <v>43.964</v>
      </c>
      <c r="J61" s="37" t="n">
        <f aca="false">J50+J51+J52+J53</f>
        <v>76.89836</v>
      </c>
      <c r="K61" s="37" t="n">
        <f aca="false">K50+K51+K52+K53</f>
        <v>127.5889999</v>
      </c>
      <c r="L61" s="37" t="n">
        <f aca="false">L50+L51+L52+L53</f>
        <v>184.450685341</v>
      </c>
      <c r="M61" s="37" t="n">
        <f aca="false">M50+M51+M52+M53</f>
        <v>247.338654280628</v>
      </c>
      <c r="N61" s="37" t="n">
        <f aca="false">N50+N51+N52+N53</f>
        <v>334.852130034204</v>
      </c>
      <c r="O61" s="37" t="n">
        <f aca="false">O50+O51+O52+O53</f>
        <v>429.87576182707</v>
      </c>
      <c r="P61" s="37" t="n">
        <f aca="false">P50+P51+P52+P53</f>
        <v>532.265819736515</v>
      </c>
      <c r="Q61" s="37" t="n">
        <f aca="false">Q50+Q51+Q52+Q53</f>
        <v>641.882275398305</v>
      </c>
      <c r="R61" s="37" t="n">
        <f aca="false">R50+R51+R52+R53</f>
        <v>758.588693067841</v>
      </c>
      <c r="S61" s="37" t="n">
        <f aca="false">S50+S51+S52+S53</f>
        <v>882.252124081579</v>
      </c>
      <c r="T61" s="37" t="n">
        <f aca="false">T50+T51+T52+T53</f>
        <v>1012.74300460912</v>
      </c>
      <c r="U61" s="37" t="n">
        <f aca="false">U50+U51+U52+U53</f>
        <v>1149.93505659002</v>
      </c>
      <c r="V61" s="37" t="n">
        <f aca="false">V50+V51+V52+V53</f>
        <v>1293.70519175281</v>
      </c>
      <c r="W61" s="37" t="n">
        <f aca="false">W50+W51+W52+W53</f>
        <v>1443.93341861711</v>
      </c>
      <c r="X61" s="37" t="n">
        <f aca="false">X50+X51+X52+X53</f>
        <v>1600.50275238301</v>
      </c>
      <c r="Y61" s="37" t="n">
        <f aca="false">Y50+Y51+Y52+Y53</f>
        <v>1763.29912761492</v>
      </c>
      <c r="Z61" s="37" t="n">
        <f aca="false">Z50+Z51+Z52+Z53</f>
        <v>1932.21131363039</v>
      </c>
      <c r="AA61" s="37" t="n">
        <f aca="false">AA50+AA51+AA52+AA53</f>
        <v>2107.13083250696</v>
      </c>
      <c r="AB61" s="37" t="n">
        <f aca="false">AB50+AB51+AB52+AB53</f>
        <v>2319.64437962337</v>
      </c>
      <c r="AC61" s="37" t="n">
        <f aca="false">AC50+AC51+AC52+AC53</f>
        <v>2537.68617165379</v>
      </c>
      <c r="AD61" s="37" t="n">
        <f aca="false">AD50+AD51+AD52+AD53</f>
        <v>2761.15794158684</v>
      </c>
      <c r="AE61" s="37" t="n">
        <f aca="false">AE50+AE51+AE52+AE53</f>
        <v>2989.96384923336</v>
      </c>
      <c r="AF61" s="37" t="n">
        <f aca="false">AF50+AF51+AF52+AF53</f>
        <v>3224.01041133445</v>
      </c>
      <c r="AG61" s="37" t="n">
        <f aca="false">AG50+AG51+AG52+AG53</f>
        <v>3463.20643382171</v>
      </c>
      <c r="AH61" s="37" t="n">
        <f aca="false">AH50+AH51+AH52+AH53</f>
        <v>3707.46294616106</v>
      </c>
      <c r="AI61" s="37" t="n">
        <f aca="false">AI50+AI51+AI52+AI53</f>
        <v>3956.69313771366</v>
      </c>
      <c r="AJ61" s="37" t="n">
        <f aca="false">AJ50+AJ51+AJ52+AJ53</f>
        <v>4210.81229604969</v>
      </c>
      <c r="AK61" s="37" t="n">
        <f aca="false">AK50+AK51+AK52+AK53</f>
        <v>4469.7377471528</v>
      </c>
      <c r="AL61" s="37" t="n">
        <f aca="false">AL50+AL51+AL52+AL53</f>
        <v>4733.38879745513</v>
      </c>
    </row>
    <row r="62" customFormat="false" ht="15" hidden="false" customHeight="false" outlineLevel="0" collapsed="false">
      <c r="A62" s="9" t="s">
        <v>607</v>
      </c>
      <c r="B62" s="2" t="s">
        <v>105</v>
      </c>
      <c r="C62" s="37" t="n">
        <f aca="false">C54+C55+C56+C57+C59</f>
        <v>0</v>
      </c>
      <c r="D62" s="37" t="n">
        <f aca="false">D54+D55+D56+D57+D59</f>
        <v>0</v>
      </c>
      <c r="E62" s="37" t="n">
        <f aca="false">E54+E55+E56+E57+E59</f>
        <v>0</v>
      </c>
      <c r="F62" s="37" t="n">
        <f aca="false">F54+F55+F56+F57+F59</f>
        <v>0</v>
      </c>
      <c r="G62" s="37" t="n">
        <f aca="false">G54+G55+G56+G57+G59</f>
        <v>0</v>
      </c>
      <c r="H62" s="37" t="n">
        <f aca="false">H54+H55+H56+H57+H59</f>
        <v>0</v>
      </c>
      <c r="I62" s="37" t="n">
        <f aca="false">I54+I55+I56+I57+I59</f>
        <v>112.5</v>
      </c>
      <c r="J62" s="37" t="n">
        <f aca="false">J54+J55+J56+J57+J59</f>
        <v>142.5</v>
      </c>
      <c r="K62" s="37" t="n">
        <f aca="false">K54+K55+K56+K57+K59</f>
        <v>432.5</v>
      </c>
      <c r="L62" s="37" t="n">
        <f aca="false">L54+L55+L56+L57+L59</f>
        <v>536.15</v>
      </c>
      <c r="M62" s="37" t="n">
        <f aca="false">M54+M55+M56+M57+M59</f>
        <v>644.651</v>
      </c>
      <c r="N62" s="37" t="n">
        <f aca="false">N54+N55+N56+N57+N59</f>
        <v>1207.95449</v>
      </c>
      <c r="O62" s="37" t="n">
        <f aca="false">O54+O55+O56+O57+O59</f>
        <v>1371.0124451</v>
      </c>
      <c r="P62" s="37" t="n">
        <f aca="false">P54+P55+P56+P57+P59</f>
        <v>1538.777320649</v>
      </c>
      <c r="Q62" s="37" t="n">
        <f aca="false">Q54+Q55+Q56+Q57+Q59</f>
        <v>1711.20204744251</v>
      </c>
      <c r="R62" s="37" t="n">
        <f aca="false">R54+R55+R56+R57+R59</f>
        <v>1888.24002696809</v>
      </c>
      <c r="S62" s="37" t="n">
        <f aca="false">S54+S55+S56+S57+S59</f>
        <v>2069.8451266984</v>
      </c>
      <c r="T62" s="37" t="n">
        <f aca="false">T54+T55+T56+T57+T59</f>
        <v>2255.97167543142</v>
      </c>
      <c r="U62" s="37" t="n">
        <f aca="false">U54+U55+U56+U57+U59</f>
        <v>2446.57445867711</v>
      </c>
      <c r="V62" s="37" t="n">
        <f aca="false">V54+V55+V56+V57+V59</f>
        <v>2641.60871409034</v>
      </c>
      <c r="W62" s="37" t="n">
        <f aca="false">W54+W55+W56+W57+W59</f>
        <v>2841.03012694943</v>
      </c>
      <c r="X62" s="37" t="n">
        <f aca="false">X54+X55+X56+X57+X59</f>
        <v>3044.79482567994</v>
      </c>
      <c r="Y62" s="37" t="n">
        <f aca="false">Y54+Y55+Y56+Y57+Y59</f>
        <v>3252.85937742314</v>
      </c>
      <c r="Z62" s="37" t="n">
        <f aca="false">Z54+Z55+Z56+Z57+Z59</f>
        <v>3465.18078364891</v>
      </c>
      <c r="AA62" s="37" t="n">
        <f aca="false">AA54+AA55+AA56+AA57+AA59</f>
        <v>3681.71647581242</v>
      </c>
      <c r="AB62" s="37" t="n">
        <f aca="false">AB54+AB55+AB56+AB57+AB59</f>
        <v>4573.67431105429</v>
      </c>
      <c r="AC62" s="37" t="n">
        <f aca="false">AC54+AC55+AC56+AC57+AC59</f>
        <v>4850.48756794375</v>
      </c>
      <c r="AD62" s="37" t="n">
        <f aca="false">AD54+AD55+AD56+AD57+AD59</f>
        <v>5130.87019226431</v>
      </c>
      <c r="AE62" s="37" t="n">
        <f aca="false">AE54+AE55+AE56+AE57+AE59</f>
        <v>5414.78649034167</v>
      </c>
      <c r="AF62" s="37" t="n">
        <f aca="false">AF54+AF55+AF56+AF57+AF59</f>
        <v>5702.20112543825</v>
      </c>
      <c r="AG62" s="37" t="n">
        <f aca="false">AG54+AG55+AG56+AG57+AG59</f>
        <v>5993.07911418387</v>
      </c>
      <c r="AH62" s="37" t="n">
        <f aca="false">AH54+AH55+AH56+AH57+AH59</f>
        <v>6287.38582304203</v>
      </c>
      <c r="AI62" s="37" t="n">
        <f aca="false">AI54+AI55+AI56+AI57+AI59</f>
        <v>6585.08696481161</v>
      </c>
      <c r="AJ62" s="37" t="n">
        <f aca="false">AJ54+AJ55+AJ56+AJ57+AJ59</f>
        <v>6886.1485951635</v>
      </c>
      <c r="AK62" s="37" t="n">
        <f aca="false">AK54+AK55+AK56+AK57+AK59</f>
        <v>7190.53710921186</v>
      </c>
      <c r="AL62" s="37" t="n">
        <f aca="false">AL54+AL55+AL56+AL57+AL59</f>
        <v>7498.21923811974</v>
      </c>
    </row>
    <row r="63" customFormat="false" ht="15" hidden="false" customHeight="false" outlineLevel="0" collapsed="false">
      <c r="A63" s="3" t="s">
        <v>608</v>
      </c>
      <c r="B63" s="2" t="s">
        <v>105</v>
      </c>
      <c r="C63" s="45" t="n">
        <f aca="false">C60+C61+C62</f>
        <v>0</v>
      </c>
      <c r="D63" s="45" t="n">
        <f aca="false">D60+D61+D62</f>
        <v>0</v>
      </c>
      <c r="E63" s="45" t="n">
        <f aca="false">E60+E61+E62</f>
        <v>0</v>
      </c>
      <c r="F63" s="45" t="n">
        <f aca="false">F60+F61+F62</f>
        <v>0</v>
      </c>
      <c r="G63" s="45" t="n">
        <f aca="false">G60+G61+G62</f>
        <v>0</v>
      </c>
      <c r="H63" s="45" t="n">
        <f aca="false">H60+H61+H62</f>
        <v>216.75</v>
      </c>
      <c r="I63" s="45" t="n">
        <f aca="false">I60+I61+I62</f>
        <v>712.8819695</v>
      </c>
      <c r="J63" s="45" t="n">
        <f aca="false">J60+J61+J62</f>
        <v>1188.43977377364</v>
      </c>
      <c r="K63" s="45" t="n">
        <f aca="false">K60+K61+K62</f>
        <v>2267.43868728133</v>
      </c>
      <c r="L63" s="45" t="n">
        <f aca="false">L60+L61+L62</f>
        <v>3260.58572750444</v>
      </c>
      <c r="M63" s="45" t="n">
        <f aca="false">M60+M61+M62</f>
        <v>4357.44452077343</v>
      </c>
      <c r="N63" s="45" t="n">
        <f aca="false">N60+N61+N62</f>
        <v>6425.11210964083</v>
      </c>
      <c r="O63" s="45" t="n">
        <f aca="false">O60+O61+O62</f>
        <v>8231.58526403372</v>
      </c>
      <c r="P63" s="45" t="n">
        <f aca="false">P60+P61+P62</f>
        <v>10180.4573902826</v>
      </c>
      <c r="Q63" s="45" t="n">
        <f aca="false">Q60+Q61+Q62</f>
        <v>12270.3623854302</v>
      </c>
      <c r="R63" s="45" t="n">
        <f aca="false">R60+R61+R62</f>
        <v>14499.9735004276</v>
      </c>
      <c r="S63" s="45" t="n">
        <f aca="false">S60+S61+S62</f>
        <v>16868.0022377051</v>
      </c>
      <c r="T63" s="45" t="n">
        <f aca="false">T60+T61+T62</f>
        <v>19373.1972820465</v>
      </c>
      <c r="U63" s="45" t="n">
        <f aca="false">U60+U61+U62</f>
        <v>22014.3434637273</v>
      </c>
      <c r="V63" s="45" t="n">
        <f aca="false">V60+V61+V62</f>
        <v>24790.2607529128</v>
      </c>
      <c r="W63" s="45" t="n">
        <f aca="false">W60+W61+W62</f>
        <v>27699.8032843438</v>
      </c>
      <c r="X63" s="45" t="n">
        <f aca="false">X60+X61+X62</f>
        <v>30741.8584113665</v>
      </c>
      <c r="Y63" s="45" t="n">
        <f aca="false">Y60+Y61+Y62</f>
        <v>33915.3457883961</v>
      </c>
      <c r="Z63" s="45" t="n">
        <f aca="false">Z60+Z61+Z62</f>
        <v>37219.2164809302</v>
      </c>
      <c r="AA63" s="45" t="n">
        <f aca="false">AA60+AA61+AA62</f>
        <v>40652.4521022587</v>
      </c>
      <c r="AB63" s="45" t="n">
        <f aca="false">AB60+AB61+AB62</f>
        <v>45571.7364760409</v>
      </c>
      <c r="AC63" s="45" t="n">
        <f aca="false">AC60+AC61+AC62</f>
        <v>49999.0354105498</v>
      </c>
      <c r="AD63" s="45" t="n">
        <f aca="false">AD60+AD61+AD62</f>
        <v>54552.1805389811</v>
      </c>
      <c r="AE63" s="45" t="n">
        <f aca="false">AE60+AE61+AE62</f>
        <v>59230.2807765929</v>
      </c>
      <c r="AF63" s="45" t="n">
        <f aca="false">AF60+AF61+AF62</f>
        <v>64032.4715798015</v>
      </c>
      <c r="AG63" s="45" t="n">
        <f aca="false">AG60+AG61+AG62</f>
        <v>68957.9142273772</v>
      </c>
      <c r="AH63" s="45" t="n">
        <f aca="false">AH60+AH61+AH62</f>
        <v>74005.7951230606</v>
      </c>
      <c r="AI63" s="45" t="n">
        <f aca="false">AI60+AI61+AI62</f>
        <v>79175.3251189366</v>
      </c>
      <c r="AJ63" s="45" t="n">
        <f aca="false">AJ60+AJ61+AJ62</f>
        <v>84465.7388589293</v>
      </c>
      <c r="AK63" s="45" t="n">
        <f aca="false">AK60+AK61+AK62</f>
        <v>89876.2941417963</v>
      </c>
      <c r="AL63" s="45" t="n">
        <f aca="false">AL60+AL61+AL62</f>
        <v>95406.2713030253</v>
      </c>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customFormat="false" ht="15" hidden="false" customHeight="false" outlineLevel="0" collapsed="false">
      <c r="A65" s="5" t="s">
        <v>609</v>
      </c>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row>
    <row r="66" customFormat="false" ht="15" hidden="false" customHeight="false" outlineLevel="0" collapsed="false">
      <c r="A66" s="9" t="s">
        <v>610</v>
      </c>
      <c r="B66" s="2" t="s">
        <v>105</v>
      </c>
      <c r="C66" s="37" t="n">
        <f aca="false">C30*Pricing!$B$6*Assumptions!$D$153*CHOOSE(Assumptions!$D$121,Pricing!$B$20,Pricing!$B$30,Pricing!$B$40)</f>
        <v>0</v>
      </c>
      <c r="D66" s="37" t="n">
        <f aca="false">D30*Pricing!$B$6*Assumptions!$D$153*CHOOSE(Assumptions!$D$121,Pricing!$B$20,Pricing!$B$30,Pricing!$B$40)</f>
        <v>0</v>
      </c>
      <c r="E66" s="37" t="n">
        <f aca="false">E30*Pricing!$B$6*Assumptions!$D$153*CHOOSE(Assumptions!$D$121,Pricing!$B$20,Pricing!$B$30,Pricing!$B$40)</f>
        <v>0</v>
      </c>
      <c r="F66" s="37" t="n">
        <f aca="false">F30*Pricing!$B$6*Assumptions!$D$153*CHOOSE(Assumptions!$D$121,Pricing!$B$20,Pricing!$B$30,Pricing!$B$40)</f>
        <v>0</v>
      </c>
      <c r="G66" s="37" t="n">
        <f aca="false">G30*Pricing!$B$6*Assumptions!$D$153*CHOOSE(Assumptions!$D$121,Pricing!$B$20,Pricing!$B$30,Pricing!$B$40)</f>
        <v>0</v>
      </c>
      <c r="H66" s="37" t="n">
        <f aca="false">H30*Pricing!$B$6*Assumptions!$D$153*CHOOSE(Assumptions!$D$121,Pricing!$B$20,Pricing!$B$30,Pricing!$B$40)</f>
        <v>54.985838375</v>
      </c>
      <c r="I66" s="37" t="n">
        <f aca="false">I30*Pricing!$B$6*Assumptions!$D$153*CHOOSE(Assumptions!$D$121,Pricing!$B$20,Pricing!$B$30,Pricing!$B$40)</f>
        <v>117.211478802708</v>
      </c>
      <c r="J66" s="37" t="n">
        <f aca="false">J30*Pricing!$B$6*Assumptions!$D$153*CHOOSE(Assumptions!$D$121,Pricing!$B$20,Pricing!$B$30,Pricing!$B$40)</f>
        <v>186.42352821128</v>
      </c>
      <c r="K66" s="37" t="n">
        <f aca="false">K30*Pricing!$B$6*Assumptions!$D$153*CHOOSE(Assumptions!$D$121,Pricing!$B$20,Pricing!$B$30,Pricing!$B$40)</f>
        <v>262.377462286385</v>
      </c>
      <c r="L66" s="37" t="n">
        <f aca="false">L30*Pricing!$B$6*Assumptions!$D$153*CHOOSE(Assumptions!$D$121,Pricing!$B$20,Pricing!$B$30,Pricing!$B$40)</f>
        <v>344.837315064695</v>
      </c>
      <c r="M66" s="37" t="n">
        <f aca="false">M30*Pricing!$B$6*Assumptions!$D$153*CHOOSE(Assumptions!$D$121,Pricing!$B$20,Pricing!$B$30,Pricing!$B$40)</f>
        <v>433.575379391598</v>
      </c>
      <c r="N66" s="37" t="n">
        <f aca="false">N30*Pricing!$B$6*Assumptions!$D$153*CHOOSE(Assumptions!$D$121,Pricing!$B$20,Pricing!$B$30,Pricing!$B$40)</f>
        <v>528.371917862892</v>
      </c>
      <c r="O66" s="37" t="n">
        <f aca="false">O30*Pricing!$B$6*Assumptions!$D$153*CHOOSE(Assumptions!$D$121,Pricing!$B$20,Pricing!$B$30,Pricing!$B$40)</f>
        <v>629.014883883524</v>
      </c>
      <c r="P66" s="37" t="n">
        <f aca="false">P30*Pricing!$B$6*Assumptions!$D$153*CHOOSE(Assumptions!$D$121,Pricing!$B$20,Pricing!$B$30,Pricing!$B$40)</f>
        <v>735.299652489267</v>
      </c>
      <c r="Q66" s="37" t="n">
        <f aca="false">Q30*Pricing!$B$6*Assumptions!$D$153*CHOOSE(Assumptions!$D$121,Pricing!$B$20,Pricing!$B$30,Pricing!$B$40)</f>
        <v>847.028760589643</v>
      </c>
      <c r="R66" s="37" t="n">
        <f aca="false">R30*Pricing!$B$6*Assumptions!$D$153*CHOOSE(Assumptions!$D$121,Pricing!$B$20,Pricing!$B$30,Pricing!$B$40)</f>
        <v>964.011656302339</v>
      </c>
      <c r="S66" s="37" t="n">
        <f aca="false">S30*Pricing!$B$6*Assumptions!$D$153*CHOOSE(Assumptions!$D$121,Pricing!$B$20,Pricing!$B$30,Pricing!$B$40)</f>
        <v>1086.06445706092</v>
      </c>
      <c r="T66" s="37" t="n">
        <f aca="false">T30*Pricing!$B$6*Assumptions!$D$153*CHOOSE(Assumptions!$D$121,Pricing!$B$20,Pricing!$B$30,Pricing!$B$40)</f>
        <v>1213.00971618879</v>
      </c>
      <c r="U66" s="37" t="n">
        <f aca="false">U30*Pricing!$B$6*Assumptions!$D$153*CHOOSE(Assumptions!$D$121,Pricing!$B$20,Pricing!$B$30,Pricing!$B$40)</f>
        <v>1344.67619764302</v>
      </c>
      <c r="V66" s="37" t="n">
        <f aca="false">V30*Pricing!$B$6*Assumptions!$D$153*CHOOSE(Assumptions!$D$121,Pricing!$B$20,Pricing!$B$30,Pricing!$B$40)</f>
        <v>1480.89865864218</v>
      </c>
      <c r="W66" s="37" t="n">
        <f aca="false">W30*Pricing!$B$6*Assumptions!$D$153*CHOOSE(Assumptions!$D$121,Pricing!$B$20,Pricing!$B$30,Pricing!$B$40)</f>
        <v>1621.5176399022</v>
      </c>
      <c r="X66" s="37" t="n">
        <f aca="false">X30*Pricing!$B$6*Assumptions!$D$153*CHOOSE(Assumptions!$D$121,Pricing!$B$20,Pricing!$B$30,Pricing!$B$40)</f>
        <v>1766.37926321396</v>
      </c>
      <c r="Y66" s="37" t="n">
        <f aca="false">Y30*Pricing!$B$6*Assumptions!$D$153*CHOOSE(Assumptions!$D$121,Pricing!$B$20,Pricing!$B$30,Pricing!$B$40)</f>
        <v>1915.33503610564</v>
      </c>
      <c r="Z66" s="37" t="n">
        <f aca="false">Z30*Pricing!$B$6*Assumptions!$D$153*CHOOSE(Assumptions!$D$121,Pricing!$B$20,Pricing!$B$30,Pricing!$B$40)</f>
        <v>2068.24166334194</v>
      </c>
      <c r="AA66" s="37" t="n">
        <f aca="false">AA30*Pricing!$B$6*Assumptions!$D$153*CHOOSE(Assumptions!$D$121,Pricing!$B$20,Pricing!$B$30,Pricing!$B$40)</f>
        <v>2224.9608650208</v>
      </c>
      <c r="AB66" s="37" t="n">
        <f aca="false">AB30*Pricing!$B$6*Assumptions!$D$153*CHOOSE(Assumptions!$D$121,Pricing!$B$20,Pricing!$B$30,Pricing!$B$40)</f>
        <v>2385.35920103674</v>
      </c>
      <c r="AC66" s="37" t="n">
        <f aca="false">AC30*Pricing!$B$6*Assumptions!$D$153*CHOOSE(Assumptions!$D$121,Pricing!$B$20,Pricing!$B$30,Pricing!$B$40)</f>
        <v>2549.30790168796</v>
      </c>
      <c r="AD66" s="37" t="n">
        <f aca="false">AD30*Pricing!$B$6*Assumptions!$D$153*CHOOSE(Assumptions!$D$121,Pricing!$B$20,Pricing!$B$30,Pricing!$B$40)</f>
        <v>2716.68270421221</v>
      </c>
      <c r="AE66" s="37" t="n">
        <f aca="false">AE30*Pricing!$B$6*Assumptions!$D$153*CHOOSE(Assumptions!$D$121,Pricing!$B$20,Pricing!$B$30,Pricing!$B$40)</f>
        <v>2887.36369504395</v>
      </c>
      <c r="AF66" s="37" t="n">
        <f aca="false">AF30*Pricing!$B$6*Assumptions!$D$153*CHOOSE(Assumptions!$D$121,Pricing!$B$20,Pricing!$B$30,Pricing!$B$40)</f>
        <v>3061.23515759241</v>
      </c>
      <c r="AG66" s="37" t="n">
        <f aca="false">AG30*Pricing!$B$6*Assumptions!$D$153*CHOOSE(Assumptions!$D$121,Pricing!$B$20,Pricing!$B$30,Pricing!$B$40)</f>
        <v>3238.18542534751</v>
      </c>
      <c r="AH66" s="37" t="n">
        <f aca="false">AH30*Pricing!$B$6*Assumptions!$D$153*CHOOSE(Assumptions!$D$121,Pricing!$B$20,Pricing!$B$30,Pricing!$B$40)</f>
        <v>3418.10674012702</v>
      </c>
      <c r="AI66" s="37" t="n">
        <f aca="false">AI30*Pricing!$B$6*Assumptions!$D$153*CHOOSE(Assumptions!$D$121,Pricing!$B$20,Pricing!$B$30,Pricing!$B$40)</f>
        <v>3600.89511528507</v>
      </c>
      <c r="AJ66" s="37" t="n">
        <f aca="false">AJ30*Pricing!$B$6*Assumptions!$D$153*CHOOSE(Assumptions!$D$121,Pricing!$B$20,Pricing!$B$30,Pricing!$B$40)</f>
        <v>3786.45020370843</v>
      </c>
      <c r="AK66" s="37" t="n">
        <f aca="false">AK30*Pricing!$B$6*Assumptions!$D$153*CHOOSE(Assumptions!$D$121,Pricing!$B$20,Pricing!$B$30,Pricing!$B$40)</f>
        <v>3974.6751704328</v>
      </c>
      <c r="AL66" s="37" t="n">
        <f aca="false">AL30*Pricing!$B$6*Assumptions!$D$153*CHOOSE(Assumptions!$D$121,Pricing!$B$20,Pricing!$B$30,Pricing!$B$40)</f>
        <v>4165.47656971765</v>
      </c>
    </row>
    <row r="67" customFormat="false" ht="15" hidden="false" customHeight="false" outlineLevel="0" collapsed="false">
      <c r="A67" s="9" t="s">
        <v>611</v>
      </c>
      <c r="B67" s="2" t="s">
        <v>105</v>
      </c>
      <c r="C67" s="37" t="n">
        <f aca="false">C31*Pricing!$C$6*Assumptions!$D$153*CHOOSE(Assumptions!$D$121,Pricing!$C$20,Pricing!$C$30,Pricing!$C$40)</f>
        <v>0</v>
      </c>
      <c r="D67" s="37" t="n">
        <f aca="false">D31*Pricing!$C$6*Assumptions!$D$153*CHOOSE(Assumptions!$D$121,Pricing!$C$20,Pricing!$C$30,Pricing!$C$40)</f>
        <v>0</v>
      </c>
      <c r="E67" s="37" t="n">
        <f aca="false">E31*Pricing!$C$6*Assumptions!$D$153*CHOOSE(Assumptions!$D$121,Pricing!$C$20,Pricing!$C$30,Pricing!$C$40)</f>
        <v>0</v>
      </c>
      <c r="F67" s="37" t="n">
        <f aca="false">F31*Pricing!$C$6*Assumptions!$D$153*CHOOSE(Assumptions!$D$121,Pricing!$C$20,Pricing!$C$30,Pricing!$C$40)</f>
        <v>0</v>
      </c>
      <c r="G67" s="37" t="n">
        <f aca="false">G31*Pricing!$C$6*Assumptions!$D$153*CHOOSE(Assumptions!$D$121,Pricing!$C$20,Pricing!$C$30,Pricing!$C$40)</f>
        <v>0</v>
      </c>
      <c r="H67" s="37" t="n">
        <f aca="false">H31*Pricing!$C$6*Assumptions!$D$153*CHOOSE(Assumptions!$D$121,Pricing!$C$20,Pricing!$C$30,Pricing!$C$40)</f>
        <v>0</v>
      </c>
      <c r="I67" s="37" t="n">
        <f aca="false">I31*Pricing!$C$6*Assumptions!$D$153*CHOOSE(Assumptions!$D$121,Pricing!$C$20,Pricing!$C$30,Pricing!$C$40)</f>
        <v>40.0694776911765</v>
      </c>
      <c r="J67" s="37" t="n">
        <f aca="false">J31*Pricing!$C$6*Assumptions!$D$153*CHOOSE(Assumptions!$D$121,Pricing!$C$20,Pricing!$C$30,Pricing!$C$40)</f>
        <v>89.8224124910539</v>
      </c>
      <c r="K67" s="37" t="n">
        <f aca="false">K31*Pricing!$C$6*Assumptions!$D$153*CHOOSE(Assumptions!$D$121,Pricing!$C$20,Pricing!$C$30,Pricing!$C$40)</f>
        <v>149.016717971915</v>
      </c>
      <c r="L67" s="37" t="n">
        <f aca="false">L31*Pricing!$C$6*Assumptions!$D$153*CHOOSE(Assumptions!$D$121,Pricing!$C$20,Pricing!$C$30,Pricing!$C$40)</f>
        <v>217.416359866735</v>
      </c>
      <c r="M67" s="37" t="n">
        <f aca="false">M31*Pricing!$C$6*Assumptions!$D$153*CHOOSE(Assumptions!$D$121,Pricing!$C$20,Pricing!$C$30,Pricing!$C$40)</f>
        <v>294.791204765164</v>
      </c>
      <c r="N67" s="37" t="n">
        <f aca="false">N31*Pricing!$C$6*Assumptions!$D$153*CHOOSE(Assumptions!$D$121,Pricing!$C$20,Pricing!$C$30,Pricing!$C$40)</f>
        <v>380.916872592114</v>
      </c>
      <c r="O67" s="37" t="n">
        <f aca="false">O31*Pricing!$C$6*Assumptions!$D$153*CHOOSE(Assumptions!$D$121,Pricing!$C$20,Pricing!$C$30,Pricing!$C$40)</f>
        <v>475.57459277437</v>
      </c>
      <c r="P67" s="37" t="n">
        <f aca="false">P31*Pricing!$C$6*Assumptions!$D$153*CHOOSE(Assumptions!$D$121,Pricing!$C$20,Pricing!$C$30,Pricing!$C$40)</f>
        <v>578.55106400305</v>
      </c>
      <c r="Q67" s="37" t="n">
        <f aca="false">Q31*Pricing!$C$6*Assumptions!$D$153*CHOOSE(Assumptions!$D$121,Pricing!$C$20,Pricing!$C$30,Pricing!$C$40)</f>
        <v>689.638317501993</v>
      </c>
      <c r="R67" s="37" t="n">
        <f aca="false">R31*Pricing!$C$6*Assumptions!$D$153*CHOOSE(Assumptions!$D$121,Pricing!$C$20,Pricing!$C$30,Pricing!$C$40)</f>
        <v>808.633583714443</v>
      </c>
      <c r="S67" s="37" t="n">
        <f aca="false">S31*Pricing!$C$6*Assumptions!$D$153*CHOOSE(Assumptions!$D$121,Pricing!$C$20,Pricing!$C$30,Pricing!$C$40)</f>
        <v>935.339162322562</v>
      </c>
      <c r="T67" s="37" t="n">
        <f aca="false">T31*Pricing!$C$6*Assumptions!$D$153*CHOOSE(Assumptions!$D$121,Pricing!$C$20,Pricing!$C$30,Pricing!$C$40)</f>
        <v>1069.56229551646</v>
      </c>
      <c r="U67" s="37" t="n">
        <f aca="false">U31*Pricing!$C$6*Assumptions!$D$153*CHOOSE(Assumptions!$D$121,Pricing!$C$20,Pricing!$C$30,Pricing!$C$40)</f>
        <v>1211.11504443149</v>
      </c>
      <c r="V67" s="37" t="n">
        <f aca="false">V31*Pricing!$C$6*Assumptions!$D$153*CHOOSE(Assumptions!$D$121,Pricing!$C$20,Pricing!$C$30,Pricing!$C$40)</f>
        <v>1359.81416867462</v>
      </c>
      <c r="W67" s="37" t="n">
        <f aca="false">W31*Pricing!$C$6*Assumptions!$D$153*CHOOSE(Assumptions!$D$121,Pricing!$C$20,Pricing!$C$30,Pricing!$C$40)</f>
        <v>1515.48100886266</v>
      </c>
      <c r="X67" s="37" t="n">
        <f aca="false">X31*Pricing!$C$6*Assumptions!$D$153*CHOOSE(Assumptions!$D$121,Pricing!$C$20,Pricing!$C$30,Pricing!$C$40)</f>
        <v>1677.94137209698</v>
      </c>
      <c r="Y67" s="37" t="n">
        <f aca="false">Y31*Pricing!$C$6*Assumptions!$D$153*CHOOSE(Assumptions!$D$121,Pricing!$C$20,Pricing!$C$30,Pricing!$C$40)</f>
        <v>1847.02542030141</v>
      </c>
      <c r="Z67" s="37" t="n">
        <f aca="false">Z31*Pricing!$C$6*Assumptions!$D$153*CHOOSE(Assumptions!$D$121,Pricing!$C$20,Pricing!$C$30,Pricing!$C$40)</f>
        <v>2022.56756135172</v>
      </c>
      <c r="AA67" s="37" t="n">
        <f aca="false">AA31*Pricing!$C$6*Assumptions!$D$153*CHOOSE(Assumptions!$D$121,Pricing!$C$20,Pricing!$C$30,Pricing!$C$40)</f>
        <v>2204.40634292675</v>
      </c>
      <c r="AB67" s="37" t="n">
        <f aca="false">AB31*Pricing!$C$6*Assumptions!$D$153*CHOOSE(Assumptions!$D$121,Pricing!$C$20,Pricing!$C$30,Pricing!$C$40)</f>
        <v>2392.38434901339</v>
      </c>
      <c r="AC67" s="37" t="n">
        <f aca="false">AC31*Pricing!$C$6*Assumptions!$D$153*CHOOSE(Assumptions!$D$121,Pricing!$C$20,Pricing!$C$30,Pricing!$C$40)</f>
        <v>2586.34809899884</v>
      </c>
      <c r="AD67" s="37" t="n">
        <f aca="false">AD31*Pricing!$C$6*Assumptions!$D$153*CHOOSE(Assumptions!$D$121,Pricing!$C$20,Pricing!$C$30,Pricing!$C$40)</f>
        <v>2786.14794928563</v>
      </c>
      <c r="AE67" s="37" t="n">
        <f aca="false">AE31*Pricing!$C$6*Assumptions!$D$153*CHOOSE(Assumptions!$D$121,Pricing!$C$20,Pricing!$C$30,Pricing!$C$40)</f>
        <v>2991.63799736623</v>
      </c>
      <c r="AF67" s="37" t="n">
        <f aca="false">AF31*Pricing!$C$6*Assumptions!$D$153*CHOOSE(Assumptions!$D$121,Pricing!$C$20,Pricing!$C$30,Pricing!$C$40)</f>
        <v>3202.6759882958</v>
      </c>
      <c r="AG67" s="37" t="n">
        <f aca="false">AG31*Pricing!$C$6*Assumptions!$D$153*CHOOSE(Assumptions!$D$121,Pricing!$C$20,Pricing!$C$30,Pricing!$C$40)</f>
        <v>3419.12322350311</v>
      </c>
      <c r="AH67" s="37" t="n">
        <f aca="false">AH31*Pricing!$C$6*Assumptions!$D$153*CHOOSE(Assumptions!$D$121,Pricing!$C$20,Pricing!$C$30,Pricing!$C$40)</f>
        <v>3640.84447188122</v>
      </c>
      <c r="AI67" s="37" t="n">
        <f aca="false">AI31*Pricing!$C$6*Assumptions!$D$153*CHOOSE(Assumptions!$D$121,Pricing!$C$20,Pricing!$C$30,Pricing!$C$40)</f>
        <v>3867.70788310086</v>
      </c>
      <c r="AJ67" s="37" t="n">
        <f aca="false">AJ31*Pricing!$C$6*Assumptions!$D$153*CHOOSE(Assumptions!$D$121,Pricing!$C$20,Pricing!$C$30,Pricing!$C$40)</f>
        <v>4099.58490309098</v>
      </c>
      <c r="AK67" s="37" t="n">
        <f aca="false">AK31*Pricing!$C$6*Assumptions!$D$153*CHOOSE(Assumptions!$D$121,Pricing!$C$20,Pricing!$C$30,Pricing!$C$40)</f>
        <v>4336.35019163234</v>
      </c>
      <c r="AL67" s="37" t="n">
        <f aca="false">AL31*Pricing!$C$6*Assumptions!$D$153*CHOOSE(Assumptions!$D$121,Pricing!$C$20,Pricing!$C$30,Pricing!$C$40)</f>
        <v>4577.88154201114</v>
      </c>
    </row>
    <row r="68" customFormat="false" ht="15" hidden="false" customHeight="false" outlineLevel="0" collapsed="false">
      <c r="A68" s="9" t="s">
        <v>612</v>
      </c>
      <c r="B68" s="2" t="s">
        <v>105</v>
      </c>
      <c r="C68" s="37" t="n">
        <f aca="false">C32*Pricing!$D$6*Assumptions!$D$153*CHOOSE(Assumptions!$D$121,Pricing!$D$20,Pricing!$D$30,Pricing!$D$40)</f>
        <v>0</v>
      </c>
      <c r="D68" s="37" t="n">
        <f aca="false">D32*Pricing!$D$6*Assumptions!$D$153*CHOOSE(Assumptions!$D$121,Pricing!$D$20,Pricing!$D$30,Pricing!$D$40)</f>
        <v>0</v>
      </c>
      <c r="E68" s="37" t="n">
        <f aca="false">E32*Pricing!$D$6*Assumptions!$D$153*CHOOSE(Assumptions!$D$121,Pricing!$D$20,Pricing!$D$30,Pricing!$D$40)</f>
        <v>0</v>
      </c>
      <c r="F68" s="37" t="n">
        <f aca="false">F32*Pricing!$D$6*Assumptions!$D$153*CHOOSE(Assumptions!$D$121,Pricing!$D$20,Pricing!$D$30,Pricing!$D$40)</f>
        <v>0</v>
      </c>
      <c r="G68" s="37" t="n">
        <f aca="false">G32*Pricing!$D$6*Assumptions!$D$153*CHOOSE(Assumptions!$D$121,Pricing!$D$20,Pricing!$D$30,Pricing!$D$40)</f>
        <v>0</v>
      </c>
      <c r="H68" s="37" t="n">
        <f aca="false">H32*Pricing!$D$6*Assumptions!$D$153*CHOOSE(Assumptions!$D$121,Pricing!$D$20,Pricing!$D$30,Pricing!$D$40)</f>
        <v>0</v>
      </c>
      <c r="I68" s="37" t="n">
        <f aca="false">I32*Pricing!$D$6*Assumptions!$D$153*CHOOSE(Assumptions!$D$121,Pricing!$D$20,Pricing!$D$30,Pricing!$D$40)</f>
        <v>0</v>
      </c>
      <c r="J68" s="37" t="n">
        <f aca="false">J32*Pricing!$D$6*Assumptions!$D$153*CHOOSE(Assumptions!$D$121,Pricing!$D$20,Pricing!$D$30,Pricing!$D$40)</f>
        <v>0</v>
      </c>
      <c r="K68" s="37" t="n">
        <f aca="false">K32*Pricing!$D$6*Assumptions!$D$153*CHOOSE(Assumptions!$D$121,Pricing!$D$20,Pricing!$D$30,Pricing!$D$40)</f>
        <v>45.3219172058824</v>
      </c>
      <c r="L68" s="37" t="n">
        <f aca="false">L32*Pricing!$D$6*Assumptions!$D$153*CHOOSE(Assumptions!$D$121,Pricing!$D$20,Pricing!$D$30,Pricing!$D$40)</f>
        <v>96.9889028205882</v>
      </c>
      <c r="M68" s="37" t="n">
        <f aca="false">M32*Pricing!$D$6*Assumptions!$D$153*CHOOSE(Assumptions!$D$121,Pricing!$D$20,Pricing!$D$30,Pricing!$D$40)</f>
        <v>154.937506160029</v>
      </c>
      <c r="N68" s="37" t="n">
        <f aca="false">N32*Pricing!$D$6*Assumptions!$D$153*CHOOSE(Assumptions!$D$121,Pricing!$D$20,Pricing!$D$30,Pricing!$D$40)</f>
        <v>219.104911046959</v>
      </c>
      <c r="O68" s="37" t="n">
        <f aca="false">O32*Pricing!$D$6*Assumptions!$D$153*CHOOSE(Assumptions!$D$121,Pricing!$D$20,Pricing!$D$30,Pricing!$D$40)</f>
        <v>289.428929465901</v>
      </c>
      <c r="P68" s="37" t="n">
        <f aca="false">P32*Pricing!$D$6*Assumptions!$D$153*CHOOSE(Assumptions!$D$121,Pricing!$D$20,Pricing!$D$30,Pricing!$D$40)</f>
        <v>365.847995281536</v>
      </c>
      <c r="Q68" s="37" t="n">
        <f aca="false">Q32*Pricing!$D$6*Assumptions!$D$153*CHOOSE(Assumptions!$D$121,Pricing!$D$20,Pricing!$D$30,Pricing!$D$40)</f>
        <v>448.301158019897</v>
      </c>
      <c r="R68" s="37" t="n">
        <f aca="false">R32*Pricing!$D$6*Assumptions!$D$153*CHOOSE(Assumptions!$D$121,Pricing!$D$20,Pricing!$D$30,Pricing!$D$40)</f>
        <v>536.728076711757</v>
      </c>
      <c r="S68" s="37" t="n">
        <f aca="false">S32*Pricing!$D$6*Assumptions!$D$153*CHOOSE(Assumptions!$D$121,Pricing!$D$20,Pricing!$D$30,Pricing!$D$40)</f>
        <v>631.06901379758</v>
      </c>
      <c r="T68" s="37" t="n">
        <f aca="false">T32*Pricing!$D$6*Assumptions!$D$153*CHOOSE(Assumptions!$D$121,Pricing!$D$20,Pricing!$D$30,Pricing!$D$40)</f>
        <v>731.264829093428</v>
      </c>
      <c r="U68" s="37" t="n">
        <f aca="false">U32*Pricing!$D$6*Assumptions!$D$153*CHOOSE(Assumptions!$D$121,Pricing!$D$20,Pricing!$D$30,Pricing!$D$40)</f>
        <v>837.2569738172</v>
      </c>
      <c r="V68" s="37" t="n">
        <f aca="false">V32*Pricing!$D$6*Assumptions!$D$153*CHOOSE(Assumptions!$D$121,Pricing!$D$20,Pricing!$D$30,Pricing!$D$40)</f>
        <v>948.987484674616</v>
      </c>
      <c r="W68" s="37" t="n">
        <f aca="false">W32*Pricing!$D$6*Assumptions!$D$153*CHOOSE(Assumptions!$D$121,Pricing!$D$20,Pricing!$D$30,Pricing!$D$40)</f>
        <v>1066.39897800434</v>
      </c>
      <c r="X68" s="37" t="n">
        <f aca="false">X32*Pricing!$D$6*Assumptions!$D$153*CHOOSE(Assumptions!$D$121,Pricing!$D$20,Pricing!$D$30,Pricing!$D$40)</f>
        <v>1189.43464398165</v>
      </c>
      <c r="Y68" s="37" t="n">
        <f aca="false">Y32*Pricing!$D$6*Assumptions!$D$153*CHOOSE(Assumptions!$D$121,Pricing!$D$20,Pricing!$D$30,Pricing!$D$40)</f>
        <v>1318.03824088007</v>
      </c>
      <c r="Z68" s="37" t="n">
        <f aca="false">Z32*Pricing!$D$6*Assumptions!$D$153*CHOOSE(Assumptions!$D$121,Pricing!$D$20,Pricing!$D$30,Pricing!$D$40)</f>
        <v>1452.15408939039</v>
      </c>
      <c r="AA68" s="37" t="n">
        <f aca="false">AA32*Pricing!$D$6*Assumptions!$D$153*CHOOSE(Assumptions!$D$121,Pricing!$D$20,Pricing!$D$30,Pricing!$D$40)</f>
        <v>1591.72706699648</v>
      </c>
      <c r="AB68" s="37" t="n">
        <f aca="false">AB32*Pricing!$D$6*Assumptions!$D$153*CHOOSE(Assumptions!$D$121,Pricing!$D$20,Pricing!$D$30,Pricing!$D$40)</f>
        <v>1804.68547821622</v>
      </c>
      <c r="AC68" s="37" t="n">
        <f aca="false">AC32*Pricing!$D$6*Assumptions!$D$153*CHOOSE(Assumptions!$D$121,Pricing!$D$20,Pricing!$D$30,Pricing!$D$40)</f>
        <v>2022.31259290465</v>
      </c>
      <c r="AD68" s="37" t="n">
        <f aca="false">AD32*Pricing!$D$6*Assumptions!$D$153*CHOOSE(Assumptions!$D$121,Pricing!$D$20,Pricing!$D$30,Pricing!$D$40)</f>
        <v>2244.56172402707</v>
      </c>
      <c r="AE68" s="37" t="n">
        <f aca="false">AE32*Pricing!$D$6*Assumptions!$D$153*CHOOSE(Assumptions!$D$121,Pricing!$D$20,Pricing!$D$30,Pricing!$D$40)</f>
        <v>2471.38665141916</v>
      </c>
      <c r="AF68" s="37" t="n">
        <f aca="false">AF32*Pricing!$D$6*Assumptions!$D$153*CHOOSE(Assumptions!$D$121,Pricing!$D$20,Pricing!$D$30,Pricing!$D$40)</f>
        <v>2702.7416171182</v>
      </c>
      <c r="AG68" s="37" t="n">
        <f aca="false">AG32*Pricing!$D$6*Assumptions!$D$153*CHOOSE(Assumptions!$D$121,Pricing!$D$20,Pricing!$D$30,Pricing!$D$40)</f>
        <v>2938.58132074113</v>
      </c>
      <c r="AH68" s="37" t="n">
        <f aca="false">AH32*Pricing!$D$6*Assumptions!$D$153*CHOOSE(Assumptions!$D$121,Pricing!$D$20,Pricing!$D$30,Pricing!$D$40)</f>
        <v>3178.86091490872</v>
      </c>
      <c r="AI68" s="37" t="n">
        <f aca="false">AI32*Pricing!$D$6*Assumptions!$D$153*CHOOSE(Assumptions!$D$121,Pricing!$D$20,Pricing!$D$30,Pricing!$D$40)</f>
        <v>3423.53600071552</v>
      </c>
      <c r="AJ68" s="37" t="n">
        <f aca="false">AJ32*Pricing!$D$6*Assumptions!$D$153*CHOOSE(Assumptions!$D$121,Pricing!$D$20,Pricing!$D$30,Pricing!$D$40)</f>
        <v>3672.56262324513</v>
      </c>
      <c r="AK68" s="37" t="n">
        <f aca="false">AK32*Pricing!$D$6*Assumptions!$D$153*CHOOSE(Assumptions!$D$121,Pricing!$D$20,Pricing!$D$30,Pricing!$D$40)</f>
        <v>3925.89726713032</v>
      </c>
      <c r="AL68" s="37" t="n">
        <f aca="false">AL32*Pricing!$D$6*Assumptions!$D$153*CHOOSE(Assumptions!$D$121,Pricing!$D$20,Pricing!$D$30,Pricing!$D$40)</f>
        <v>4183.49685215755</v>
      </c>
    </row>
    <row r="69" customFormat="false" ht="15" hidden="false" customHeight="false" outlineLevel="0" collapsed="false">
      <c r="A69" s="9" t="s">
        <v>613</v>
      </c>
      <c r="B69" s="2" t="s">
        <v>105</v>
      </c>
      <c r="C69" s="37" t="n">
        <f aca="false">C33*Pricing!$E$6*Assumptions!$D$153*CHOOSE(Assumptions!$D$121,Pricing!$E$20,Pricing!$E$30,Pricing!$E$40)</f>
        <v>0</v>
      </c>
      <c r="D69" s="37" t="n">
        <f aca="false">D33*Pricing!$E$6*Assumptions!$D$153*CHOOSE(Assumptions!$D$121,Pricing!$E$20,Pricing!$E$30,Pricing!$E$40)</f>
        <v>0</v>
      </c>
      <c r="E69" s="37" t="n">
        <f aca="false">E33*Pricing!$E$6*Assumptions!$D$153*CHOOSE(Assumptions!$D$121,Pricing!$E$20,Pricing!$E$30,Pricing!$E$40)</f>
        <v>0</v>
      </c>
      <c r="F69" s="37" t="n">
        <f aca="false">F33*Pricing!$E$6*Assumptions!$D$153*CHOOSE(Assumptions!$D$121,Pricing!$E$20,Pricing!$E$30,Pricing!$E$40)</f>
        <v>0</v>
      </c>
      <c r="G69" s="37" t="n">
        <f aca="false">G33*Pricing!$E$6*Assumptions!$D$153*CHOOSE(Assumptions!$D$121,Pricing!$E$20,Pricing!$E$30,Pricing!$E$40)</f>
        <v>0</v>
      </c>
      <c r="H69" s="37" t="n">
        <f aca="false">H33*Pricing!$E$6*Assumptions!$D$153*CHOOSE(Assumptions!$D$121,Pricing!$E$20,Pricing!$E$30,Pricing!$E$40)</f>
        <v>0</v>
      </c>
      <c r="I69" s="37" t="n">
        <f aca="false">I33*Pricing!$E$6*Assumptions!$D$153*CHOOSE(Assumptions!$D$121,Pricing!$E$20,Pricing!$E$30,Pricing!$E$40)</f>
        <v>0</v>
      </c>
      <c r="J69" s="37" t="n">
        <f aca="false">J33*Pricing!$E$6*Assumptions!$D$153*CHOOSE(Assumptions!$D$121,Pricing!$E$20,Pricing!$E$30,Pricing!$E$40)</f>
        <v>0</v>
      </c>
      <c r="K69" s="37" t="n">
        <f aca="false">K33*Pricing!$E$6*Assumptions!$D$153*CHOOSE(Assumptions!$D$121,Pricing!$E$20,Pricing!$E$30,Pricing!$E$40)</f>
        <v>0</v>
      </c>
      <c r="L69" s="37" t="n">
        <f aca="false">L33*Pricing!$E$6*Assumptions!$D$153*CHOOSE(Assumptions!$D$121,Pricing!$E$20,Pricing!$E$30,Pricing!$E$40)</f>
        <v>0</v>
      </c>
      <c r="M69" s="37" t="n">
        <f aca="false">M33*Pricing!$E$6*Assumptions!$D$153*CHOOSE(Assumptions!$D$121,Pricing!$E$20,Pricing!$E$30,Pricing!$E$40)</f>
        <v>0</v>
      </c>
      <c r="N69" s="37" t="n">
        <f aca="false">N33*Pricing!$E$6*Assumptions!$D$153*CHOOSE(Assumptions!$D$121,Pricing!$E$20,Pricing!$E$30,Pricing!$E$40)</f>
        <v>76.475839572549</v>
      </c>
      <c r="O69" s="37" t="n">
        <f aca="false">O33*Pricing!$E$6*Assumptions!$D$153*CHOOSE(Assumptions!$D$121,Pricing!$E$20,Pricing!$E$30,Pricing!$E$40)</f>
        <v>160.140408064918</v>
      </c>
      <c r="P69" s="37" t="n">
        <f aca="false">P33*Pricing!$E$6*Assumptions!$D$153*CHOOSE(Assumptions!$D$121,Pricing!$E$20,Pricing!$E$30,Pricing!$E$40)</f>
        <v>250.950573103587</v>
      </c>
      <c r="Q69" s="37" t="n">
        <f aca="false">Q33*Pricing!$E$6*Assumptions!$D$153*CHOOSE(Assumptions!$D$121,Pricing!$E$20,Pricing!$E$30,Pricing!$E$40)</f>
        <v>348.863461109279</v>
      </c>
      <c r="R69" s="37" t="n">
        <f aca="false">R33*Pricing!$E$6*Assumptions!$D$153*CHOOSE(Assumptions!$D$121,Pricing!$E$20,Pricing!$E$30,Pricing!$E$40)</f>
        <v>453.836455744192</v>
      </c>
      <c r="S69" s="37" t="n">
        <f aca="false">S33*Pricing!$E$6*Assumptions!$D$153*CHOOSE(Assumptions!$D$121,Pricing!$E$20,Pricing!$E$30,Pricing!$E$40)</f>
        <v>565.827196368551</v>
      </c>
      <c r="T69" s="37" t="n">
        <f aca="false">T33*Pricing!$E$6*Assumptions!$D$153*CHOOSE(Assumptions!$D$121,Pricing!$E$20,Pricing!$E$30,Pricing!$E$40)</f>
        <v>684.793576506418</v>
      </c>
      <c r="U69" s="37" t="n">
        <f aca="false">U33*Pricing!$E$6*Assumptions!$D$153*CHOOSE(Assumptions!$D$121,Pricing!$E$20,Pricing!$E$30,Pricing!$E$40)</f>
        <v>810.693742320712</v>
      </c>
      <c r="V69" s="37" t="n">
        <f aca="false">V33*Pricing!$E$6*Assumptions!$D$153*CHOOSE(Assumptions!$D$121,Pricing!$E$20,Pricing!$E$30,Pricing!$E$40)</f>
        <v>943.486091097376</v>
      </c>
      <c r="W69" s="37" t="n">
        <f aca="false">W33*Pricing!$E$6*Assumptions!$D$153*CHOOSE(Assumptions!$D$121,Pricing!$E$20,Pricing!$E$30,Pricing!$E$40)</f>
        <v>1083.12926973864</v>
      </c>
      <c r="X69" s="37" t="n">
        <f aca="false">X33*Pricing!$E$6*Assumptions!$D$153*CHOOSE(Assumptions!$D$121,Pricing!$E$20,Pricing!$E$30,Pricing!$E$40)</f>
        <v>1229.5821732653</v>
      </c>
      <c r="Y69" s="37" t="n">
        <f aca="false">Y33*Pricing!$E$6*Assumptions!$D$153*CHOOSE(Assumptions!$D$121,Pricing!$E$20,Pricing!$E$30,Pricing!$E$40)</f>
        <v>1382.80394332806</v>
      </c>
      <c r="Z69" s="37" t="n">
        <f aca="false">Z33*Pricing!$E$6*Assumptions!$D$153*CHOOSE(Assumptions!$D$121,Pricing!$E$20,Pricing!$E$30,Pricing!$E$40)</f>
        <v>1542.7539667277</v>
      </c>
      <c r="AA69" s="37" t="n">
        <f aca="false">AA33*Pricing!$E$6*Assumptions!$D$153*CHOOSE(Assumptions!$D$121,Pricing!$E$20,Pricing!$E$30,Pricing!$E$40)</f>
        <v>1709.3918739442</v>
      </c>
      <c r="AB69" s="37" t="n">
        <f aca="false">AB33*Pricing!$E$6*Assumptions!$D$153*CHOOSE(Assumptions!$D$121,Pricing!$E$20,Pricing!$E$30,Pricing!$E$40)</f>
        <v>1930.47493740749</v>
      </c>
      <c r="AC69" s="37" t="n">
        <f aca="false">AC33*Pricing!$E$6*Assumptions!$D$153*CHOOSE(Assumptions!$D$121,Pricing!$E$20,Pricing!$E$30,Pricing!$E$40)</f>
        <v>2157.87908644727</v>
      </c>
      <c r="AD69" s="37" t="n">
        <f aca="false">AD33*Pricing!$E$6*Assumptions!$D$153*CHOOSE(Assumptions!$D$121,Pricing!$E$20,Pricing!$E$30,Pricing!$E$40)</f>
        <v>2391.56639455005</v>
      </c>
      <c r="AE69" s="37" t="n">
        <f aca="false">AE33*Pricing!$E$6*Assumptions!$D$153*CHOOSE(Assumptions!$D$121,Pricing!$E$20,Pricing!$E$30,Pricing!$E$40)</f>
        <v>2631.49916276148</v>
      </c>
      <c r="AF69" s="37" t="n">
        <f aca="false">AF33*Pricing!$E$6*Assumptions!$D$153*CHOOSE(Assumptions!$D$121,Pricing!$E$20,Pricing!$E$30,Pricing!$E$40)</f>
        <v>2877.63991832089</v>
      </c>
      <c r="AG69" s="37" t="n">
        <f aca="false">AG33*Pricing!$E$6*Assumptions!$D$153*CHOOSE(Assumptions!$D$121,Pricing!$E$20,Pricing!$E$30,Pricing!$E$40)</f>
        <v>3129.9514133042</v>
      </c>
      <c r="AH69" s="37" t="n">
        <f aca="false">AH33*Pricing!$E$6*Assumptions!$D$153*CHOOSE(Assumptions!$D$121,Pricing!$E$20,Pricing!$E$30,Pricing!$E$40)</f>
        <v>3388.39662327486</v>
      </c>
      <c r="AI69" s="37" t="n">
        <f aca="false">AI33*Pricing!$E$6*Assumptions!$D$153*CHOOSE(Assumptions!$D$121,Pricing!$E$20,Pricing!$E$30,Pricing!$E$40)</f>
        <v>3652.93874594296</v>
      </c>
      <c r="AJ69" s="37" t="n">
        <f aca="false">AJ33*Pricing!$E$6*Assumptions!$D$153*CHOOSE(Assumptions!$D$121,Pricing!$E$20,Pricing!$E$30,Pricing!$E$40)</f>
        <v>3923.5411998323</v>
      </c>
      <c r="AK69" s="37" t="n">
        <f aca="false">AK33*Pricing!$E$6*Assumptions!$D$153*CHOOSE(Assumptions!$D$121,Pricing!$E$20,Pricing!$E$30,Pricing!$E$40)</f>
        <v>4200.16762295556</v>
      </c>
      <c r="AL69" s="37" t="n">
        <f aca="false">AL33*Pricing!$E$6*Assumptions!$D$153*CHOOSE(Assumptions!$D$121,Pricing!$E$20,Pricing!$E$30,Pricing!$E$40)</f>
        <v>4482.78187149734</v>
      </c>
    </row>
    <row r="70" customFormat="false" ht="15" hidden="false" customHeight="false" outlineLevel="0" collapsed="false">
      <c r="A70" s="9" t="s">
        <v>614</v>
      </c>
      <c r="B70" s="2" t="s">
        <v>105</v>
      </c>
      <c r="C70" s="37" t="n">
        <f aca="false">C30*Pricing!$B$6*Assumptions!$D$154*CHOOSE(Assumptions!$D$121,Pricing!$B$20,Pricing!$B$30,Pricing!$B$40)+C31*Pricing!$C$6*Assumptions!$D$154*CHOOSE(Assumptions!$D$121,Pricing!$C$20,Pricing!$C$30,Pricing!$C$40)+C32*Pricing!$D$6*Assumptions!$D$154*CHOOSE(Assumptions!$D$121,Pricing!$D$20,Pricing!$D$30,Pricing!$D$40)+C33*Pricing!$E$6*Assumptions!$D$154*CHOOSE(Assumptions!$D$121,Pricing!$E$20,Pricing!$E$30,Pricing!$E$40)</f>
        <v>0</v>
      </c>
      <c r="D70" s="37" t="n">
        <f aca="false">D30*Pricing!$B$6*Assumptions!$D$154*CHOOSE(Assumptions!$D$121,Pricing!$B$20,Pricing!$B$30,Pricing!$B$40)+D31*Pricing!$C$6*Assumptions!$D$154*CHOOSE(Assumptions!$D$121,Pricing!$C$20,Pricing!$C$30,Pricing!$C$40)+D32*Pricing!$D$6*Assumptions!$D$154*CHOOSE(Assumptions!$D$121,Pricing!$D$20,Pricing!$D$30,Pricing!$D$40)+D33*Pricing!$E$6*Assumptions!$D$154*CHOOSE(Assumptions!$D$121,Pricing!$E$20,Pricing!$E$30,Pricing!$E$40)</f>
        <v>0</v>
      </c>
      <c r="E70" s="37" t="n">
        <f aca="false">E30*Pricing!$B$6*Assumptions!$D$154*CHOOSE(Assumptions!$D$121,Pricing!$B$20,Pricing!$B$30,Pricing!$B$40)+E31*Pricing!$C$6*Assumptions!$D$154*CHOOSE(Assumptions!$D$121,Pricing!$C$20,Pricing!$C$30,Pricing!$C$40)+E32*Pricing!$D$6*Assumptions!$D$154*CHOOSE(Assumptions!$D$121,Pricing!$D$20,Pricing!$D$30,Pricing!$D$40)+E33*Pricing!$E$6*Assumptions!$D$154*CHOOSE(Assumptions!$D$121,Pricing!$E$20,Pricing!$E$30,Pricing!$E$40)</f>
        <v>0</v>
      </c>
      <c r="F70" s="37" t="n">
        <f aca="false">F30*Pricing!$B$6*Assumptions!$D$154*CHOOSE(Assumptions!$D$121,Pricing!$B$20,Pricing!$B$30,Pricing!$B$40)+F31*Pricing!$C$6*Assumptions!$D$154*CHOOSE(Assumptions!$D$121,Pricing!$C$20,Pricing!$C$30,Pricing!$C$40)+F32*Pricing!$D$6*Assumptions!$D$154*CHOOSE(Assumptions!$D$121,Pricing!$D$20,Pricing!$D$30,Pricing!$D$40)+F33*Pricing!$E$6*Assumptions!$D$154*CHOOSE(Assumptions!$D$121,Pricing!$E$20,Pricing!$E$30,Pricing!$E$40)</f>
        <v>0</v>
      </c>
      <c r="G70" s="37" t="n">
        <f aca="false">G30*Pricing!$B$6*Assumptions!$D$154*CHOOSE(Assumptions!$D$121,Pricing!$B$20,Pricing!$B$30,Pricing!$B$40)+G31*Pricing!$C$6*Assumptions!$D$154*CHOOSE(Assumptions!$D$121,Pricing!$C$20,Pricing!$C$30,Pricing!$C$40)+G32*Pricing!$D$6*Assumptions!$D$154*CHOOSE(Assumptions!$D$121,Pricing!$D$20,Pricing!$D$30,Pricing!$D$40)+G33*Pricing!$E$6*Assumptions!$D$154*CHOOSE(Assumptions!$D$121,Pricing!$E$20,Pricing!$E$30,Pricing!$E$40)</f>
        <v>0</v>
      </c>
      <c r="H70" s="37" t="n">
        <f aca="false">H30*Pricing!$B$6*Assumptions!$D$154*CHOOSE(Assumptions!$D$121,Pricing!$B$20,Pricing!$B$30,Pricing!$B$40)+H31*Pricing!$C$6*Assumptions!$D$154*CHOOSE(Assumptions!$D$121,Pricing!$C$20,Pricing!$C$30,Pricing!$C$40)+H32*Pricing!$D$6*Assumptions!$D$154*CHOOSE(Assumptions!$D$121,Pricing!$D$20,Pricing!$D$30,Pricing!$D$40)+H33*Pricing!$E$6*Assumptions!$D$154*CHOOSE(Assumptions!$D$121,Pricing!$E$20,Pricing!$E$30,Pricing!$E$40)</f>
        <v>4.229679875</v>
      </c>
      <c r="I70" s="37" t="n">
        <f aca="false">I30*Pricing!$B$6*Assumptions!$D$154*CHOOSE(Assumptions!$D$121,Pricing!$B$20,Pricing!$B$30,Pricing!$B$40)+I31*Pricing!$C$6*Assumptions!$D$154*CHOOSE(Assumptions!$D$121,Pricing!$C$20,Pricing!$C$30,Pricing!$C$40)+I32*Pricing!$D$6*Assumptions!$D$154*CHOOSE(Assumptions!$D$121,Pricing!$D$20,Pricing!$D$30,Pricing!$D$40)+I33*Pricing!$E$6*Assumptions!$D$154*CHOOSE(Assumptions!$D$121,Pricing!$E$20,Pricing!$E$30,Pricing!$E$40)</f>
        <v>12.0985351149142</v>
      </c>
      <c r="J70" s="37" t="n">
        <f aca="false">J30*Pricing!$B$6*Assumptions!$D$154*CHOOSE(Assumptions!$D$121,Pricing!$B$20,Pricing!$B$30,Pricing!$B$40)+J31*Pricing!$C$6*Assumptions!$D$154*CHOOSE(Assumptions!$D$121,Pricing!$C$20,Pricing!$C$30,Pricing!$C$40)+J32*Pricing!$D$6*Assumptions!$D$154*CHOOSE(Assumptions!$D$121,Pricing!$D$20,Pricing!$D$30,Pricing!$D$40)+J33*Pricing!$E$6*Assumptions!$D$154*CHOOSE(Assumptions!$D$121,Pricing!$E$20,Pricing!$E$30,Pricing!$E$40)</f>
        <v>21.2496877463334</v>
      </c>
      <c r="K70" s="37" t="n">
        <f aca="false">K30*Pricing!$B$6*Assumptions!$D$154*CHOOSE(Assumptions!$D$121,Pricing!$B$20,Pricing!$B$30,Pricing!$B$40)+K31*Pricing!$C$6*Assumptions!$D$154*CHOOSE(Assumptions!$D$121,Pricing!$C$20,Pricing!$C$30,Pricing!$C$40)+K32*Pricing!$D$6*Assumptions!$D$154*CHOOSE(Assumptions!$D$121,Pricing!$D$20,Pricing!$D$30,Pricing!$D$40)+K33*Pricing!$E$6*Assumptions!$D$154*CHOOSE(Assumptions!$D$121,Pricing!$E$20,Pricing!$E$30,Pricing!$E$40)</f>
        <v>35.1320074972448</v>
      </c>
      <c r="L70" s="37" t="n">
        <f aca="false">L30*Pricing!$B$6*Assumptions!$D$154*CHOOSE(Assumptions!$D$121,Pricing!$B$20,Pricing!$B$30,Pricing!$B$40)+L31*Pricing!$C$6*Assumptions!$D$154*CHOOSE(Assumptions!$D$121,Pricing!$C$20,Pricing!$C$30,Pricing!$C$40)+L32*Pricing!$D$6*Assumptions!$D$154*CHOOSE(Assumptions!$D$121,Pricing!$D$20,Pricing!$D$30,Pricing!$D$40)+L33*Pricing!$E$6*Assumptions!$D$154*CHOOSE(Assumptions!$D$121,Pricing!$E$20,Pricing!$E$30,Pricing!$E$40)</f>
        <v>50.710967519386</v>
      </c>
      <c r="M70" s="37" t="n">
        <f aca="false">M30*Pricing!$B$6*Assumptions!$D$154*CHOOSE(Assumptions!$D$121,Pricing!$B$20,Pricing!$B$30,Pricing!$B$40)+M31*Pricing!$C$6*Assumptions!$D$154*CHOOSE(Assumptions!$D$121,Pricing!$C$20,Pricing!$C$30,Pricing!$C$40)+M32*Pricing!$D$6*Assumptions!$D$154*CHOOSE(Assumptions!$D$121,Pricing!$D$20,Pricing!$D$30,Pricing!$D$40)+M33*Pricing!$E$6*Assumptions!$D$154*CHOOSE(Assumptions!$D$121,Pricing!$E$20,Pricing!$E$30,Pricing!$E$40)</f>
        <v>67.9464684859071</v>
      </c>
      <c r="N70" s="37" t="n">
        <f aca="false">N30*Pricing!$B$6*Assumptions!$D$154*CHOOSE(Assumptions!$D$121,Pricing!$B$20,Pricing!$B$30,Pricing!$B$40)+N31*Pricing!$C$6*Assumptions!$D$154*CHOOSE(Assumptions!$D$121,Pricing!$C$20,Pricing!$C$30,Pricing!$C$40)+N32*Pricing!$D$6*Assumptions!$D$154*CHOOSE(Assumptions!$D$121,Pricing!$D$20,Pricing!$D$30,Pricing!$D$40)+N33*Pricing!$E$6*Assumptions!$D$154*CHOOSE(Assumptions!$D$121,Pricing!$E$20,Pricing!$E$30,Pricing!$E$40)</f>
        <v>92.6822723903472</v>
      </c>
      <c r="O70" s="37" t="n">
        <f aca="false">O30*Pricing!$B$6*Assumptions!$D$154*CHOOSE(Assumptions!$D$121,Pricing!$B$20,Pricing!$B$30,Pricing!$B$40)+O31*Pricing!$C$6*Assumptions!$D$154*CHOOSE(Assumptions!$D$121,Pricing!$C$20,Pricing!$C$30,Pricing!$C$40)+O32*Pricing!$D$6*Assumptions!$D$154*CHOOSE(Assumptions!$D$121,Pricing!$D$20,Pricing!$D$30,Pricing!$D$40)+O33*Pricing!$E$6*Assumptions!$D$154*CHOOSE(Assumptions!$D$121,Pricing!$E$20,Pricing!$E$30,Pricing!$E$40)</f>
        <v>119.550678014516</v>
      </c>
      <c r="P70" s="37" t="n">
        <f aca="false">P30*Pricing!$B$6*Assumptions!$D$154*CHOOSE(Assumptions!$D$121,Pricing!$B$20,Pricing!$B$30,Pricing!$B$40)+P31*Pricing!$C$6*Assumptions!$D$154*CHOOSE(Assumptions!$D$121,Pricing!$C$20,Pricing!$C$30,Pricing!$C$40)+P32*Pricing!$D$6*Assumptions!$D$154*CHOOSE(Assumptions!$D$121,Pricing!$D$20,Pricing!$D$30,Pricing!$D$40)+P33*Pricing!$E$6*Assumptions!$D$154*CHOOSE(Assumptions!$D$121,Pricing!$E$20,Pricing!$E$30,Pricing!$E$40)</f>
        <v>148.511483452111</v>
      </c>
      <c r="Q70" s="37" t="n">
        <f aca="false">Q30*Pricing!$B$6*Assumptions!$D$154*CHOOSE(Assumptions!$D$121,Pricing!$B$20,Pricing!$B$30,Pricing!$B$40)+Q31*Pricing!$C$6*Assumptions!$D$154*CHOOSE(Assumptions!$D$121,Pricing!$C$20,Pricing!$C$30,Pricing!$C$40)+Q32*Pricing!$D$6*Assumptions!$D$154*CHOOSE(Assumptions!$D$121,Pricing!$D$20,Pricing!$D$30,Pricing!$D$40)+Q33*Pricing!$E$6*Assumptions!$D$154*CHOOSE(Assumptions!$D$121,Pricing!$E$20,Pricing!$E$30,Pricing!$E$40)</f>
        <v>179.525515170832</v>
      </c>
      <c r="R70" s="37" t="n">
        <f aca="false">R30*Pricing!$B$6*Assumptions!$D$154*CHOOSE(Assumptions!$D$121,Pricing!$B$20,Pricing!$B$30,Pricing!$B$40)+R31*Pricing!$C$6*Assumptions!$D$154*CHOOSE(Assumptions!$D$121,Pricing!$C$20,Pricing!$C$30,Pricing!$C$40)+R32*Pricing!$D$6*Assumptions!$D$154*CHOOSE(Assumptions!$D$121,Pricing!$D$20,Pricing!$D$30,Pricing!$D$40)+R33*Pricing!$E$6*Assumptions!$D$154*CHOOSE(Assumptions!$D$121,Pricing!$E$20,Pricing!$E$30,Pricing!$E$40)</f>
        <v>212.554597882518</v>
      </c>
      <c r="S70" s="37" t="n">
        <f aca="false">S30*Pricing!$B$6*Assumptions!$D$154*CHOOSE(Assumptions!$D$121,Pricing!$B$20,Pricing!$B$30,Pricing!$B$40)+S31*Pricing!$C$6*Assumptions!$D$154*CHOOSE(Assumptions!$D$121,Pricing!$C$20,Pricing!$C$30,Pricing!$C$40)+S32*Pricing!$D$6*Assumptions!$D$154*CHOOSE(Assumptions!$D$121,Pricing!$D$20,Pricing!$D$30,Pricing!$D$40)+S33*Pricing!$E$6*Assumptions!$D$154*CHOOSE(Assumptions!$D$121,Pricing!$E$20,Pricing!$E$30,Pricing!$E$40)</f>
        <v>247.561525349971</v>
      </c>
      <c r="T70" s="37" t="n">
        <f aca="false">T30*Pricing!$B$6*Assumptions!$D$154*CHOOSE(Assumptions!$D$121,Pricing!$B$20,Pricing!$B$30,Pricing!$B$40)+T31*Pricing!$C$6*Assumptions!$D$154*CHOOSE(Assumptions!$D$121,Pricing!$C$20,Pricing!$C$30,Pricing!$C$40)+T32*Pricing!$D$6*Assumptions!$D$154*CHOOSE(Assumptions!$D$121,Pricing!$D$20,Pricing!$D$30,Pricing!$D$40)+T33*Pricing!$E$6*Assumptions!$D$154*CHOOSE(Assumptions!$D$121,Pricing!$E$20,Pricing!$E$30,Pricing!$E$40)</f>
        <v>284.510032100392</v>
      </c>
      <c r="U70" s="37" t="n">
        <f aca="false">U30*Pricing!$B$6*Assumptions!$D$154*CHOOSE(Assumptions!$D$121,Pricing!$B$20,Pricing!$B$30,Pricing!$B$40)+U31*Pricing!$C$6*Assumptions!$D$154*CHOOSE(Assumptions!$D$121,Pricing!$C$20,Pricing!$C$30,Pricing!$C$40)+U32*Pricing!$D$6*Assumptions!$D$154*CHOOSE(Assumptions!$D$121,Pricing!$D$20,Pricing!$D$30,Pricing!$D$40)+U33*Pricing!$E$6*Assumptions!$D$154*CHOOSE(Assumptions!$D$121,Pricing!$E$20,Pricing!$E$30,Pricing!$E$40)</f>
        <v>323.36476601634</v>
      </c>
      <c r="V70" s="37" t="n">
        <f aca="false">V30*Pricing!$B$6*Assumptions!$D$154*CHOOSE(Assumptions!$D$121,Pricing!$B$20,Pricing!$B$30,Pricing!$B$40)+V31*Pricing!$C$6*Assumptions!$D$154*CHOOSE(Assumptions!$D$121,Pricing!$C$20,Pricing!$C$30,Pricing!$C$40)+V32*Pricing!$D$6*Assumptions!$D$154*CHOOSE(Assumptions!$D$121,Pricing!$D$20,Pricing!$D$30,Pricing!$D$40)+V33*Pricing!$E$6*Assumptions!$D$154*CHOOSE(Assumptions!$D$121,Pricing!$E$20,Pricing!$E$30,Pricing!$E$40)</f>
        <v>364.091261776061</v>
      </c>
      <c r="W70" s="37" t="n">
        <f aca="false">W30*Pricing!$B$6*Assumptions!$D$154*CHOOSE(Assumptions!$D$121,Pricing!$B$20,Pricing!$B$30,Pricing!$B$40)+W31*Pricing!$C$6*Assumptions!$D$154*CHOOSE(Assumptions!$D$121,Pricing!$C$20,Pricing!$C$30,Pricing!$C$40)+W32*Pricing!$D$6*Assumptions!$D$154*CHOOSE(Assumptions!$D$121,Pricing!$D$20,Pricing!$D$30,Pricing!$D$40)+W33*Pricing!$E$6*Assumptions!$D$154*CHOOSE(Assumptions!$D$121,Pricing!$E$20,Pricing!$E$30,Pricing!$E$40)</f>
        <v>406.655915115987</v>
      </c>
      <c r="X70" s="37" t="n">
        <f aca="false">X30*Pricing!$B$6*Assumptions!$D$154*CHOOSE(Assumptions!$D$121,Pricing!$B$20,Pricing!$B$30,Pricing!$B$40)+X31*Pricing!$C$6*Assumptions!$D$154*CHOOSE(Assumptions!$D$121,Pricing!$C$20,Pricing!$C$30,Pricing!$C$40)+X32*Pricing!$D$6*Assumptions!$D$154*CHOOSE(Assumptions!$D$121,Pricing!$D$20,Pricing!$D$30,Pricing!$D$40)+X33*Pricing!$E$6*Assumptions!$D$154*CHOOSE(Assumptions!$D$121,Pricing!$E$20,Pricing!$E$30,Pricing!$E$40)</f>
        <v>451.025957889068</v>
      </c>
      <c r="Y70" s="37" t="n">
        <f aca="false">Y30*Pricing!$B$6*Assumptions!$D$154*CHOOSE(Assumptions!$D$121,Pricing!$B$20,Pricing!$B$30,Pricing!$B$40)+Y31*Pricing!$C$6*Assumptions!$D$154*CHOOSE(Assumptions!$D$121,Pricing!$C$20,Pricing!$C$30,Pricing!$C$40)+Y32*Pricing!$D$6*Assumptions!$D$154*CHOOSE(Assumptions!$D$121,Pricing!$D$20,Pricing!$D$30,Pricing!$D$40)+Y33*Pricing!$E$6*Assumptions!$D$154*CHOOSE(Assumptions!$D$121,Pricing!$E$20,Pricing!$E$30,Pricing!$E$40)</f>
        <v>497.169433893475</v>
      </c>
      <c r="Z70" s="37" t="n">
        <f aca="false">Z30*Pricing!$B$6*Assumptions!$D$154*CHOOSE(Assumptions!$D$121,Pricing!$B$20,Pricing!$B$30,Pricing!$B$40)+Z31*Pricing!$C$6*Assumptions!$D$154*CHOOSE(Assumptions!$D$121,Pricing!$C$20,Pricing!$C$30,Pricing!$C$40)+Z32*Pricing!$D$6*Assumptions!$D$154*CHOOSE(Assumptions!$D$121,Pricing!$D$20,Pricing!$D$30,Pricing!$D$40)+Z33*Pricing!$E$6*Assumptions!$D$154*CHOOSE(Assumptions!$D$121,Pricing!$E$20,Pricing!$E$30,Pricing!$E$40)</f>
        <v>545.055175447058</v>
      </c>
      <c r="AA70" s="37" t="n">
        <f aca="false">AA30*Pricing!$B$6*Assumptions!$D$154*CHOOSE(Assumptions!$D$121,Pricing!$B$20,Pricing!$B$30,Pricing!$B$40)+AA31*Pricing!$C$6*Assumptions!$D$154*CHOOSE(Assumptions!$D$121,Pricing!$C$20,Pricing!$C$30,Pricing!$C$40)+AA32*Pricing!$D$6*Assumptions!$D$154*CHOOSE(Assumptions!$D$121,Pricing!$D$20,Pricing!$D$30,Pricing!$D$40)+AA33*Pricing!$E$6*Assumptions!$D$154*CHOOSE(Assumptions!$D$121,Pricing!$E$20,Pricing!$E$30,Pricing!$E$40)</f>
        <v>594.652780683711</v>
      </c>
      <c r="AB70" s="37" t="n">
        <f aca="false">AB30*Pricing!$B$6*Assumptions!$D$154*CHOOSE(Assumptions!$D$121,Pricing!$B$20,Pricing!$B$30,Pricing!$B$40)+AB31*Pricing!$C$6*Assumptions!$D$154*CHOOSE(Assumptions!$D$121,Pricing!$C$20,Pricing!$C$30,Pricing!$C$40)+AB32*Pricing!$D$6*Assumptions!$D$154*CHOOSE(Assumptions!$D$121,Pricing!$D$20,Pricing!$D$30,Pricing!$D$40)+AB33*Pricing!$E$6*Assumptions!$D$154*CHOOSE(Assumptions!$D$121,Pricing!$E$20,Pricing!$E$30,Pricing!$E$40)</f>
        <v>654.838766590296</v>
      </c>
      <c r="AC70" s="37" t="n">
        <f aca="false">AC30*Pricing!$B$6*Assumptions!$D$154*CHOOSE(Assumptions!$D$121,Pricing!$B$20,Pricing!$B$30,Pricing!$B$40)+AC31*Pricing!$C$6*Assumptions!$D$154*CHOOSE(Assumptions!$D$121,Pricing!$C$20,Pricing!$C$30,Pricing!$C$40)+AC32*Pricing!$D$6*Assumptions!$D$154*CHOOSE(Assumptions!$D$121,Pricing!$D$20,Pricing!$D$30,Pricing!$D$40)+AC33*Pricing!$E$6*Assumptions!$D$154*CHOOSE(Assumptions!$D$121,Pricing!$E$20,Pricing!$E$30,Pricing!$E$40)</f>
        <v>716.603667695285</v>
      </c>
      <c r="AD70" s="37" t="n">
        <f aca="false">AD30*Pricing!$B$6*Assumptions!$D$154*CHOOSE(Assumptions!$D$121,Pricing!$B$20,Pricing!$B$30,Pricing!$B$40)+AD31*Pricing!$C$6*Assumptions!$D$154*CHOOSE(Assumptions!$D$121,Pricing!$C$20,Pricing!$C$30,Pricing!$C$40)+AD32*Pricing!$D$6*Assumptions!$D$154*CHOOSE(Assumptions!$D$121,Pricing!$D$20,Pricing!$D$30,Pricing!$D$40)+AD33*Pricing!$E$6*Assumptions!$D$154*CHOOSE(Assumptions!$D$121,Pricing!$E$20,Pricing!$E$30,Pricing!$E$40)</f>
        <v>779.919905544228</v>
      </c>
      <c r="AE70" s="37" t="n">
        <f aca="false">AE30*Pricing!$B$6*Assumptions!$D$154*CHOOSE(Assumptions!$D$121,Pricing!$B$20,Pricing!$B$30,Pricing!$B$40)+AE31*Pricing!$C$6*Assumptions!$D$154*CHOOSE(Assumptions!$D$121,Pricing!$C$20,Pricing!$C$30,Pricing!$C$40)+AE32*Pricing!$D$6*Assumptions!$D$154*CHOOSE(Assumptions!$D$121,Pricing!$D$20,Pricing!$D$30,Pricing!$D$40)+AE33*Pricing!$E$6*Assumptions!$D$154*CHOOSE(Assumptions!$D$121,Pricing!$E$20,Pricing!$E$30,Pricing!$E$40)</f>
        <v>844.760577430063</v>
      </c>
      <c r="AF70" s="37" t="n">
        <f aca="false">AF30*Pricing!$B$6*Assumptions!$D$154*CHOOSE(Assumptions!$D$121,Pricing!$B$20,Pricing!$B$30,Pricing!$B$40)+AF31*Pricing!$C$6*Assumptions!$D$154*CHOOSE(Assumptions!$D$121,Pricing!$C$20,Pricing!$C$30,Pricing!$C$40)+AF32*Pricing!$D$6*Assumptions!$D$154*CHOOSE(Assumptions!$D$121,Pricing!$D$20,Pricing!$D$30,Pricing!$D$40)+AF33*Pricing!$E$6*Assumptions!$D$154*CHOOSE(Assumptions!$D$121,Pricing!$E$20,Pricing!$E$30,Pricing!$E$40)</f>
        <v>911.099437025177</v>
      </c>
      <c r="AG70" s="37" t="n">
        <f aca="false">AG30*Pricing!$B$6*Assumptions!$D$154*CHOOSE(Assumptions!$D$121,Pricing!$B$20,Pricing!$B$30,Pricing!$B$40)+AG31*Pricing!$C$6*Assumptions!$D$154*CHOOSE(Assumptions!$D$121,Pricing!$C$20,Pricing!$C$30,Pricing!$C$40)+AG32*Pricing!$D$6*Assumptions!$D$154*CHOOSE(Assumptions!$D$121,Pricing!$D$20,Pricing!$D$30,Pricing!$D$40)+AG33*Pricing!$E$6*Assumptions!$D$154*CHOOSE(Assumptions!$D$121,Pricing!$E$20,Pricing!$E$30,Pricing!$E$40)</f>
        <v>978.910875607382</v>
      </c>
      <c r="AH70" s="37" t="n">
        <f aca="false">AH30*Pricing!$B$6*Assumptions!$D$154*CHOOSE(Assumptions!$D$121,Pricing!$B$20,Pricing!$B$30,Pricing!$B$40)+AH31*Pricing!$C$6*Assumptions!$D$154*CHOOSE(Assumptions!$D$121,Pricing!$C$20,Pricing!$C$30,Pricing!$C$40)+AH32*Pricing!$D$6*Assumptions!$D$154*CHOOSE(Assumptions!$D$121,Pricing!$D$20,Pricing!$D$30,Pricing!$D$40)+AH33*Pricing!$E$6*Assumptions!$D$154*CHOOSE(Assumptions!$D$121,Pricing!$E$20,Pricing!$E$30,Pricing!$E$40)</f>
        <v>1048.16990386091</v>
      </c>
      <c r="AI70" s="37" t="n">
        <f aca="false">AI30*Pricing!$B$6*Assumptions!$D$154*CHOOSE(Assumptions!$D$121,Pricing!$B$20,Pricing!$B$30,Pricing!$B$40)+AI31*Pricing!$C$6*Assumptions!$D$154*CHOOSE(Assumptions!$D$121,Pricing!$C$20,Pricing!$C$30,Pricing!$C$40)+AI32*Pricing!$D$6*Assumptions!$D$154*CHOOSE(Assumptions!$D$121,Pricing!$D$20,Pricing!$D$30,Pricing!$D$40)+AI33*Pricing!$E$6*Assumptions!$D$154*CHOOSE(Assumptions!$D$121,Pricing!$E$20,Pricing!$E$30,Pricing!$E$40)</f>
        <v>1118.85213423419</v>
      </c>
      <c r="AJ70" s="37" t="n">
        <f aca="false">AJ30*Pricing!$B$6*Assumptions!$D$154*CHOOSE(Assumptions!$D$121,Pricing!$B$20,Pricing!$B$30,Pricing!$B$40)+AJ31*Pricing!$C$6*Assumptions!$D$154*CHOOSE(Assumptions!$D$121,Pricing!$C$20,Pricing!$C$30,Pricing!$C$40)+AJ32*Pricing!$D$6*Assumptions!$D$154*CHOOSE(Assumptions!$D$121,Pricing!$D$20,Pricing!$D$30,Pricing!$D$40)+AJ33*Pricing!$E$6*Assumptions!$D$154*CHOOSE(Assumptions!$D$121,Pricing!$E$20,Pricing!$E$30,Pricing!$E$40)</f>
        <v>1190.93376383668</v>
      </c>
      <c r="AK70" s="37" t="n">
        <f aca="false">AK30*Pricing!$B$6*Assumptions!$D$154*CHOOSE(Assumptions!$D$121,Pricing!$B$20,Pricing!$B$30,Pricing!$B$40)+AK31*Pricing!$C$6*Assumptions!$D$154*CHOOSE(Assumptions!$D$121,Pricing!$C$20,Pricing!$C$30,Pricing!$C$40)+AK32*Pricing!$D$6*Assumptions!$D$154*CHOOSE(Assumptions!$D$121,Pricing!$D$20,Pricing!$D$30,Pricing!$D$40)+AK33*Pricing!$E$6*Assumptions!$D$154*CHOOSE(Assumptions!$D$121,Pricing!$E$20,Pricing!$E$30,Pricing!$E$40)</f>
        <v>1264.39155785777</v>
      </c>
      <c r="AL70" s="37" t="n">
        <f aca="false">AL30*Pricing!$B$6*Assumptions!$D$154*CHOOSE(Assumptions!$D$121,Pricing!$B$20,Pricing!$B$30,Pricing!$B$40)+AL31*Pricing!$C$6*Assumptions!$D$154*CHOOSE(Assumptions!$D$121,Pricing!$C$20,Pricing!$C$30,Pricing!$C$40)+AL32*Pricing!$D$6*Assumptions!$D$154*CHOOSE(Assumptions!$D$121,Pricing!$D$20,Pricing!$D$30,Pricing!$D$40)+AL33*Pricing!$E$6*Assumptions!$D$154*CHOOSE(Assumptions!$D$121,Pricing!$E$20,Pricing!$E$30,Pricing!$E$40)</f>
        <v>1339.20283349105</v>
      </c>
    </row>
    <row r="71" customFormat="false" ht="15" hidden="false" customHeight="false" outlineLevel="0" collapsed="false">
      <c r="A71" s="9" t="s">
        <v>615</v>
      </c>
      <c r="B71" s="2" t="s">
        <v>105</v>
      </c>
      <c r="C71" s="37" t="n">
        <f aca="false">C30*Assumptions!$D$88*CHOOSE(Assumptions!$D$121,Unit_Costs!$Q$16,Unit_Costs!$Q$30,Unit_Costs!$Q$44)+C31*Assumptions!$D$89*CHOOSE(Assumptions!$D$121,Unit_Costs!$Q$16,Unit_Costs!$Q$30,Unit_Costs!$Q$44)+C32*Assumptions!$D$90*CHOOSE(Assumptions!$D$121,Unit_Costs!$Q$16,Unit_Costs!$Q$30,Unit_Costs!$Q$44)+C33*Assumptions!$D$91*CHOOSE(Assumptions!$D$121,Unit_Costs!$Q$16,Unit_Costs!$Q$30,Unit_Costs!$Q$44)</f>
        <v>0</v>
      </c>
      <c r="D71" s="37" t="n">
        <f aca="false">D30*Assumptions!$D$88*CHOOSE(Assumptions!$D$121,Unit_Costs!$Q$16,Unit_Costs!$Q$30,Unit_Costs!$Q$44)+D31*Assumptions!$D$89*CHOOSE(Assumptions!$D$121,Unit_Costs!$Q$16,Unit_Costs!$Q$30,Unit_Costs!$Q$44)+D32*Assumptions!$D$90*CHOOSE(Assumptions!$D$121,Unit_Costs!$Q$16,Unit_Costs!$Q$30,Unit_Costs!$Q$44)+D33*Assumptions!$D$91*CHOOSE(Assumptions!$D$121,Unit_Costs!$Q$16,Unit_Costs!$Q$30,Unit_Costs!$Q$44)</f>
        <v>0</v>
      </c>
      <c r="E71" s="37" t="n">
        <f aca="false">E30*Assumptions!$D$88*CHOOSE(Assumptions!$D$121,Unit_Costs!$Q$16,Unit_Costs!$Q$30,Unit_Costs!$Q$44)+E31*Assumptions!$D$89*CHOOSE(Assumptions!$D$121,Unit_Costs!$Q$16,Unit_Costs!$Q$30,Unit_Costs!$Q$44)+E32*Assumptions!$D$90*CHOOSE(Assumptions!$D$121,Unit_Costs!$Q$16,Unit_Costs!$Q$30,Unit_Costs!$Q$44)+E33*Assumptions!$D$91*CHOOSE(Assumptions!$D$121,Unit_Costs!$Q$16,Unit_Costs!$Q$30,Unit_Costs!$Q$44)</f>
        <v>0</v>
      </c>
      <c r="F71" s="37" t="n">
        <f aca="false">F30*Assumptions!$D$88*CHOOSE(Assumptions!$D$121,Unit_Costs!$Q$16,Unit_Costs!$Q$30,Unit_Costs!$Q$44)+F31*Assumptions!$D$89*CHOOSE(Assumptions!$D$121,Unit_Costs!$Q$16,Unit_Costs!$Q$30,Unit_Costs!$Q$44)+F32*Assumptions!$D$90*CHOOSE(Assumptions!$D$121,Unit_Costs!$Q$16,Unit_Costs!$Q$30,Unit_Costs!$Q$44)+F33*Assumptions!$D$91*CHOOSE(Assumptions!$D$121,Unit_Costs!$Q$16,Unit_Costs!$Q$30,Unit_Costs!$Q$44)</f>
        <v>0</v>
      </c>
      <c r="G71" s="37" t="n">
        <f aca="false">G30*Assumptions!$D$88*CHOOSE(Assumptions!$D$121,Unit_Costs!$Q$16,Unit_Costs!$Q$30,Unit_Costs!$Q$44)+G31*Assumptions!$D$89*CHOOSE(Assumptions!$D$121,Unit_Costs!$Q$16,Unit_Costs!$Q$30,Unit_Costs!$Q$44)+G32*Assumptions!$D$90*CHOOSE(Assumptions!$D$121,Unit_Costs!$Q$16,Unit_Costs!$Q$30,Unit_Costs!$Q$44)+G33*Assumptions!$D$91*CHOOSE(Assumptions!$D$121,Unit_Costs!$Q$16,Unit_Costs!$Q$30,Unit_Costs!$Q$44)</f>
        <v>0</v>
      </c>
      <c r="H71" s="37" t="n">
        <f aca="false">H30*Assumptions!$D$88*CHOOSE(Assumptions!$D$121,Unit_Costs!$Q$16,Unit_Costs!$Q$30,Unit_Costs!$Q$44)+H31*Assumptions!$D$89*CHOOSE(Assumptions!$D$121,Unit_Costs!$Q$16,Unit_Costs!$Q$30,Unit_Costs!$Q$44)+H32*Assumptions!$D$90*CHOOSE(Assumptions!$D$121,Unit_Costs!$Q$16,Unit_Costs!$Q$30,Unit_Costs!$Q$44)+H33*Assumptions!$D$91*CHOOSE(Assumptions!$D$121,Unit_Costs!$Q$16,Unit_Costs!$Q$30,Unit_Costs!$Q$44)</f>
        <v>4.269525</v>
      </c>
      <c r="I71" s="37" t="n">
        <f aca="false">I30*Assumptions!$D$88*CHOOSE(Assumptions!$D$121,Unit_Costs!$Q$16,Unit_Costs!$Q$30,Unit_Costs!$Q$44)+I31*Assumptions!$D$89*CHOOSE(Assumptions!$D$121,Unit_Costs!$Q$16,Unit_Costs!$Q$30,Unit_Costs!$Q$44)+I32*Assumptions!$D$90*CHOOSE(Assumptions!$D$121,Unit_Costs!$Q$16,Unit_Costs!$Q$30,Unit_Costs!$Q$44)+I33*Assumptions!$D$91*CHOOSE(Assumptions!$D$121,Unit_Costs!$Q$16,Unit_Costs!$Q$30,Unit_Costs!$Q$44)</f>
        <v>13.370729125</v>
      </c>
      <c r="J71" s="37" t="n">
        <f aca="false">J30*Assumptions!$D$88*CHOOSE(Assumptions!$D$121,Unit_Costs!$Q$16,Unit_Costs!$Q$30,Unit_Costs!$Q$44)+J31*Assumptions!$D$89*CHOOSE(Assumptions!$D$121,Unit_Costs!$Q$16,Unit_Costs!$Q$30,Unit_Costs!$Q$44)+J32*Assumptions!$D$90*CHOOSE(Assumptions!$D$121,Unit_Costs!$Q$16,Unit_Costs!$Q$30,Unit_Costs!$Q$44)+J33*Assumptions!$D$91*CHOOSE(Assumptions!$D$121,Unit_Costs!$Q$16,Unit_Costs!$Q$30,Unit_Costs!$Q$44)</f>
        <v>24.046213855625</v>
      </c>
      <c r="K71" s="37" t="n">
        <f aca="false">K30*Assumptions!$D$88*CHOOSE(Assumptions!$D$121,Unit_Costs!$Q$16,Unit_Costs!$Q$30,Unit_Costs!$Q$44)+K31*Assumptions!$D$89*CHOOSE(Assumptions!$D$121,Unit_Costs!$Q$16,Unit_Costs!$Q$30,Unit_Costs!$Q$44)+K32*Assumptions!$D$90*CHOOSE(Assumptions!$D$121,Unit_Costs!$Q$16,Unit_Costs!$Q$30,Unit_Costs!$Q$44)+K33*Assumptions!$D$91*CHOOSE(Assumptions!$D$121,Unit_Costs!$Q$16,Unit_Costs!$Q$30,Unit_Costs!$Q$44)</f>
        <v>44.7902473894281</v>
      </c>
      <c r="L71" s="37" t="n">
        <f aca="false">L30*Assumptions!$D$88*CHOOSE(Assumptions!$D$121,Unit_Costs!$Q$16,Unit_Costs!$Q$30,Unit_Costs!$Q$44)+L31*Assumptions!$D$89*CHOOSE(Assumptions!$D$121,Unit_Costs!$Q$16,Unit_Costs!$Q$30,Unit_Costs!$Q$44)+L32*Assumptions!$D$90*CHOOSE(Assumptions!$D$121,Unit_Costs!$Q$16,Unit_Costs!$Q$30,Unit_Costs!$Q$44)+L33*Assumptions!$D$91*CHOOSE(Assumptions!$D$121,Unit_Costs!$Q$16,Unit_Costs!$Q$30,Unit_Costs!$Q$44)</f>
        <v>68.2157743365794</v>
      </c>
      <c r="M71" s="37" t="n">
        <f aca="false">M30*Assumptions!$D$88*CHOOSE(Assumptions!$D$121,Unit_Costs!$Q$16,Unit_Costs!$Q$30,Unit_Costs!$Q$44)+M31*Assumptions!$D$89*CHOOSE(Assumptions!$D$121,Unit_Costs!$Q$16,Unit_Costs!$Q$30,Unit_Costs!$Q$44)+M32*Assumptions!$D$90*CHOOSE(Assumptions!$D$121,Unit_Costs!$Q$16,Unit_Costs!$Q$30,Unit_Costs!$Q$44)+M33*Assumptions!$D$91*CHOOSE(Assumptions!$D$121,Unit_Costs!$Q$16,Unit_Costs!$Q$30,Unit_Costs!$Q$44)</f>
        <v>94.2686376691858</v>
      </c>
      <c r="N71" s="37" t="n">
        <f aca="false">N30*Assumptions!$D$88*CHOOSE(Assumptions!$D$121,Unit_Costs!$Q$16,Unit_Costs!$Q$30,Unit_Costs!$Q$44)+N31*Assumptions!$D$89*CHOOSE(Assumptions!$D$121,Unit_Costs!$Q$16,Unit_Costs!$Q$30,Unit_Costs!$Q$44)+N32*Assumptions!$D$90*CHOOSE(Assumptions!$D$121,Unit_Costs!$Q$16,Unit_Costs!$Q$30,Unit_Costs!$Q$44)+N33*Assumptions!$D$91*CHOOSE(Assumptions!$D$121,Unit_Costs!$Q$16,Unit_Costs!$Q$30,Unit_Costs!$Q$44)</f>
        <v>134.281431774416</v>
      </c>
      <c r="O71" s="37" t="n">
        <f aca="false">O30*Assumptions!$D$88*CHOOSE(Assumptions!$D$121,Unit_Costs!$Q$16,Unit_Costs!$Q$30,Unit_Costs!$Q$44)+O31*Assumptions!$D$89*CHOOSE(Assumptions!$D$121,Unit_Costs!$Q$16,Unit_Costs!$Q$30,Unit_Costs!$Q$44)+O32*Assumptions!$D$90*CHOOSE(Assumptions!$D$121,Unit_Costs!$Q$16,Unit_Costs!$Q$30,Unit_Costs!$Q$44)+O33*Assumptions!$D$91*CHOOSE(Assumptions!$D$121,Unit_Costs!$Q$16,Unit_Costs!$Q$30,Unit_Costs!$Q$44)</f>
        <v>177.887491873996</v>
      </c>
      <c r="P71" s="37" t="n">
        <f aca="false">P30*Assumptions!$D$88*CHOOSE(Assumptions!$D$121,Unit_Costs!$Q$16,Unit_Costs!$Q$30,Unit_Costs!$Q$44)+P31*Assumptions!$D$89*CHOOSE(Assumptions!$D$121,Unit_Costs!$Q$16,Unit_Costs!$Q$30,Unit_Costs!$Q$44)+P32*Assumptions!$D$90*CHOOSE(Assumptions!$D$121,Unit_Costs!$Q$16,Unit_Costs!$Q$30,Unit_Costs!$Q$44)+P33*Assumptions!$D$91*CHOOSE(Assumptions!$D$121,Unit_Costs!$Q$16,Unit_Costs!$Q$30,Unit_Costs!$Q$44)</f>
        <v>225.030180431274</v>
      </c>
      <c r="Q71" s="37" t="n">
        <f aca="false">Q30*Assumptions!$D$88*CHOOSE(Assumptions!$D$121,Unit_Costs!$Q$16,Unit_Costs!$Q$30,Unit_Costs!$Q$44)+Q31*Assumptions!$D$89*CHOOSE(Assumptions!$D$121,Unit_Costs!$Q$16,Unit_Costs!$Q$30,Unit_Costs!$Q$44)+Q32*Assumptions!$D$90*CHOOSE(Assumptions!$D$121,Unit_Costs!$Q$16,Unit_Costs!$Q$30,Unit_Costs!$Q$44)+Q33*Assumptions!$D$91*CHOOSE(Assumptions!$D$121,Unit_Costs!$Q$16,Unit_Costs!$Q$30,Unit_Costs!$Q$44)</f>
        <v>275.654138734622</v>
      </c>
      <c r="R71" s="37" t="n">
        <f aca="false">R30*Assumptions!$D$88*CHOOSE(Assumptions!$D$121,Unit_Costs!$Q$16,Unit_Costs!$Q$30,Unit_Costs!$Q$44)+R31*Assumptions!$D$89*CHOOSE(Assumptions!$D$121,Unit_Costs!$Q$16,Unit_Costs!$Q$30,Unit_Costs!$Q$44)+R32*Assumptions!$D$90*CHOOSE(Assumptions!$D$121,Unit_Costs!$Q$16,Unit_Costs!$Q$30,Unit_Costs!$Q$44)+R33*Assumptions!$D$91*CHOOSE(Assumptions!$D$121,Unit_Costs!$Q$16,Unit_Costs!$Q$30,Unit_Costs!$Q$44)</f>
        <v>329.705251837757</v>
      </c>
      <c r="S71" s="37" t="n">
        <f aca="false">S30*Assumptions!$D$88*CHOOSE(Assumptions!$D$121,Unit_Costs!$Q$16,Unit_Costs!$Q$30,Unit_Costs!$Q$44)+S31*Assumptions!$D$89*CHOOSE(Assumptions!$D$121,Unit_Costs!$Q$16,Unit_Costs!$Q$30,Unit_Costs!$Q$44)+S32*Assumptions!$D$90*CHOOSE(Assumptions!$D$121,Unit_Costs!$Q$16,Unit_Costs!$Q$30,Unit_Costs!$Q$44)+S33*Assumptions!$D$91*CHOOSE(Assumptions!$D$121,Unit_Costs!$Q$16,Unit_Costs!$Q$30,Unit_Costs!$Q$44)</f>
        <v>387.130614549395</v>
      </c>
      <c r="T71" s="37" t="n">
        <f aca="false">T30*Assumptions!$D$88*CHOOSE(Assumptions!$D$121,Unit_Costs!$Q$16,Unit_Costs!$Q$30,Unit_Costs!$Q$44)+T31*Assumptions!$D$89*CHOOSE(Assumptions!$D$121,Unit_Costs!$Q$16,Unit_Costs!$Q$30,Unit_Costs!$Q$44)+T32*Assumptions!$D$90*CHOOSE(Assumptions!$D$121,Unit_Costs!$Q$16,Unit_Costs!$Q$30,Unit_Costs!$Q$44)+T33*Assumptions!$D$91*CHOOSE(Assumptions!$D$121,Unit_Costs!$Q$16,Unit_Costs!$Q$30,Unit_Costs!$Q$44)</f>
        <v>447.878498439397</v>
      </c>
      <c r="U71" s="37" t="n">
        <f aca="false">U30*Assumptions!$D$88*CHOOSE(Assumptions!$D$121,Unit_Costs!$Q$16,Unit_Costs!$Q$30,Unit_Costs!$Q$44)+U31*Assumptions!$D$89*CHOOSE(Assumptions!$D$121,Unit_Costs!$Q$16,Unit_Costs!$Q$30,Unit_Costs!$Q$44)+U32*Assumptions!$D$90*CHOOSE(Assumptions!$D$121,Unit_Costs!$Q$16,Unit_Costs!$Q$30,Unit_Costs!$Q$44)+U33*Assumptions!$D$91*CHOOSE(Assumptions!$D$121,Unit_Costs!$Q$16,Unit_Costs!$Q$30,Unit_Costs!$Q$44)</f>
        <v>511.89831982962</v>
      </c>
      <c r="V71" s="37" t="n">
        <f aca="false">V30*Assumptions!$D$88*CHOOSE(Assumptions!$D$121,Unit_Costs!$Q$16,Unit_Costs!$Q$30,Unit_Costs!$Q$44)+V31*Assumptions!$D$89*CHOOSE(Assumptions!$D$121,Unit_Costs!$Q$16,Unit_Costs!$Q$30,Unit_Costs!$Q$44)+V32*Assumptions!$D$90*CHOOSE(Assumptions!$D$121,Unit_Costs!$Q$16,Unit_Costs!$Q$30,Unit_Costs!$Q$44)+V33*Assumptions!$D$91*CHOOSE(Assumptions!$D$121,Unit_Costs!$Q$16,Unit_Costs!$Q$30,Unit_Costs!$Q$44)</f>
        <v>579.140608738709</v>
      </c>
      <c r="W71" s="37" t="n">
        <f aca="false">W30*Assumptions!$D$88*CHOOSE(Assumptions!$D$121,Unit_Costs!$Q$16,Unit_Costs!$Q$30,Unit_Costs!$Q$44)+W31*Assumptions!$D$89*CHOOSE(Assumptions!$D$121,Unit_Costs!$Q$16,Unit_Costs!$Q$30,Unit_Costs!$Q$44)+W32*Assumptions!$D$90*CHOOSE(Assumptions!$D$121,Unit_Costs!$Q$16,Unit_Costs!$Q$30,Unit_Costs!$Q$44)+W33*Assumptions!$D$91*CHOOSE(Assumptions!$D$121,Unit_Costs!$Q$16,Unit_Costs!$Q$30,Unit_Costs!$Q$44)</f>
        <v>649.556978751043</v>
      </c>
      <c r="X71" s="37" t="n">
        <f aca="false">X30*Assumptions!$D$88*CHOOSE(Assumptions!$D$121,Unit_Costs!$Q$16,Unit_Costs!$Q$30,Unit_Costs!$Q$44)+X31*Assumptions!$D$89*CHOOSE(Assumptions!$D$121,Unit_Costs!$Q$16,Unit_Costs!$Q$30,Unit_Costs!$Q$44)+X32*Assumptions!$D$90*CHOOSE(Assumptions!$D$121,Unit_Costs!$Q$16,Unit_Costs!$Q$30,Unit_Costs!$Q$44)+X33*Assumptions!$D$91*CHOOSE(Assumptions!$D$121,Unit_Costs!$Q$16,Unit_Costs!$Q$30,Unit_Costs!$Q$44)</f>
        <v>723.100097781037</v>
      </c>
      <c r="Y71" s="37" t="n">
        <f aca="false">Y30*Assumptions!$D$88*CHOOSE(Assumptions!$D$121,Unit_Costs!$Q$16,Unit_Costs!$Q$30,Unit_Costs!$Q$44)+Y31*Assumptions!$D$89*CHOOSE(Assumptions!$D$121,Unit_Costs!$Q$16,Unit_Costs!$Q$30,Unit_Costs!$Q$44)+Y32*Assumptions!$D$90*CHOOSE(Assumptions!$D$121,Unit_Costs!$Q$16,Unit_Costs!$Q$30,Unit_Costs!$Q$44)+Y33*Assumptions!$D$91*CHOOSE(Assumptions!$D$121,Unit_Costs!$Q$16,Unit_Costs!$Q$30,Unit_Costs!$Q$44)</f>
        <v>799.723659704886</v>
      </c>
      <c r="Z71" s="37" t="n">
        <f aca="false">Z30*Assumptions!$D$88*CHOOSE(Assumptions!$D$121,Unit_Costs!$Q$16,Unit_Costs!$Q$30,Unit_Costs!$Q$44)+Z31*Assumptions!$D$89*CHOOSE(Assumptions!$D$121,Unit_Costs!$Q$16,Unit_Costs!$Q$30,Unit_Costs!$Q$44)+Z32*Assumptions!$D$90*CHOOSE(Assumptions!$D$121,Unit_Costs!$Q$16,Unit_Costs!$Q$30,Unit_Costs!$Q$44)+Z33*Assumptions!$D$91*CHOOSE(Assumptions!$D$121,Unit_Costs!$Q$16,Unit_Costs!$Q$30,Unit_Costs!$Q$44)</f>
        <v>879.382356832773</v>
      </c>
      <c r="AA71" s="37" t="n">
        <f aca="false">AA30*Assumptions!$D$88*CHOOSE(Assumptions!$D$121,Unit_Costs!$Q$16,Unit_Costs!$Q$30,Unit_Costs!$Q$44)+AA31*Assumptions!$D$89*CHOOSE(Assumptions!$D$121,Unit_Costs!$Q$16,Unit_Costs!$Q$30,Unit_Costs!$Q$44)+AA32*Assumptions!$D$90*CHOOSE(Assumptions!$D$121,Unit_Costs!$Q$16,Unit_Costs!$Q$30,Unit_Costs!$Q$44)+AA33*Assumptions!$D$91*CHOOSE(Assumptions!$D$121,Unit_Costs!$Q$16,Unit_Costs!$Q$30,Unit_Costs!$Q$44)</f>
        <v>962.031853195382</v>
      </c>
      <c r="AB71" s="37" t="n">
        <f aca="false">AB30*Assumptions!$D$88*CHOOSE(Assumptions!$D$121,Unit_Costs!$Q$16,Unit_Costs!$Q$30,Unit_Costs!$Q$44)+AB31*Assumptions!$D$89*CHOOSE(Assumptions!$D$121,Unit_Costs!$Q$16,Unit_Costs!$Q$30,Unit_Costs!$Q$44)+AB32*Assumptions!$D$90*CHOOSE(Assumptions!$D$121,Unit_Costs!$Q$16,Unit_Costs!$Q$30,Unit_Costs!$Q$44)+AB33*Assumptions!$D$91*CHOOSE(Assumptions!$D$121,Unit_Costs!$Q$16,Unit_Costs!$Q$30,Unit_Costs!$Q$44)</f>
        <v>1067.55320861945</v>
      </c>
      <c r="AC71" s="37" t="n">
        <f aca="false">AC30*Assumptions!$D$88*CHOOSE(Assumptions!$D$121,Unit_Costs!$Q$16,Unit_Costs!$Q$30,Unit_Costs!$Q$44)+AC31*Assumptions!$D$89*CHOOSE(Assumptions!$D$121,Unit_Costs!$Q$16,Unit_Costs!$Q$30,Unit_Costs!$Q$44)+AC32*Assumptions!$D$90*CHOOSE(Assumptions!$D$121,Unit_Costs!$Q$16,Unit_Costs!$Q$30,Unit_Costs!$Q$44)+AC33*Assumptions!$D$91*CHOOSE(Assumptions!$D$121,Unit_Costs!$Q$16,Unit_Costs!$Q$30,Unit_Costs!$Q$44)</f>
        <v>1175.80872256786</v>
      </c>
      <c r="AD71" s="37" t="n">
        <f aca="false">AD30*Assumptions!$D$88*CHOOSE(Assumptions!$D$121,Unit_Costs!$Q$16,Unit_Costs!$Q$30,Unit_Costs!$Q$44)+AD31*Assumptions!$D$89*CHOOSE(Assumptions!$D$121,Unit_Costs!$Q$16,Unit_Costs!$Q$30,Unit_Costs!$Q$44)+AD32*Assumptions!$D$90*CHOOSE(Assumptions!$D$121,Unit_Costs!$Q$16,Unit_Costs!$Q$30,Unit_Costs!$Q$44)+AD33*Assumptions!$D$91*CHOOSE(Assumptions!$D$121,Unit_Costs!$Q$16,Unit_Costs!$Q$30,Unit_Costs!$Q$44)</f>
        <v>1286.75835874956</v>
      </c>
      <c r="AE71" s="37" t="n">
        <f aca="false">AE30*Assumptions!$D$88*CHOOSE(Assumptions!$D$121,Unit_Costs!$Q$16,Unit_Costs!$Q$30,Unit_Costs!$Q$44)+AE31*Assumptions!$D$89*CHOOSE(Assumptions!$D$121,Unit_Costs!$Q$16,Unit_Costs!$Q$30,Unit_Costs!$Q$44)+AE32*Assumptions!$D$90*CHOOSE(Assumptions!$D$121,Unit_Costs!$Q$16,Unit_Costs!$Q$30,Unit_Costs!$Q$44)+AE33*Assumptions!$D$91*CHOOSE(Assumptions!$D$121,Unit_Costs!$Q$16,Unit_Costs!$Q$30,Unit_Costs!$Q$44)</f>
        <v>1400.36293904377</v>
      </c>
      <c r="AF71" s="37" t="n">
        <f aca="false">AF30*Assumptions!$D$88*CHOOSE(Assumptions!$D$121,Unit_Costs!$Q$16,Unit_Costs!$Q$30,Unit_Costs!$Q$44)+AF31*Assumptions!$D$89*CHOOSE(Assumptions!$D$121,Unit_Costs!$Q$16,Unit_Costs!$Q$30,Unit_Costs!$Q$44)+AF32*Assumptions!$D$90*CHOOSE(Assumptions!$D$121,Unit_Costs!$Q$16,Unit_Costs!$Q$30,Unit_Costs!$Q$44)+AF33*Assumptions!$D$91*CHOOSE(Assumptions!$D$121,Unit_Costs!$Q$16,Unit_Costs!$Q$30,Unit_Costs!$Q$44)</f>
        <v>1516.5841206318</v>
      </c>
      <c r="AG71" s="37" t="n">
        <f aca="false">AG30*Assumptions!$D$88*CHOOSE(Assumptions!$D$121,Unit_Costs!$Q$16,Unit_Costs!$Q$30,Unit_Costs!$Q$44)+AG31*Assumptions!$D$89*CHOOSE(Assumptions!$D$121,Unit_Costs!$Q$16,Unit_Costs!$Q$30,Unit_Costs!$Q$44)+AG32*Assumptions!$D$90*CHOOSE(Assumptions!$D$121,Unit_Costs!$Q$16,Unit_Costs!$Q$30,Unit_Costs!$Q$44)+AG33*Assumptions!$D$91*CHOOSE(Assumptions!$D$121,Unit_Costs!$Q$16,Unit_Costs!$Q$30,Unit_Costs!$Q$44)</f>
        <v>1635.38437380174</v>
      </c>
      <c r="AH71" s="37" t="n">
        <f aca="false">AH30*Assumptions!$D$88*CHOOSE(Assumptions!$D$121,Unit_Costs!$Q$16,Unit_Costs!$Q$30,Unit_Costs!$Q$44)+AH31*Assumptions!$D$89*CHOOSE(Assumptions!$D$121,Unit_Costs!$Q$16,Unit_Costs!$Q$30,Unit_Costs!$Q$44)+AH32*Assumptions!$D$90*CHOOSE(Assumptions!$D$121,Unit_Costs!$Q$16,Unit_Costs!$Q$30,Unit_Costs!$Q$44)+AH33*Assumptions!$D$91*CHOOSE(Assumptions!$D$121,Unit_Costs!$Q$16,Unit_Costs!$Q$30,Unit_Costs!$Q$44)</f>
        <v>1756.72696040509</v>
      </c>
      <c r="AI71" s="37" t="n">
        <f aca="false">AI30*Assumptions!$D$88*CHOOSE(Assumptions!$D$121,Unit_Costs!$Q$16,Unit_Costs!$Q$30,Unit_Costs!$Q$44)+AI31*Assumptions!$D$89*CHOOSE(Assumptions!$D$121,Unit_Costs!$Q$16,Unit_Costs!$Q$30,Unit_Costs!$Q$44)+AI32*Assumptions!$D$90*CHOOSE(Assumptions!$D$121,Unit_Costs!$Q$16,Unit_Costs!$Q$30,Unit_Costs!$Q$44)+AI33*Assumptions!$D$91*CHOOSE(Assumptions!$D$121,Unit_Costs!$Q$16,Unit_Costs!$Q$30,Unit_Costs!$Q$44)</f>
        <v>1880.57591294541</v>
      </c>
      <c r="AJ71" s="37" t="n">
        <f aca="false">AJ30*Assumptions!$D$88*CHOOSE(Assumptions!$D$121,Unit_Costs!$Q$16,Unit_Costs!$Q$30,Unit_Costs!$Q$44)+AJ31*Assumptions!$D$89*CHOOSE(Assumptions!$D$121,Unit_Costs!$Q$16,Unit_Costs!$Q$30,Unit_Costs!$Q$44)+AJ32*Assumptions!$D$90*CHOOSE(Assumptions!$D$121,Unit_Costs!$Q$16,Unit_Costs!$Q$30,Unit_Costs!$Q$44)+AJ33*Assumptions!$D$91*CHOOSE(Assumptions!$D$121,Unit_Costs!$Q$16,Unit_Costs!$Q$30,Unit_Costs!$Q$44)</f>
        <v>2006.89601427933</v>
      </c>
      <c r="AK71" s="37" t="n">
        <f aca="false">AK30*Assumptions!$D$88*CHOOSE(Assumptions!$D$121,Unit_Costs!$Q$16,Unit_Costs!$Q$30,Unit_Costs!$Q$44)+AK31*Assumptions!$D$89*CHOOSE(Assumptions!$D$121,Unit_Costs!$Q$16,Unit_Costs!$Q$30,Unit_Costs!$Q$44)+AK32*Assumptions!$D$90*CHOOSE(Assumptions!$D$121,Unit_Costs!$Q$16,Unit_Costs!$Q$30,Unit_Costs!$Q$44)+AK33*Assumptions!$D$91*CHOOSE(Assumptions!$D$121,Unit_Costs!$Q$16,Unit_Costs!$Q$30,Unit_Costs!$Q$44)</f>
        <v>2135.65277791105</v>
      </c>
      <c r="AL71" s="37" t="n">
        <f aca="false">AL30*Assumptions!$D$88*CHOOSE(Assumptions!$D$121,Unit_Costs!$Q$16,Unit_Costs!$Q$30,Unit_Costs!$Q$44)+AL31*Assumptions!$D$89*CHOOSE(Assumptions!$D$121,Unit_Costs!$Q$16,Unit_Costs!$Q$30,Unit_Costs!$Q$44)+AL32*Assumptions!$D$90*CHOOSE(Assumptions!$D$121,Unit_Costs!$Q$16,Unit_Costs!$Q$30,Unit_Costs!$Q$44)+AL33*Assumptions!$D$91*CHOOSE(Assumptions!$D$121,Unit_Costs!$Q$16,Unit_Costs!$Q$30,Unit_Costs!$Q$44)</f>
        <v>2266.81242886216</v>
      </c>
    </row>
    <row r="72" customFormat="false" ht="15" hidden="false" customHeight="false" outlineLevel="0" collapsed="false">
      <c r="A72" s="9" t="s">
        <v>616</v>
      </c>
      <c r="B72" s="2" t="s">
        <v>105</v>
      </c>
      <c r="C72" s="37" t="n">
        <f aca="false">(C30*Assumptions!$D$92+C31*Assumptions!$D$93+C32*Assumptions!$D$94+C33*Assumptions!$D$95)*Assumptions!$D$96*Assumptions!$D$6</f>
        <v>0</v>
      </c>
      <c r="D72" s="37" t="n">
        <f aca="false">(D30*Assumptions!$D$92+D31*Assumptions!$D$93+D32*Assumptions!$D$94+D33*Assumptions!$D$95)*Assumptions!$D$96*Assumptions!$D$6</f>
        <v>0</v>
      </c>
      <c r="E72" s="37" t="n">
        <f aca="false">(E30*Assumptions!$D$92+E31*Assumptions!$D$93+E32*Assumptions!$D$94+E33*Assumptions!$D$95)*Assumptions!$D$96*Assumptions!$D$6</f>
        <v>0</v>
      </c>
      <c r="F72" s="37" t="n">
        <f aca="false">(F30*Assumptions!$D$92+F31*Assumptions!$D$93+F32*Assumptions!$D$94+F33*Assumptions!$D$95)*Assumptions!$D$96*Assumptions!$D$6</f>
        <v>0</v>
      </c>
      <c r="G72" s="37" t="n">
        <f aca="false">(G30*Assumptions!$D$92+G31*Assumptions!$D$93+G32*Assumptions!$D$94+G33*Assumptions!$D$95)*Assumptions!$D$96*Assumptions!$D$6</f>
        <v>0</v>
      </c>
      <c r="H72" s="37" t="n">
        <f aca="false">(H30*Assumptions!$D$92+H31*Assumptions!$D$93+H32*Assumptions!$D$94+H33*Assumptions!$D$95)*Assumptions!$D$96*Assumptions!$D$6</f>
        <v>0</v>
      </c>
      <c r="I72" s="37" t="n">
        <f aca="false">(I30*Assumptions!$D$92+I31*Assumptions!$D$93+I32*Assumptions!$D$94+I33*Assumptions!$D$95)*Assumptions!$D$96*Assumptions!$D$6</f>
        <v>0</v>
      </c>
      <c r="J72" s="37" t="n">
        <f aca="false">(J30*Assumptions!$D$92+J31*Assumptions!$D$93+J32*Assumptions!$D$94+J33*Assumptions!$D$95)*Assumptions!$D$96*Assumptions!$D$6</f>
        <v>0</v>
      </c>
      <c r="K72" s="37" t="n">
        <f aca="false">(K30*Assumptions!$D$92+K31*Assumptions!$D$93+K32*Assumptions!$D$94+K33*Assumptions!$D$95)*Assumptions!$D$96*Assumptions!$D$6</f>
        <v>0</v>
      </c>
      <c r="L72" s="37" t="n">
        <f aca="false">(L30*Assumptions!$D$92+L31*Assumptions!$D$93+L32*Assumptions!$D$94+L33*Assumptions!$D$95)*Assumptions!$D$96*Assumptions!$D$6</f>
        <v>0</v>
      </c>
      <c r="M72" s="37" t="n">
        <f aca="false">(M30*Assumptions!$D$92+M31*Assumptions!$D$93+M32*Assumptions!$D$94+M33*Assumptions!$D$95)*Assumptions!$D$96*Assumptions!$D$6</f>
        <v>0</v>
      </c>
      <c r="N72" s="37" t="n">
        <f aca="false">(N30*Assumptions!$D$92+N31*Assumptions!$D$93+N32*Assumptions!$D$94+N33*Assumptions!$D$95)*Assumptions!$D$96*Assumptions!$D$6</f>
        <v>7.55</v>
      </c>
      <c r="O72" s="37" t="n">
        <f aca="false">(O30*Assumptions!$D$92+O31*Assumptions!$D$93+O32*Assumptions!$D$94+O33*Assumptions!$D$95)*Assumptions!$D$96*Assumptions!$D$6</f>
        <v>15.8097</v>
      </c>
      <c r="P72" s="37" t="n">
        <f aca="false">(P30*Assumptions!$D$92+P31*Assumptions!$D$93+P32*Assumptions!$D$94+P33*Assumptions!$D$95)*Assumptions!$D$96*Assumptions!$D$6</f>
        <v>24.7748418</v>
      </c>
      <c r="Q72" s="37" t="n">
        <f aca="false">(Q30*Assumptions!$D$92+Q31*Assumptions!$D$93+Q32*Assumptions!$D$94+Q33*Assumptions!$D$95)*Assumptions!$D$96*Assumptions!$D$6</f>
        <v>34.4411927492</v>
      </c>
      <c r="R72" s="37" t="n">
        <f aca="false">(R30*Assumptions!$D$92+R31*Assumptions!$D$93+R32*Assumptions!$D$94+R33*Assumptions!$D$95)*Assumptions!$D$96*Assumptions!$D$6</f>
        <v>44.8045455927048</v>
      </c>
      <c r="S72" s="37" t="n">
        <f aca="false">(S30*Assumptions!$D$92+S31*Assumptions!$D$93+S32*Assumptions!$D$94+S33*Assumptions!$D$95)*Assumptions!$D$96*Assumptions!$D$6</f>
        <v>55.8607183191486</v>
      </c>
      <c r="T72" s="37" t="n">
        <f aca="false">(T30*Assumptions!$D$92+T31*Assumptions!$D$93+T32*Assumptions!$D$94+T33*Assumptions!$D$95)*Assumptions!$D$96*Assumptions!$D$6</f>
        <v>67.6055540092337</v>
      </c>
      <c r="U72" s="37" t="n">
        <f aca="false">(U30*Assumptions!$D$92+U31*Assumptions!$D$93+U32*Assumptions!$D$94+U33*Assumptions!$D$95)*Assumptions!$D$96*Assumptions!$D$6</f>
        <v>80.0349206851783</v>
      </c>
      <c r="V72" s="37" t="n">
        <f aca="false">(V30*Assumptions!$D$92+V31*Assumptions!$D$93+V32*Assumptions!$D$94+V33*Assumptions!$D$95)*Assumptions!$D$96*Assumptions!$D$6</f>
        <v>93.1447111610672</v>
      </c>
      <c r="W72" s="37" t="n">
        <f aca="false">(W30*Assumptions!$D$92+W31*Assumptions!$D$93+W32*Assumptions!$D$94+W33*Assumptions!$D$95)*Assumptions!$D$96*Assumptions!$D$6</f>
        <v>106.930842894101</v>
      </c>
      <c r="X72" s="37" t="n">
        <f aca="false">(X30*Assumptions!$D$92+X31*Assumptions!$D$93+X32*Assumptions!$D$94+X33*Assumptions!$D$95)*Assumptions!$D$96*Assumptions!$D$6</f>
        <v>121.389257836736</v>
      </c>
      <c r="Y72" s="37" t="n">
        <f aca="false">(Y30*Assumptions!$D$92+Y31*Assumptions!$D$93+Y32*Assumptions!$D$94+Y33*Assumptions!$D$95)*Assumptions!$D$96*Assumptions!$D$6</f>
        <v>136.515922289716</v>
      </c>
      <c r="Z72" s="37" t="n">
        <f aca="false">(Z30*Assumptions!$D$92+Z31*Assumptions!$D$93+Z32*Assumptions!$D$94+Z33*Assumptions!$D$95)*Assumptions!$D$96*Assumptions!$D$6</f>
        <v>152.306826755977</v>
      </c>
      <c r="AA72" s="37" t="n">
        <f aca="false">(AA30*Assumptions!$D$92+AA31*Assumptions!$D$93+AA32*Assumptions!$D$94+AA33*Assumptions!$D$95)*Assumptions!$D$96*Assumptions!$D$6</f>
        <v>168.757985795442</v>
      </c>
      <c r="AB72" s="37" t="n">
        <f aca="false">(AB30*Assumptions!$D$92+AB31*Assumptions!$D$93+AB32*Assumptions!$D$94+AB33*Assumptions!$D$95)*Assumptions!$D$96*Assumptions!$D$6</f>
        <v>190.584187880669</v>
      </c>
      <c r="AC72" s="37" t="n">
        <f aca="false">(AC30*Assumptions!$D$92+AC31*Assumptions!$D$93+AC32*Assumptions!$D$94+AC33*Assumptions!$D$95)*Assumptions!$D$96*Assumptions!$D$6</f>
        <v>213.034432753385</v>
      </c>
      <c r="AD72" s="37" t="n">
        <f aca="false">(AD30*Assumptions!$D$92+AD31*Assumptions!$D$93+AD32*Assumptions!$D$94+AD33*Assumptions!$D$95)*Assumptions!$D$96*Assumptions!$D$6</f>
        <v>236.104976156865</v>
      </c>
      <c r="AE72" s="37" t="n">
        <f aca="false">(AE30*Assumptions!$D$92+AE31*Assumptions!$D$93+AE32*Assumptions!$D$94+AE33*Assumptions!$D$95)*Assumptions!$D$96*Assumptions!$D$6</f>
        <v>259.792096299923</v>
      </c>
      <c r="AF72" s="37" t="n">
        <f aca="false">(AF30*Assumptions!$D$92+AF31*Assumptions!$D$93+AF32*Assumptions!$D$94+AF33*Assumptions!$D$95)*Assumptions!$D$96*Assumptions!$D$6</f>
        <v>284.092093722124</v>
      </c>
      <c r="AG72" s="37" t="n">
        <f aca="false">(AG30*Assumptions!$D$92+AG31*Assumptions!$D$93+AG32*Assumptions!$D$94+AG33*Assumptions!$D$95)*Assumptions!$D$96*Assumptions!$D$6</f>
        <v>309.001291159791</v>
      </c>
      <c r="AH72" s="37" t="n">
        <f aca="false">(AH30*Assumptions!$D$92+AH31*Assumptions!$D$93+AH32*Assumptions!$D$94+AH33*Assumptions!$D$95)*Assumptions!$D$96*Assumptions!$D$6</f>
        <v>334.516033412832</v>
      </c>
      <c r="AI72" s="37" t="n">
        <f aca="false">(AI30*Assumptions!$D$92+AI31*Assumptions!$D$93+AI32*Assumptions!$D$94+AI33*Assumptions!$D$95)*Assumptions!$D$96*Assumptions!$D$6</f>
        <v>360.632687212355</v>
      </c>
      <c r="AJ72" s="37" t="n">
        <f aca="false">(AJ30*Assumptions!$D$92+AJ31*Assumptions!$D$93+AJ32*Assumptions!$D$94+AJ33*Assumptions!$D$95)*Assumptions!$D$96*Assumptions!$D$6</f>
        <v>387.347641089081</v>
      </c>
      <c r="AK72" s="37" t="n">
        <f aca="false">(AK30*Assumptions!$D$92+AK31*Assumptions!$D$93+AK32*Assumptions!$D$94+AK33*Assumptions!$D$95)*Assumptions!$D$96*Assumptions!$D$6</f>
        <v>414.657305242547</v>
      </c>
      <c r="AL72" s="37" t="n">
        <f aca="false">(AL30*Assumptions!$D$92+AL31*Assumptions!$D$93+AL32*Assumptions!$D$94+AL33*Assumptions!$D$95)*Assumptions!$D$96*Assumptions!$D$6</f>
        <v>442.558111411092</v>
      </c>
    </row>
    <row r="73" customFormat="false" ht="15" hidden="false" customHeight="false" outlineLevel="0" collapsed="false">
      <c r="A73" s="9" t="s">
        <v>617</v>
      </c>
      <c r="B73" s="2" t="s">
        <v>105</v>
      </c>
      <c r="C73" s="37" t="n">
        <f aca="false">(C22*Assumptions!$D$105+C23*Assumptions!$D$106+C24*Assumptions!$D$107+C25*Assumptions!$D$108)*Assumptions!$D$109</f>
        <v>0</v>
      </c>
      <c r="D73" s="37" t="n">
        <f aca="false">(D22*Assumptions!$D$105+D23*Assumptions!$D$106+D24*Assumptions!$D$107+D25*Assumptions!$D$108)*Assumptions!$D$109</f>
        <v>0</v>
      </c>
      <c r="E73" s="37" t="n">
        <f aca="false">(E22*Assumptions!$D$105+E23*Assumptions!$D$106+E24*Assumptions!$D$107+E25*Assumptions!$D$108)*Assumptions!$D$109</f>
        <v>0</v>
      </c>
      <c r="F73" s="37" t="n">
        <f aca="false">(F22*Assumptions!$D$105+F23*Assumptions!$D$106+F24*Assumptions!$D$107+F25*Assumptions!$D$108)*Assumptions!$D$109</f>
        <v>0</v>
      </c>
      <c r="G73" s="37" t="n">
        <f aca="false">(G22*Assumptions!$D$105+G23*Assumptions!$D$106+G24*Assumptions!$D$107+G25*Assumptions!$D$108)*Assumptions!$D$109</f>
        <v>0</v>
      </c>
      <c r="H73" s="37" t="n">
        <f aca="false">(H22*Assumptions!$D$105+H23*Assumptions!$D$106+H24*Assumptions!$D$107+H25*Assumptions!$D$108)*Assumptions!$D$109</f>
        <v>26.25</v>
      </c>
      <c r="I73" s="37" t="n">
        <f aca="false">(I22*Assumptions!$D$105+I23*Assumptions!$D$106+I24*Assumptions!$D$107+I25*Assumptions!$D$108)*Assumptions!$D$109</f>
        <v>62.125</v>
      </c>
      <c r="J73" s="37" t="n">
        <f aca="false">(J22*Assumptions!$D$105+J23*Assumptions!$D$106+J24*Assumptions!$D$107+J25*Assumptions!$D$108)*Assumptions!$D$109</f>
        <v>74.9</v>
      </c>
      <c r="K73" s="37" t="n">
        <f aca="false">(K22*Assumptions!$D$105+K23*Assumptions!$D$106+K24*Assumptions!$D$107+K25*Assumptions!$D$108)*Assumptions!$D$109</f>
        <v>143.675</v>
      </c>
      <c r="L73" s="37" t="n">
        <f aca="false">(L22*Assumptions!$D$105+L23*Assumptions!$D$106+L24*Assumptions!$D$107+L25*Assumptions!$D$108)*Assumptions!$D$109</f>
        <v>164.85</v>
      </c>
      <c r="M73" s="37" t="n">
        <f aca="false">(M22*Assumptions!$D$105+M23*Assumptions!$D$106+M24*Assumptions!$D$107+M25*Assumptions!$D$108)*Assumptions!$D$109</f>
        <v>186.025</v>
      </c>
      <c r="N73" s="37" t="n">
        <f aca="false">(N22*Assumptions!$D$105+N23*Assumptions!$D$106+N24*Assumptions!$D$107+N25*Assumptions!$D$108)*Assumptions!$D$109</f>
        <v>291.2</v>
      </c>
      <c r="O73" s="37" t="n">
        <f aca="false">(O22*Assumptions!$D$105+O23*Assumptions!$D$106+O24*Assumptions!$D$107+O25*Assumptions!$D$108)*Assumptions!$D$109</f>
        <v>320.775</v>
      </c>
      <c r="P73" s="37" t="n">
        <f aca="false">(P22*Assumptions!$D$105+P23*Assumptions!$D$106+P24*Assumptions!$D$107+P25*Assumptions!$D$108)*Assumptions!$D$109</f>
        <v>350.35</v>
      </c>
      <c r="Q73" s="37" t="n">
        <f aca="false">(Q22*Assumptions!$D$105+Q23*Assumptions!$D$106+Q24*Assumptions!$D$107+Q25*Assumptions!$D$108)*Assumptions!$D$109</f>
        <v>379.925</v>
      </c>
      <c r="R73" s="37" t="n">
        <f aca="false">(R22*Assumptions!$D$105+R23*Assumptions!$D$106+R24*Assumptions!$D$107+R25*Assumptions!$D$108)*Assumptions!$D$109</f>
        <v>409.5</v>
      </c>
      <c r="S73" s="37" t="n">
        <f aca="false">(S22*Assumptions!$D$105+S23*Assumptions!$D$106+S24*Assumptions!$D$107+S25*Assumptions!$D$108)*Assumptions!$D$109</f>
        <v>439.075</v>
      </c>
      <c r="T73" s="37" t="n">
        <f aca="false">(T22*Assumptions!$D$105+T23*Assumptions!$D$106+T24*Assumptions!$D$107+T25*Assumptions!$D$108)*Assumptions!$D$109</f>
        <v>468.65</v>
      </c>
      <c r="U73" s="37" t="n">
        <f aca="false">(U22*Assumptions!$D$105+U23*Assumptions!$D$106+U24*Assumptions!$D$107+U25*Assumptions!$D$108)*Assumptions!$D$109</f>
        <v>498.225</v>
      </c>
      <c r="V73" s="37" t="n">
        <f aca="false">(V22*Assumptions!$D$105+V23*Assumptions!$D$106+V24*Assumptions!$D$107+V25*Assumptions!$D$108)*Assumptions!$D$109</f>
        <v>527.8</v>
      </c>
      <c r="W73" s="37" t="n">
        <f aca="false">(W22*Assumptions!$D$105+W23*Assumptions!$D$106+W24*Assumptions!$D$107+W25*Assumptions!$D$108)*Assumptions!$D$109</f>
        <v>557.375</v>
      </c>
      <c r="X73" s="37" t="n">
        <f aca="false">(X22*Assumptions!$D$105+X23*Assumptions!$D$106+X24*Assumptions!$D$107+X25*Assumptions!$D$108)*Assumptions!$D$109</f>
        <v>586.95</v>
      </c>
      <c r="Y73" s="37" t="n">
        <f aca="false">(Y22*Assumptions!$D$105+Y23*Assumptions!$D$106+Y24*Assumptions!$D$107+Y25*Assumptions!$D$108)*Assumptions!$D$109</f>
        <v>616.525</v>
      </c>
      <c r="Z73" s="37" t="n">
        <f aca="false">(Z22*Assumptions!$D$105+Z23*Assumptions!$D$106+Z24*Assumptions!$D$107+Z25*Assumptions!$D$108)*Assumptions!$D$109</f>
        <v>646.1</v>
      </c>
      <c r="AA73" s="37" t="n">
        <f aca="false">(AA22*Assumptions!$D$105+AA23*Assumptions!$D$106+AA24*Assumptions!$D$107+AA25*Assumptions!$D$108)*Assumptions!$D$109</f>
        <v>675.675</v>
      </c>
      <c r="AB73" s="37" t="n">
        <f aca="false">(AB22*Assumptions!$D$105+AB23*Assumptions!$D$106+AB24*Assumptions!$D$107+AB25*Assumptions!$D$108)*Assumptions!$D$109</f>
        <v>841.75</v>
      </c>
      <c r="AC73" s="37" t="n">
        <f aca="false">(AC22*Assumptions!$D$105+AC23*Assumptions!$D$106+AC24*Assumptions!$D$107+AC25*Assumptions!$D$108)*Assumptions!$D$109</f>
        <v>871.325</v>
      </c>
      <c r="AD73" s="37" t="n">
        <f aca="false">(AD22*Assumptions!$D$105+AD23*Assumptions!$D$106+AD24*Assumptions!$D$107+AD25*Assumptions!$D$108)*Assumptions!$D$109</f>
        <v>900.9</v>
      </c>
      <c r="AE73" s="37" t="n">
        <f aca="false">(AE22*Assumptions!$D$105+AE23*Assumptions!$D$106+AE24*Assumptions!$D$107+AE25*Assumptions!$D$108)*Assumptions!$D$109</f>
        <v>930.475</v>
      </c>
      <c r="AF73" s="37" t="n">
        <f aca="false">(AF22*Assumptions!$D$105+AF23*Assumptions!$D$106+AF24*Assumptions!$D$107+AF25*Assumptions!$D$108)*Assumptions!$D$109</f>
        <v>960.05</v>
      </c>
      <c r="AG73" s="37" t="n">
        <f aca="false">(AG22*Assumptions!$D$105+AG23*Assumptions!$D$106+AG24*Assumptions!$D$107+AG25*Assumptions!$D$108)*Assumptions!$D$109</f>
        <v>989.625</v>
      </c>
      <c r="AH73" s="37" t="n">
        <f aca="false">(AH22*Assumptions!$D$105+AH23*Assumptions!$D$106+AH24*Assumptions!$D$107+AH25*Assumptions!$D$108)*Assumptions!$D$109</f>
        <v>1019.2</v>
      </c>
      <c r="AI73" s="37" t="n">
        <f aca="false">(AI22*Assumptions!$D$105+AI23*Assumptions!$D$106+AI24*Assumptions!$D$107+AI25*Assumptions!$D$108)*Assumptions!$D$109</f>
        <v>1048.775</v>
      </c>
      <c r="AJ73" s="37" t="n">
        <f aca="false">(AJ22*Assumptions!$D$105+AJ23*Assumptions!$D$106+AJ24*Assumptions!$D$107+AJ25*Assumptions!$D$108)*Assumptions!$D$109</f>
        <v>1078.35</v>
      </c>
      <c r="AK73" s="37" t="n">
        <f aca="false">(AK22*Assumptions!$D$105+AK23*Assumptions!$D$106+AK24*Assumptions!$D$107+AK25*Assumptions!$D$108)*Assumptions!$D$109</f>
        <v>1107.925</v>
      </c>
      <c r="AL73" s="37" t="n">
        <f aca="false">(AL22*Assumptions!$D$105+AL23*Assumptions!$D$106+AL24*Assumptions!$D$107+AL25*Assumptions!$D$108)*Assumptions!$D$109</f>
        <v>1137.5</v>
      </c>
    </row>
    <row r="74" customFormat="false" ht="15" hidden="false" customHeight="false" outlineLevel="0" collapsed="false">
      <c r="A74" s="9" t="s">
        <v>618</v>
      </c>
      <c r="B74" s="2" t="s">
        <v>105</v>
      </c>
      <c r="C74" s="37" t="n">
        <f aca="false">C58*CHOOSE(Assumptions!$D$121,Unit_Costs!$Q$14,Unit_Costs!$Q$28,Unit_Costs!$Q$42)</f>
        <v>0</v>
      </c>
      <c r="D74" s="37" t="n">
        <f aca="false">D58*CHOOSE(Assumptions!$D$121,Unit_Costs!$Q$14,Unit_Costs!$Q$28,Unit_Costs!$Q$42)</f>
        <v>0</v>
      </c>
      <c r="E74" s="37" t="n">
        <f aca="false">E58*CHOOSE(Assumptions!$D$121,Unit_Costs!$Q$14,Unit_Costs!$Q$28,Unit_Costs!$Q$42)</f>
        <v>0</v>
      </c>
      <c r="F74" s="37" t="n">
        <f aca="false">F58*CHOOSE(Assumptions!$D$121,Unit_Costs!$Q$14,Unit_Costs!$Q$28,Unit_Costs!$Q$42)</f>
        <v>0</v>
      </c>
      <c r="G74" s="37" t="n">
        <f aca="false">G58*CHOOSE(Assumptions!$D$121,Unit_Costs!$Q$14,Unit_Costs!$Q$28,Unit_Costs!$Q$42)</f>
        <v>0</v>
      </c>
      <c r="H74" s="37" t="n">
        <f aca="false">H58*CHOOSE(Assumptions!$D$121,Unit_Costs!$Q$14,Unit_Costs!$Q$28,Unit_Costs!$Q$42)</f>
        <v>0</v>
      </c>
      <c r="I74" s="37" t="n">
        <f aca="false">I58*CHOOSE(Assumptions!$D$121,Unit_Costs!$Q$14,Unit_Costs!$Q$28,Unit_Costs!$Q$42)</f>
        <v>0</v>
      </c>
      <c r="J74" s="37" t="n">
        <f aca="false">J58*CHOOSE(Assumptions!$D$121,Unit_Costs!$Q$14,Unit_Costs!$Q$28,Unit_Costs!$Q$42)</f>
        <v>0</v>
      </c>
      <c r="K74" s="37" t="n">
        <f aca="false">K58*CHOOSE(Assumptions!$D$121,Unit_Costs!$Q$14,Unit_Costs!$Q$28,Unit_Costs!$Q$42)</f>
        <v>14.5100933333333</v>
      </c>
      <c r="L74" s="37" t="n">
        <f aca="false">L58*CHOOSE(Assumptions!$D$121,Unit_Costs!$Q$14,Unit_Costs!$Q$28,Unit_Costs!$Q$42)</f>
        <v>31.0515997333333</v>
      </c>
      <c r="M74" s="37" t="n">
        <f aca="false">M58*CHOOSE(Assumptions!$D$121,Unit_Costs!$Q$14,Unit_Costs!$Q$28,Unit_Costs!$Q$42)</f>
        <v>49.6042050693333</v>
      </c>
      <c r="N74" s="37" t="n">
        <f aca="false">N58*CHOOSE(Assumptions!$D$121,Unit_Costs!$Q$14,Unit_Costs!$Q$28,Unit_Costs!$Q$42)</f>
        <v>70.1477983519733</v>
      </c>
      <c r="O74" s="37" t="n">
        <f aca="false">O58*CHOOSE(Assumptions!$D$121,Unit_Costs!$Q$14,Unit_Costs!$Q$28,Unit_Costs!$Q$42)</f>
        <v>92.6624697017869</v>
      </c>
      <c r="P74" s="37" t="n">
        <f aca="false">P58*CHOOSE(Assumptions!$D$121,Unit_Costs!$Q$14,Unit_Costs!$Q$28,Unit_Costs!$Q$42)</f>
        <v>117.128508338102</v>
      </c>
      <c r="Q74" s="37" t="n">
        <f aca="false">Q58*CHOOSE(Assumptions!$D$121,Unit_Costs!$Q$14,Unit_Costs!$Q$28,Unit_Costs!$Q$42)</f>
        <v>143.526400588055</v>
      </c>
      <c r="R74" s="37" t="n">
        <f aca="false">R58*CHOOSE(Assumptions!$D$121,Unit_Costs!$Q$14,Unit_Costs!$Q$28,Unit_Costs!$Q$42)</f>
        <v>171.836827915507</v>
      </c>
      <c r="S74" s="37" t="n">
        <f aca="false">S58*CHOOSE(Assumptions!$D$121,Unit_Costs!$Q$14,Unit_Costs!$Q$28,Unit_Costs!$Q$42)</f>
        <v>202.040664969686</v>
      </c>
      <c r="T74" s="37" t="n">
        <f aca="false">T58*CHOOSE(Assumptions!$D$121,Unit_Costs!$Q$14,Unit_Costs!$Q$28,Unit_Costs!$Q$42)</f>
        <v>234.118977653322</v>
      </c>
      <c r="U74" s="37" t="n">
        <f aca="false">U58*CHOOSE(Assumptions!$D$121,Unit_Costs!$Q$14,Unit_Costs!$Q$28,Unit_Costs!$Q$42)</f>
        <v>268.053021210122</v>
      </c>
      <c r="V74" s="37" t="n">
        <f aca="false">V58*CHOOSE(Assumptions!$D$121,Unit_Costs!$Q$14,Unit_Costs!$Q$28,Unit_Costs!$Q$42)</f>
        <v>303.824238331354</v>
      </c>
      <c r="W74" s="37" t="n">
        <f aca="false">W58*CHOOSE(Assumptions!$D$121,Unit_Costs!$Q$14,Unit_Costs!$Q$28,Unit_Costs!$Q$42)</f>
        <v>341.414257281374</v>
      </c>
      <c r="X74" s="37" t="n">
        <f aca="false">X58*CHOOSE(Assumptions!$D$121,Unit_Costs!$Q$14,Unit_Costs!$Q$28,Unit_Costs!$Q$42)</f>
        <v>380.804890041894</v>
      </c>
      <c r="Y74" s="37" t="n">
        <f aca="false">Y58*CHOOSE(Assumptions!$D$121,Unit_Costs!$Q$14,Unit_Costs!$Q$28,Unit_Costs!$Q$42)</f>
        <v>421.978130474808</v>
      </c>
      <c r="Z74" s="37" t="n">
        <f aca="false">Z58*CHOOSE(Assumptions!$D$121,Unit_Costs!$Q$14,Unit_Costs!$Q$28,Unit_Costs!$Q$42)</f>
        <v>464.916152503393</v>
      </c>
      <c r="AA74" s="37" t="n">
        <f aca="false">AA58*CHOOSE(Assumptions!$D$121,Unit_Costs!$Q$14,Unit_Costs!$Q$28,Unit_Costs!$Q$42)</f>
        <v>509.601308311693</v>
      </c>
      <c r="AB74" s="37" t="n">
        <f aca="false">AB58*CHOOSE(Assumptions!$D$121,Unit_Costs!$Q$14,Unit_Costs!$Q$28,Unit_Costs!$Q$42)</f>
        <v>577.781266561909</v>
      </c>
      <c r="AC74" s="37" t="n">
        <f aca="false">AC58*CHOOSE(Assumptions!$D$121,Unit_Costs!$Q$14,Unit_Costs!$Q$28,Unit_Costs!$Q$42)</f>
        <v>647.455939229623</v>
      </c>
      <c r="AD74" s="37" t="n">
        <f aca="false">AD58*CHOOSE(Assumptions!$D$121,Unit_Costs!$Q$14,Unit_Costs!$Q$28,Unit_Costs!$Q$42)</f>
        <v>718.61037917066</v>
      </c>
      <c r="AE74" s="37" t="n">
        <f aca="false">AE58*CHOOSE(Assumptions!$D$121,Unit_Costs!$Q$14,Unit_Costs!$Q$28,Unit_Costs!$Q$42)</f>
        <v>791.229788712287</v>
      </c>
      <c r="AF74" s="37" t="n">
        <f aca="false">AF58*CHOOSE(Assumptions!$D$121,Unit_Costs!$Q$14,Unit_Costs!$Q$28,Unit_Costs!$Q$42)</f>
        <v>865.299518158498</v>
      </c>
      <c r="AG74" s="37" t="n">
        <f aca="false">AG58*CHOOSE(Assumptions!$D$121,Unit_Costs!$Q$14,Unit_Costs!$Q$28,Unit_Costs!$Q$42)</f>
        <v>940.805064310246</v>
      </c>
      <c r="AH74" s="37" t="n">
        <f aca="false">AH58*CHOOSE(Assumptions!$D$121,Unit_Costs!$Q$14,Unit_Costs!$Q$28,Unit_Costs!$Q$42)</f>
        <v>1017.73206900048</v>
      </c>
      <c r="AI74" s="37" t="n">
        <f aca="false">AI58*CHOOSE(Assumptions!$D$121,Unit_Costs!$Q$14,Unit_Costs!$Q$28,Unit_Costs!$Q$42)</f>
        <v>1096.06631764381</v>
      </c>
      <c r="AJ74" s="37" t="n">
        <f aca="false">AJ58*CHOOSE(Assumptions!$D$121,Unit_Costs!$Q$14,Unit_Costs!$Q$28,Unit_Costs!$Q$42)</f>
        <v>1175.7937378007</v>
      </c>
      <c r="AK74" s="37" t="n">
        <f aca="false">AK58*CHOOSE(Assumptions!$D$121,Unit_Costs!$Q$14,Unit_Costs!$Q$28,Unit_Costs!$Q$42)</f>
        <v>1256.90039775603</v>
      </c>
      <c r="AL74" s="37" t="n">
        <f aca="false">AL58*CHOOSE(Assumptions!$D$121,Unit_Costs!$Q$14,Unit_Costs!$Q$28,Unit_Costs!$Q$42)</f>
        <v>1339.3725051118</v>
      </c>
    </row>
    <row r="75" customFormat="false" ht="15" hidden="false" customHeight="false" outlineLevel="0" collapsed="false">
      <c r="A75" s="9" t="s">
        <v>619</v>
      </c>
      <c r="B75" s="2" t="s">
        <v>105</v>
      </c>
      <c r="C75" s="37" t="n">
        <f aca="false">(C39+C50+C54)*Assumptions!$D$97+C30*Assumptions!$D$101+(C40+C51+C55)*Assumptions!$D$98+C31*Assumptions!$D$102+(C41+C52+C56)*Assumptions!$D$99+C32*Assumptions!$D$103+(C42+C53+C57)*Assumptions!$D$100+C33*Assumptions!$D$104+C59*Assumptions!$D$99</f>
        <v>0</v>
      </c>
      <c r="D75" s="37" t="n">
        <f aca="false">(D39+D50+D54)*Assumptions!$D$97+D30*Assumptions!$D$101+(D40+D51+D55)*Assumptions!$D$98+D31*Assumptions!$D$102+(D41+D52+D56)*Assumptions!$D$99+D32*Assumptions!$D$103+(D42+D53+D57)*Assumptions!$D$100+D33*Assumptions!$D$104+D59*Assumptions!$D$99</f>
        <v>0</v>
      </c>
      <c r="E75" s="37" t="n">
        <f aca="false">(E39+E50+E54)*Assumptions!$D$97+E30*Assumptions!$D$101+(E40+E51+E55)*Assumptions!$D$98+E31*Assumptions!$D$102+(E41+E52+E56)*Assumptions!$D$99+E32*Assumptions!$D$103+(E42+E53+E57)*Assumptions!$D$100+E33*Assumptions!$D$104+E59*Assumptions!$D$99</f>
        <v>0</v>
      </c>
      <c r="F75" s="37" t="n">
        <f aca="false">(F39+F50+F54)*Assumptions!$D$97+F30*Assumptions!$D$101+(F40+F51+F55)*Assumptions!$D$98+F31*Assumptions!$D$102+(F41+F52+F56)*Assumptions!$D$99+F32*Assumptions!$D$103+(F42+F53+F57)*Assumptions!$D$100+F33*Assumptions!$D$104+F59*Assumptions!$D$99</f>
        <v>0</v>
      </c>
      <c r="G75" s="37" t="n">
        <f aca="false">(G39+G50+G54)*Assumptions!$D$97+G30*Assumptions!$D$101+(G40+G51+G55)*Assumptions!$D$98+G31*Assumptions!$D$102+(G41+G52+G56)*Assumptions!$D$99+G32*Assumptions!$D$103+(G42+G53+G57)*Assumptions!$D$100+G33*Assumptions!$D$104+G59*Assumptions!$D$99</f>
        <v>0</v>
      </c>
      <c r="H75" s="37" t="n">
        <f aca="false">(H39+H50+H54)*Assumptions!$D$97+H30*Assumptions!$D$101+(H40+H51+H55)*Assumptions!$D$98+H31*Assumptions!$D$102+(H41+H52+H56)*Assumptions!$D$99+H32*Assumptions!$D$103+(H42+H53+H57)*Assumptions!$D$100+H33*Assumptions!$D$104+H59*Assumptions!$D$99</f>
        <v>5.0685</v>
      </c>
      <c r="I75" s="37" t="n">
        <f aca="false">(I39+I50+I54)*Assumptions!$D$97+I30*Assumptions!$D$101+(I40+I51+I55)*Assumptions!$D$98+I31*Assumptions!$D$102+(I41+I52+I56)*Assumptions!$D$99+I32*Assumptions!$D$103+(I42+I53+I57)*Assumptions!$D$100+I33*Assumptions!$D$104+I59*Assumptions!$D$99</f>
        <v>16.382903329</v>
      </c>
      <c r="J75" s="37" t="n">
        <f aca="false">(J39+J50+J54)*Assumptions!$D$97+J30*Assumptions!$D$101+(J40+J51+J55)*Assumptions!$D$98+J31*Assumptions!$D$102+(J41+J52+J56)*Assumptions!$D$99+J32*Assumptions!$D$103+(J42+J53+J57)*Assumptions!$D$100+J33*Assumptions!$D$104+J59*Assumptions!$D$99</f>
        <v>27.29729252302</v>
      </c>
      <c r="K75" s="37" t="n">
        <f aca="false">(K39+K50+K54)*Assumptions!$D$97+K30*Assumptions!$D$101+(K40+K51+K55)*Assumptions!$D$98+K31*Assumptions!$D$102+(K41+K52+K56)*Assumptions!$D$99+K32*Assumptions!$D$103+(K42+K53+K57)*Assumptions!$D$100+K33*Assumptions!$D$104+K59*Assumptions!$D$99</f>
        <v>46.3637670076892</v>
      </c>
      <c r="L75" s="37" t="n">
        <f aca="false">(L39+L50+L54)*Assumptions!$D$97+L30*Assumptions!$D$101+(L40+L51+L55)*Assumptions!$D$98+L31*Assumptions!$D$102+(L41+L52+L56)*Assumptions!$D$99+L32*Assumptions!$D$103+(L42+L53+L57)*Assumptions!$D$100+L33*Assumptions!$D$104+L59*Assumptions!$D$99</f>
        <v>65.2930879931352</v>
      </c>
      <c r="M75" s="37" t="n">
        <f aca="false">(M39+M50+M54)*Assumptions!$D$97+M30*Assumptions!$D$101+(M40+M51+M55)*Assumptions!$D$98+M31*Assumptions!$D$102+(M41+M52+M56)*Assumptions!$D$99+M32*Assumptions!$D$103+(M42+M53+M57)*Assumptions!$D$100+M33*Assumptions!$D$104+M59*Assumptions!$D$99</f>
        <v>86.1508556075508</v>
      </c>
      <c r="N75" s="37" t="n">
        <f aca="false">(N39+N50+N54)*Assumptions!$D$97+N30*Assumptions!$D$101+(N40+N51+N55)*Assumptions!$D$98+N31*Assumptions!$D$102+(N41+N52+N56)*Assumptions!$D$99+N32*Assumptions!$D$103+(N42+N53+N57)*Assumptions!$D$100+N33*Assumptions!$D$104+N59*Assumptions!$D$99</f>
        <v>118.776069092919</v>
      </c>
      <c r="O75" s="37" t="n">
        <f aca="false">(O39+O50+O54)*Assumptions!$D$97+O30*Assumptions!$D$101+(O40+O51+O55)*Assumptions!$D$98+O31*Assumptions!$D$102+(O41+O52+O56)*Assumptions!$D$99+O32*Assumptions!$D$103+(O42+O53+O57)*Assumptions!$D$100+O33*Assumptions!$D$104+O59*Assumptions!$D$99</f>
        <v>149.308220719463</v>
      </c>
      <c r="P75" s="37" t="n">
        <f aca="false">(P39+P50+P54)*Assumptions!$D$97+P30*Assumptions!$D$101+(P40+P51+P55)*Assumptions!$D$98+P31*Assumptions!$D$102+(P41+P52+P56)*Assumptions!$D$99+P32*Assumptions!$D$103+(P42+P53+P57)*Assumptions!$D$100+P33*Assumptions!$D$104+P59*Assumptions!$D$99</f>
        <v>182.168606271521</v>
      </c>
      <c r="Q75" s="37" t="n">
        <f aca="false">(Q39+Q50+Q54)*Assumptions!$D$97+Q30*Assumptions!$D$101+(Q40+Q51+Q55)*Assumptions!$D$98+Q31*Assumptions!$D$102+(Q41+Q52+Q56)*Assumptions!$D$99+Q32*Assumptions!$D$103+(Q42+Q53+Q57)*Assumptions!$D$100+Q33*Assumptions!$D$104+Q59*Assumptions!$D$99</f>
        <v>217.324454434148</v>
      </c>
      <c r="R75" s="37" t="n">
        <f aca="false">(R39+R50+R54)*Assumptions!$D$97+R30*Assumptions!$D$101+(R40+R51+R55)*Assumptions!$D$98+R31*Assumptions!$D$102+(R41+R52+R56)*Assumptions!$D$99+R32*Assumptions!$D$103+(R42+R53+R57)*Assumptions!$D$100+R33*Assumptions!$D$104+R59*Assumptions!$D$99</f>
        <v>254.743900153365</v>
      </c>
      <c r="S75" s="37" t="n">
        <f aca="false">(S39+S50+S54)*Assumptions!$D$97+S30*Assumptions!$D$101+(S40+S51+S55)*Assumptions!$D$98+S31*Assumptions!$D$102+(S41+S52+S56)*Assumptions!$D$99+S32*Assumptions!$D$103+(S42+S53+S57)*Assumptions!$D$100+S33*Assumptions!$D$104+S59*Assumptions!$D$99</f>
        <v>294.395958805763</v>
      </c>
      <c r="T75" s="37" t="n">
        <f aca="false">(T39+T50+T54)*Assumptions!$D$97+T30*Assumptions!$D$101+(T40+T51+T55)*Assumptions!$D$98+T31*Assumptions!$D$102+(T41+T52+T56)*Assumptions!$D$99+T32*Assumptions!$D$103+(T42+T53+T57)*Assumptions!$D$100+T33*Assumptions!$D$104+T59*Assumptions!$D$99</f>
        <v>336.250501152095</v>
      </c>
      <c r="U75" s="37" t="n">
        <f aca="false">(U39+U50+U54)*Assumptions!$D$97+U30*Assumptions!$D$101+(U40+U51+U55)*Assumptions!$D$98+U31*Assumptions!$D$102+(U41+U52+U56)*Assumptions!$D$99+U32*Assumptions!$D$103+(U42+U53+U57)*Assumptions!$D$100+U33*Assumptions!$D$104+U59*Assumptions!$D$99</f>
        <v>380.278229050246</v>
      </c>
      <c r="V75" s="37" t="n">
        <f aca="false">(V39+V50+V54)*Assumptions!$D$97+V30*Assumptions!$D$101+(V40+V51+V55)*Assumptions!$D$98+V31*Assumptions!$D$102+(V41+V52+V56)*Assumptions!$D$99+V32*Assumptions!$D$103+(V42+V53+V57)*Assumptions!$D$100+V33*Assumptions!$D$104+V59*Assumptions!$D$99</f>
        <v>426.450651903821</v>
      </c>
      <c r="W75" s="37" t="n">
        <f aca="false">(W39+W50+W54)*Assumptions!$D$97+W30*Assumptions!$D$101+(W40+W51+W55)*Assumptions!$D$98+W31*Assumptions!$D$102+(W41+W52+W56)*Assumptions!$D$99+W32*Assumptions!$D$103+(W42+W53+W57)*Assumptions!$D$100+W33*Assumptions!$D$104+W59*Assumptions!$D$99</f>
        <v>474.740063823295</v>
      </c>
      <c r="X75" s="37" t="n">
        <f aca="false">(X39+X50+X54)*Assumptions!$D$97+X30*Assumptions!$D$101+(X40+X51+X55)*Assumptions!$D$98+X31*Assumptions!$D$102+(X41+X52+X56)*Assumptions!$D$99+X32*Assumptions!$D$103+(X42+X53+X57)*Assumptions!$D$100+X33*Assumptions!$D$104+X59*Assumptions!$D$99</f>
        <v>525.119521477458</v>
      </c>
      <c r="Y75" s="37" t="n">
        <f aca="false">(Y39+Y50+Y54)*Assumptions!$D$97+Y30*Assumptions!$D$101+(Y40+Y51+Y55)*Assumptions!$D$98+Y31*Assumptions!$D$102+(Y41+Y52+Y56)*Assumptions!$D$99+Y32*Assumptions!$D$103+(Y42+Y53+Y57)*Assumptions!$D$100+Y33*Assumptions!$D$104+Y59*Assumptions!$D$99</f>
        <v>577.562822613559</v>
      </c>
      <c r="Z75" s="37" t="n">
        <f aca="false">(Z39+Z50+Z54)*Assumptions!$D$97+Z30*Assumptions!$D$101+(Z40+Z51+Z55)*Assumptions!$D$98+Z31*Assumptions!$D$102+(Z41+Z52+Z56)*Assumptions!$D$99+Z32*Assumptions!$D$103+(Z42+Z53+Z57)*Assumptions!$D$100+Z33*Assumptions!$D$104+Z59*Assumptions!$D$99</f>
        <v>632.044485225275</v>
      </c>
      <c r="AA75" s="37" t="n">
        <f aca="false">(AA39+AA50+AA54)*Assumptions!$D$97+AA30*Assumptions!$D$101+(AA40+AA51+AA55)*Assumptions!$D$98+AA31*Assumptions!$D$102+(AA41+AA52+AA56)*Assumptions!$D$99+AA32*Assumptions!$D$103+(AA42+AA53+AA57)*Assumptions!$D$100+AA33*Assumptions!$D$104+AA59*Assumptions!$D$99</f>
        <v>688.539727348282</v>
      </c>
      <c r="AB75" s="37" t="n">
        <f aca="false">(AB39+AB50+AB54)*Assumptions!$D$97+AB30*Assumptions!$D$101+(AB40+AB51+AB55)*Assumptions!$D$98+AB31*Assumptions!$D$102+(AB41+AB52+AB56)*Assumptions!$D$99+AB32*Assumptions!$D$103+(AB42+AB53+AB57)*Assumptions!$D$100+AB33*Assumptions!$D$104+AB59*Assumptions!$D$99</f>
        <v>763.358844963858</v>
      </c>
      <c r="AC75" s="37" t="n">
        <f aca="false">(AC39+AC50+AC54)*Assumptions!$D$97+AC30*Assumptions!$D$101+(AC40+AC51+AC55)*Assumptions!$D$98+AC31*Assumptions!$D$102+(AC41+AC52+AC56)*Assumptions!$D$99+AC32*Assumptions!$D$103+(AC42+AC53+AC57)*Assumptions!$D$100+AC33*Assumptions!$D$104+AC59*Assumptions!$D$99</f>
        <v>833.317379444163</v>
      </c>
      <c r="AD75" s="37" t="n">
        <f aca="false">(AD39+AD50+AD54)*Assumptions!$D$97+AD30*Assumptions!$D$101+(AD40+AD51+AD55)*Assumptions!$D$98+AD31*Assumptions!$D$102+(AD41+AD52+AD56)*Assumptions!$D$99+AD32*Assumptions!$D$103+(AD42+AD53+AD57)*Assumptions!$D$100+AD33*Assumptions!$D$104+AD59*Assumptions!$D$99</f>
        <v>905.199057227787</v>
      </c>
      <c r="AE75" s="37" t="n">
        <f aca="false">(AE39+AE50+AE54)*Assumptions!$D$97+AE30*Assumptions!$D$101+(AE40+AE51+AE55)*Assumptions!$D$98+AE31*Assumptions!$D$102+(AE41+AE52+AE56)*Assumptions!$D$99+AE32*Assumptions!$D$103+(AE42+AE53+AE57)*Assumptions!$D$100+AE33*Assumptions!$D$104+AE59*Assumptions!$D$99</f>
        <v>978.981977931275</v>
      </c>
      <c r="AF75" s="37" t="n">
        <f aca="false">(AF39+AF50+AF54)*Assumptions!$D$97+AF30*Assumptions!$D$101+(AF40+AF51+AF55)*Assumptions!$D$98+AF31*Assumptions!$D$102+(AF41+AF52+AF56)*Assumptions!$D$99+AF32*Assumptions!$D$103+(AF42+AF53+AF57)*Assumptions!$D$100+AF33*Assumptions!$D$104+AF59*Assumptions!$D$99</f>
        <v>1054.64484702248</v>
      </c>
      <c r="AG75" s="37" t="n">
        <f aca="false">(AG39+AG50+AG54)*Assumptions!$D$97+AG30*Assumptions!$D$101+(AG40+AG51+AG55)*Assumptions!$D$98+AG31*Assumptions!$D$102+(AG41+AG52+AG56)*Assumptions!$D$99+AG32*Assumptions!$D$103+(AG42+AG53+AG57)*Assumptions!$D$100+AG33*Assumptions!$D$104+AG59*Assumptions!$D$99</f>
        <v>1132.16695901288</v>
      </c>
      <c r="AH75" s="37" t="n">
        <f aca="false">(AH39+AH50+AH54)*Assumptions!$D$97+AH30*Assumptions!$D$101+(AH40+AH51+AH55)*Assumptions!$D$98+AH31*Assumptions!$D$102+(AH41+AH52+AH56)*Assumptions!$D$99+AH32*Assumptions!$D$103+(AH42+AH53+AH57)*Assumptions!$D$100+AH33*Assumptions!$D$104+AH59*Assumptions!$D$99</f>
        <v>1211.52818115275</v>
      </c>
      <c r="AI75" s="37" t="n">
        <f aca="false">(AI39+AI50+AI54)*Assumptions!$D$97+AI30*Assumptions!$D$101+(AI40+AI51+AI55)*Assumptions!$D$98+AI31*Assumptions!$D$102+(AI41+AI52+AI56)*Assumptions!$D$99+AI32*Assumptions!$D$103+(AI42+AI53+AI57)*Assumptions!$D$100+AI33*Assumptions!$D$104+AI59*Assumptions!$D$99</f>
        <v>1292.70893761352</v>
      </c>
      <c r="AJ75" s="37" t="n">
        <f aca="false">(AJ39+AJ50+AJ54)*Assumptions!$D$97+AJ30*Assumptions!$D$101+(AJ40+AJ51+AJ55)*Assumptions!$D$98+AJ31*Assumptions!$D$102+(AJ41+AJ52+AJ56)*Assumptions!$D$99+AJ32*Assumptions!$D$103+(AJ42+AJ53+AJ57)*Assumptions!$D$100+AJ33*Assumptions!$D$104+AJ59*Assumptions!$D$99</f>
        <v>1375.69019414242</v>
      </c>
      <c r="AK75" s="37" t="n">
        <f aca="false">(AK39+AK50+AK54)*Assumptions!$D$97+AK30*Assumptions!$D$101+(AK40+AK51+AK55)*Assumptions!$D$98+AK31*Assumptions!$D$102+(AK41+AK52+AK56)*Assumptions!$D$99+AK32*Assumptions!$D$103+(AK42+AK53+AK57)*Assumptions!$D$100+AK33*Assumptions!$D$104+AK59*Assumptions!$D$99</f>
        <v>1460.4534431745</v>
      </c>
      <c r="AL75" s="37" t="n">
        <f aca="false">(AL39+AL50+AL54)*Assumptions!$D$97+AL30*Assumptions!$D$101+(AL40+AL51+AL55)*Assumptions!$D$98+AL31*Assumptions!$D$102+(AL41+AL52+AL56)*Assumptions!$D$99+AL32*Assumptions!$D$103+(AL42+AL53+AL57)*Assumptions!$D$100+AL33*Assumptions!$D$104+AL59*Assumptions!$D$99</f>
        <v>1546.98068938811</v>
      </c>
    </row>
    <row r="76" customFormat="false" ht="15" hidden="false" customHeight="false" outlineLevel="0" collapsed="false">
      <c r="A76" s="9" t="s">
        <v>620</v>
      </c>
      <c r="B76" s="2" t="s">
        <v>105</v>
      </c>
      <c r="C76" s="37" t="n">
        <f aca="false">Assumptions!$D$172+Assumptions!$D$173*C36</f>
        <v>300</v>
      </c>
      <c r="D76" s="37" t="n">
        <f aca="false">Assumptions!$D$172+Assumptions!$D$173*D36</f>
        <v>300</v>
      </c>
      <c r="E76" s="37" t="n">
        <f aca="false">Assumptions!$D$172+Assumptions!$D$173*E36</f>
        <v>300</v>
      </c>
      <c r="F76" s="37" t="n">
        <f aca="false">Assumptions!$D$172+Assumptions!$D$173*F36</f>
        <v>300</v>
      </c>
      <c r="G76" s="37" t="n">
        <f aca="false">Assumptions!$D$172+Assumptions!$D$173*G36</f>
        <v>300</v>
      </c>
      <c r="H76" s="37" t="n">
        <f aca="false">Assumptions!$D$172+Assumptions!$D$173*H36</f>
        <v>302.25</v>
      </c>
      <c r="I76" s="37" t="n">
        <f aca="false">Assumptions!$D$172+Assumptions!$D$173*I36</f>
        <v>305.24625</v>
      </c>
      <c r="J76" s="37" t="n">
        <f aca="false">Assumptions!$D$172+Assumptions!$D$173*J36</f>
        <v>308.63713125</v>
      </c>
      <c r="K76" s="37" t="n">
        <f aca="false">Assumptions!$D$172+Assumptions!$D$173*K36</f>
        <v>312.70991915625</v>
      </c>
      <c r="L76" s="37" t="n">
        <f aca="false">Assumptions!$D$172+Assumptions!$D$173*L36</f>
        <v>317.194307298281</v>
      </c>
      <c r="M76" s="37" t="n">
        <f aca="false">Assumptions!$D$172+Assumptions!$D$173*M36</f>
        <v>322.077973472529</v>
      </c>
      <c r="N76" s="37" t="n">
        <f aca="false">Assumptions!$D$172+Assumptions!$D$173*N36</f>
        <v>327.468990407436</v>
      </c>
      <c r="O76" s="37" t="n">
        <f aca="false">Assumptions!$D$172+Assumptions!$D$173*O36</f>
        <v>333.24709269196</v>
      </c>
      <c r="P76" s="37" t="n">
        <f aca="false">Assumptions!$D$172+Assumptions!$D$173*P36</f>
        <v>339.401036464381</v>
      </c>
      <c r="Q76" s="37" t="n">
        <f aca="false">Assumptions!$D$172+Assumptions!$D$173*Q36</f>
        <v>345.91993529249</v>
      </c>
      <c r="R76" s="37" t="n">
        <f aca="false">Assumptions!$D$172+Assumptions!$D$173*R36</f>
        <v>352.793248376086</v>
      </c>
      <c r="S76" s="37" t="n">
        <f aca="false">Assumptions!$D$172+Assumptions!$D$173*S36</f>
        <v>360.010769146317</v>
      </c>
      <c r="T76" s="37" t="n">
        <f aca="false">Assumptions!$D$172+Assumptions!$D$173*T36</f>
        <v>367.562614248378</v>
      </c>
      <c r="U76" s="37" t="n">
        <f aca="false">Assumptions!$D$172+Assumptions!$D$173*U36</f>
        <v>375.439212894506</v>
      </c>
      <c r="V76" s="37" t="n">
        <f aca="false">Assumptions!$D$172+Assumptions!$D$173*V36</f>
        <v>383.631296574687</v>
      </c>
      <c r="W76" s="37" t="n">
        <f aca="false">Assumptions!$D$172+Assumptions!$D$173*W36</f>
        <v>392.129889112914</v>
      </c>
      <c r="X76" s="37" t="n">
        <f aca="false">Assumptions!$D$172+Assumptions!$D$173*X36</f>
        <v>400.926297057243</v>
      </c>
      <c r="Y76" s="37" t="n">
        <f aca="false">Assumptions!$D$172+Assumptions!$D$173*Y36</f>
        <v>410.012100392309</v>
      </c>
      <c r="Z76" s="37" t="n">
        <f aca="false">Assumptions!$D$172+Assumptions!$D$173*Z36</f>
        <v>419.379143563352</v>
      </c>
      <c r="AA76" s="37" t="n">
        <f aca="false">Assumptions!$D$172+Assumptions!$D$173*AA36</f>
        <v>429.019526801155</v>
      </c>
      <c r="AB76" s="37" t="n">
        <f aca="false">Assumptions!$D$172+Assumptions!$D$173*AB36</f>
        <v>439.450597737707</v>
      </c>
      <c r="AC76" s="37" t="n">
        <f aca="false">Assumptions!$D$172+Assumptions!$D$173*AC36</f>
        <v>450.134993302691</v>
      </c>
      <c r="AD76" s="37" t="n">
        <f aca="false">Assumptions!$D$172+Assumptions!$D$173*AD36</f>
        <v>461.065579591297</v>
      </c>
      <c r="AE76" s="37" t="n">
        <f aca="false">Assumptions!$D$172+Assumptions!$D$173*AE36</f>
        <v>472.235446127935</v>
      </c>
      <c r="AF76" s="37" t="n">
        <f aca="false">Assumptions!$D$172+Assumptions!$D$173*AF36</f>
        <v>483.637898553971</v>
      </c>
      <c r="AG76" s="37" t="n">
        <f aca="false">Assumptions!$D$172+Assumptions!$D$173*AG36</f>
        <v>495.26645156005</v>
      </c>
      <c r="AH76" s="37" t="n">
        <f aca="false">Assumptions!$D$172+Assumptions!$D$173*AH36</f>
        <v>507.114822054726</v>
      </c>
      <c r="AI76" s="37" t="n">
        <f aca="false">Assumptions!$D$172+Assumptions!$D$173*AI36</f>
        <v>519.176922561377</v>
      </c>
      <c r="AJ76" s="37" t="n">
        <f aca="false">Assumptions!$D$172+Assumptions!$D$173*AJ36</f>
        <v>531.446854835694</v>
      </c>
      <c r="AK76" s="37" t="n">
        <f aca="false">Assumptions!$D$172+Assumptions!$D$173*AK36</f>
        <v>543.918903696251</v>
      </c>
      <c r="AL76" s="37" t="n">
        <f aca="false">Assumptions!$D$172+Assumptions!$D$173*AL36</f>
        <v>556.587531060965</v>
      </c>
    </row>
    <row r="77" customFormat="false" ht="15" hidden="false" customHeight="false" outlineLevel="0" collapsed="false">
      <c r="A77" s="9" t="s">
        <v>621</v>
      </c>
      <c r="B77" s="2" t="s">
        <v>105</v>
      </c>
      <c r="C77" s="37" t="n">
        <f aca="false">IF(C$3=Assumptions!$D$176,Assumptions!$D$174,IF(AND(C$3&gt;Assumptions!$D$176,MOD(C$3-Assumptions!$D$176,12)=0),Assumptions!$D$175,0))*Assumptions!$D$6</f>
        <v>0</v>
      </c>
      <c r="D77" s="37" t="n">
        <f aca="false">IF(D$3=Assumptions!$D$176,Assumptions!$D$174,IF(AND(D$3&gt;Assumptions!$D$176,MOD(D$3-Assumptions!$D$176,12)=0),Assumptions!$D$175,0))*Assumptions!$D$6</f>
        <v>0</v>
      </c>
      <c r="E77" s="37" t="n">
        <f aca="false">IF(E$3=Assumptions!$D$176,Assumptions!$D$174,IF(AND(E$3&gt;Assumptions!$D$176,MOD(E$3-Assumptions!$D$176,12)=0),Assumptions!$D$175,0))*Assumptions!$D$6</f>
        <v>0</v>
      </c>
      <c r="F77" s="37" t="n">
        <f aca="false">IF(F$3=Assumptions!$D$176,Assumptions!$D$174,IF(AND(F$3&gt;Assumptions!$D$176,MOD(F$3-Assumptions!$D$176,12)=0),Assumptions!$D$175,0))*Assumptions!$D$6</f>
        <v>0</v>
      </c>
      <c r="G77" s="37" t="n">
        <f aca="false">IF(G$3=Assumptions!$D$176,Assumptions!$D$174,IF(AND(G$3&gt;Assumptions!$D$176,MOD(G$3-Assumptions!$D$176,12)=0),Assumptions!$D$175,0))*Assumptions!$D$6</f>
        <v>0</v>
      </c>
      <c r="H77" s="37" t="n">
        <f aca="false">IF(H$3=Assumptions!$D$176,Assumptions!$D$174,IF(AND(H$3&gt;Assumptions!$D$176,MOD(H$3-Assumptions!$D$176,12)=0),Assumptions!$D$175,0))*Assumptions!$D$6</f>
        <v>0</v>
      </c>
      <c r="I77" s="37" t="n">
        <f aca="false">IF(I$3=Assumptions!$D$176,Assumptions!$D$174,IF(AND(I$3&gt;Assumptions!$D$176,MOD(I$3-Assumptions!$D$176,12)=0),Assumptions!$D$175,0))*Assumptions!$D$6</f>
        <v>0</v>
      </c>
      <c r="J77" s="37" t="n">
        <f aca="false">IF(J$3=Assumptions!$D$176,Assumptions!$D$174,IF(AND(J$3&gt;Assumptions!$D$176,MOD(J$3-Assumptions!$D$176,12)=0),Assumptions!$D$175,0))*Assumptions!$D$6</f>
        <v>5662.5</v>
      </c>
      <c r="K77" s="37" t="n">
        <f aca="false">IF(K$3=Assumptions!$D$176,Assumptions!$D$174,IF(AND(K$3&gt;Assumptions!$D$176,MOD(K$3-Assumptions!$D$176,12)=0),Assumptions!$D$175,0))*Assumptions!$D$6</f>
        <v>0</v>
      </c>
      <c r="L77" s="37" t="n">
        <f aca="false">IF(L$3=Assumptions!$D$176,Assumptions!$D$174,IF(AND(L$3&gt;Assumptions!$D$176,MOD(L$3-Assumptions!$D$176,12)=0),Assumptions!$D$175,0))*Assumptions!$D$6</f>
        <v>0</v>
      </c>
      <c r="M77" s="37" t="n">
        <f aca="false">IF(M$3=Assumptions!$D$176,Assumptions!$D$174,IF(AND(M$3&gt;Assumptions!$D$176,MOD(M$3-Assumptions!$D$176,12)=0),Assumptions!$D$175,0))*Assumptions!$D$6</f>
        <v>0</v>
      </c>
      <c r="N77" s="37" t="n">
        <f aca="false">IF(N$3=Assumptions!$D$176,Assumptions!$D$174,IF(AND(N$3&gt;Assumptions!$D$176,MOD(N$3-Assumptions!$D$176,12)=0),Assumptions!$D$175,0))*Assumptions!$D$6</f>
        <v>0</v>
      </c>
      <c r="O77" s="37" t="n">
        <f aca="false">IF(O$3=Assumptions!$D$176,Assumptions!$D$174,IF(AND(O$3&gt;Assumptions!$D$176,MOD(O$3-Assumptions!$D$176,12)=0),Assumptions!$D$175,0))*Assumptions!$D$6</f>
        <v>0</v>
      </c>
      <c r="P77" s="37" t="n">
        <f aca="false">IF(P$3=Assumptions!$D$176,Assumptions!$D$174,IF(AND(P$3&gt;Assumptions!$D$176,MOD(P$3-Assumptions!$D$176,12)=0),Assumptions!$D$175,0))*Assumptions!$D$6</f>
        <v>0</v>
      </c>
      <c r="Q77" s="37" t="n">
        <f aca="false">IF(Q$3=Assumptions!$D$176,Assumptions!$D$174,IF(AND(Q$3&gt;Assumptions!$D$176,MOD(Q$3-Assumptions!$D$176,12)=0),Assumptions!$D$175,0))*Assumptions!$D$6</f>
        <v>0</v>
      </c>
      <c r="R77" s="37" t="n">
        <f aca="false">IF(R$3=Assumptions!$D$176,Assumptions!$D$174,IF(AND(R$3&gt;Assumptions!$D$176,MOD(R$3-Assumptions!$D$176,12)=0),Assumptions!$D$175,0))*Assumptions!$D$6</f>
        <v>0</v>
      </c>
      <c r="S77" s="37" t="n">
        <f aca="false">IF(S$3=Assumptions!$D$176,Assumptions!$D$174,IF(AND(S$3&gt;Assumptions!$D$176,MOD(S$3-Assumptions!$D$176,12)=0),Assumptions!$D$175,0))*Assumptions!$D$6</f>
        <v>0</v>
      </c>
      <c r="T77" s="37" t="n">
        <f aca="false">IF(T$3=Assumptions!$D$176,Assumptions!$D$174,IF(AND(T$3&gt;Assumptions!$D$176,MOD(T$3-Assumptions!$D$176,12)=0),Assumptions!$D$175,0))*Assumptions!$D$6</f>
        <v>0</v>
      </c>
      <c r="U77" s="37" t="n">
        <f aca="false">IF(U$3=Assumptions!$D$176,Assumptions!$D$174,IF(AND(U$3&gt;Assumptions!$D$176,MOD(U$3-Assumptions!$D$176,12)=0),Assumptions!$D$175,0))*Assumptions!$D$6</f>
        <v>0</v>
      </c>
      <c r="V77" s="37" t="n">
        <f aca="false">IF(V$3=Assumptions!$D$176,Assumptions!$D$174,IF(AND(V$3&gt;Assumptions!$D$176,MOD(V$3-Assumptions!$D$176,12)=0),Assumptions!$D$175,0))*Assumptions!$D$6</f>
        <v>3397.5</v>
      </c>
      <c r="W77" s="37" t="n">
        <f aca="false">IF(W$3=Assumptions!$D$176,Assumptions!$D$174,IF(AND(W$3&gt;Assumptions!$D$176,MOD(W$3-Assumptions!$D$176,12)=0),Assumptions!$D$175,0))*Assumptions!$D$6</f>
        <v>0</v>
      </c>
      <c r="X77" s="37" t="n">
        <f aca="false">IF(X$3=Assumptions!$D$176,Assumptions!$D$174,IF(AND(X$3&gt;Assumptions!$D$176,MOD(X$3-Assumptions!$D$176,12)=0),Assumptions!$D$175,0))*Assumptions!$D$6</f>
        <v>0</v>
      </c>
      <c r="Y77" s="37" t="n">
        <f aca="false">IF(Y$3=Assumptions!$D$176,Assumptions!$D$174,IF(AND(Y$3&gt;Assumptions!$D$176,MOD(Y$3-Assumptions!$D$176,12)=0),Assumptions!$D$175,0))*Assumptions!$D$6</f>
        <v>0</v>
      </c>
      <c r="Z77" s="37" t="n">
        <f aca="false">IF(Z$3=Assumptions!$D$176,Assumptions!$D$174,IF(AND(Z$3&gt;Assumptions!$D$176,MOD(Z$3-Assumptions!$D$176,12)=0),Assumptions!$D$175,0))*Assumptions!$D$6</f>
        <v>0</v>
      </c>
      <c r="AA77" s="37" t="n">
        <f aca="false">IF(AA$3=Assumptions!$D$176,Assumptions!$D$174,IF(AND(AA$3&gt;Assumptions!$D$176,MOD(AA$3-Assumptions!$D$176,12)=0),Assumptions!$D$175,0))*Assumptions!$D$6</f>
        <v>0</v>
      </c>
      <c r="AB77" s="37" t="n">
        <f aca="false">IF(AB$3=Assumptions!$D$176,Assumptions!$D$174,IF(AND(AB$3&gt;Assumptions!$D$176,MOD(AB$3-Assumptions!$D$176,12)=0),Assumptions!$D$175,0))*Assumptions!$D$6</f>
        <v>0</v>
      </c>
      <c r="AC77" s="37" t="n">
        <f aca="false">IF(AC$3=Assumptions!$D$176,Assumptions!$D$174,IF(AND(AC$3&gt;Assumptions!$D$176,MOD(AC$3-Assumptions!$D$176,12)=0),Assumptions!$D$175,0))*Assumptions!$D$6</f>
        <v>0</v>
      </c>
      <c r="AD77" s="37" t="n">
        <f aca="false">IF(AD$3=Assumptions!$D$176,Assumptions!$D$174,IF(AND(AD$3&gt;Assumptions!$D$176,MOD(AD$3-Assumptions!$D$176,12)=0),Assumptions!$D$175,0))*Assumptions!$D$6</f>
        <v>0</v>
      </c>
      <c r="AE77" s="37" t="n">
        <f aca="false">IF(AE$3=Assumptions!$D$176,Assumptions!$D$174,IF(AND(AE$3&gt;Assumptions!$D$176,MOD(AE$3-Assumptions!$D$176,12)=0),Assumptions!$D$175,0))*Assumptions!$D$6</f>
        <v>0</v>
      </c>
      <c r="AF77" s="37" t="n">
        <f aca="false">IF(AF$3=Assumptions!$D$176,Assumptions!$D$174,IF(AND(AF$3&gt;Assumptions!$D$176,MOD(AF$3-Assumptions!$D$176,12)=0),Assumptions!$D$175,0))*Assumptions!$D$6</f>
        <v>0</v>
      </c>
      <c r="AG77" s="37" t="n">
        <f aca="false">IF(AG$3=Assumptions!$D$176,Assumptions!$D$174,IF(AND(AG$3&gt;Assumptions!$D$176,MOD(AG$3-Assumptions!$D$176,12)=0),Assumptions!$D$175,0))*Assumptions!$D$6</f>
        <v>0</v>
      </c>
      <c r="AH77" s="37" t="n">
        <f aca="false">IF(AH$3=Assumptions!$D$176,Assumptions!$D$174,IF(AND(AH$3&gt;Assumptions!$D$176,MOD(AH$3-Assumptions!$D$176,12)=0),Assumptions!$D$175,0))*Assumptions!$D$6</f>
        <v>3397.5</v>
      </c>
      <c r="AI77" s="37" t="n">
        <f aca="false">IF(AI$3=Assumptions!$D$176,Assumptions!$D$174,IF(AND(AI$3&gt;Assumptions!$D$176,MOD(AI$3-Assumptions!$D$176,12)=0),Assumptions!$D$175,0))*Assumptions!$D$6</f>
        <v>0</v>
      </c>
      <c r="AJ77" s="37" t="n">
        <f aca="false">IF(AJ$3=Assumptions!$D$176,Assumptions!$D$174,IF(AND(AJ$3&gt;Assumptions!$D$176,MOD(AJ$3-Assumptions!$D$176,12)=0),Assumptions!$D$175,0))*Assumptions!$D$6</f>
        <v>0</v>
      </c>
      <c r="AK77" s="37" t="n">
        <f aca="false">IF(AK$3=Assumptions!$D$176,Assumptions!$D$174,IF(AND(AK$3&gt;Assumptions!$D$176,MOD(AK$3-Assumptions!$D$176,12)=0),Assumptions!$D$175,0))*Assumptions!$D$6</f>
        <v>0</v>
      </c>
      <c r="AL77" s="37" t="n">
        <f aca="false">IF(AL$3=Assumptions!$D$176,Assumptions!$D$174,IF(AND(AL$3&gt;Assumptions!$D$176,MOD(AL$3-Assumptions!$D$176,12)=0),Assumptions!$D$175,0))*Assumptions!$D$6</f>
        <v>0</v>
      </c>
    </row>
    <row r="78" customFormat="false" ht="15" hidden="false" customHeight="false" outlineLevel="0" collapsed="false">
      <c r="A78" s="3" t="s">
        <v>622</v>
      </c>
      <c r="B78" s="2" t="s">
        <v>105</v>
      </c>
      <c r="C78" s="46" t="n">
        <f aca="false">SUM(C66:C77)</f>
        <v>300</v>
      </c>
      <c r="D78" s="46" t="n">
        <f aca="false">SUM(D66:D77)</f>
        <v>300</v>
      </c>
      <c r="E78" s="46" t="n">
        <f aca="false">SUM(E66:E77)</f>
        <v>300</v>
      </c>
      <c r="F78" s="46" t="n">
        <f aca="false">SUM(F66:F77)</f>
        <v>300</v>
      </c>
      <c r="G78" s="46" t="n">
        <f aca="false">SUM(G66:G77)</f>
        <v>300</v>
      </c>
      <c r="H78" s="46" t="n">
        <f aca="false">SUM(H66:H77)</f>
        <v>397.05354325</v>
      </c>
      <c r="I78" s="46" t="n">
        <f aca="false">SUM(I66:I77)</f>
        <v>566.504374062799</v>
      </c>
      <c r="J78" s="46" t="n">
        <f aca="false">SUM(J66:J77)</f>
        <v>6394.87626607731</v>
      </c>
      <c r="K78" s="46" t="n">
        <f aca="false">SUM(K66:K77)</f>
        <v>1053.89713184813</v>
      </c>
      <c r="L78" s="46" t="n">
        <f aca="false">SUM(L66:L77)</f>
        <v>1356.55831463273</v>
      </c>
      <c r="M78" s="46" t="n">
        <f aca="false">SUM(M66:M77)</f>
        <v>1689.3772306213</v>
      </c>
      <c r="N78" s="46" t="n">
        <f aca="false">SUM(N66:N77)</f>
        <v>2246.9761030916</v>
      </c>
      <c r="O78" s="46" t="n">
        <f aca="false">SUM(O66:O77)</f>
        <v>2763.39946719043</v>
      </c>
      <c r="P78" s="46" t="n">
        <f aca="false">SUM(P66:P77)</f>
        <v>3318.01394163483</v>
      </c>
      <c r="Q78" s="46" t="n">
        <f aca="false">SUM(Q66:Q77)</f>
        <v>3910.14833419016</v>
      </c>
      <c r="R78" s="46" t="n">
        <f aca="false">SUM(R66:R77)</f>
        <v>4539.14814423067</v>
      </c>
      <c r="S78" s="46" t="n">
        <f aca="false">SUM(S66:S77)</f>
        <v>5204.3750806899</v>
      </c>
      <c r="T78" s="46" t="n">
        <f aca="false">SUM(T66:T77)</f>
        <v>5905.20659490791</v>
      </c>
      <c r="U78" s="46" t="n">
        <f aca="false">SUM(U66:U77)</f>
        <v>6641.03542789843</v>
      </c>
      <c r="V78" s="46" t="n">
        <f aca="false">SUM(V66:V77)</f>
        <v>10808.7691715745</v>
      </c>
      <c r="W78" s="46" t="n">
        <f aca="false">SUM(W66:W77)</f>
        <v>8215.32984348655</v>
      </c>
      <c r="X78" s="46" t="n">
        <f aca="false">SUM(X66:X77)</f>
        <v>9052.65347464132</v>
      </c>
      <c r="Y78" s="46" t="n">
        <f aca="false">SUM(Y66:Y77)</f>
        <v>9922.68970998393</v>
      </c>
      <c r="Z78" s="46" t="n">
        <f aca="false">SUM(Z66:Z77)</f>
        <v>10824.9014211396</v>
      </c>
      <c r="AA78" s="46" t="n">
        <f aca="false">SUM(AA66:AA77)</f>
        <v>11758.7643310239</v>
      </c>
      <c r="AB78" s="46" t="n">
        <f aca="false">SUM(AB66:AB77)</f>
        <v>13048.2208380277</v>
      </c>
      <c r="AC78" s="46" t="n">
        <f aca="false">SUM(AC66:AC77)</f>
        <v>14223.5278150317</v>
      </c>
      <c r="AD78" s="46" t="n">
        <f aca="false">SUM(AD66:AD77)</f>
        <v>15427.5170285154</v>
      </c>
      <c r="AE78" s="46" t="n">
        <f aca="false">SUM(AE66:AE77)</f>
        <v>16659.7253321361</v>
      </c>
      <c r="AF78" s="46" t="n">
        <f aca="false">SUM(AF66:AF77)</f>
        <v>17919.7005964414</v>
      </c>
      <c r="AG78" s="46" t="n">
        <f aca="false">SUM(AG66:AG77)</f>
        <v>19207.0013983481</v>
      </c>
      <c r="AH78" s="46" t="n">
        <f aca="false">SUM(AH66:AH77)</f>
        <v>23918.6967200786</v>
      </c>
      <c r="AI78" s="46" t="n">
        <f aca="false">SUM(AI66:AI77)</f>
        <v>21861.8656572551</v>
      </c>
      <c r="AJ78" s="46" t="n">
        <f aca="false">SUM(AJ66:AJ77)</f>
        <v>23228.5971358608</v>
      </c>
      <c r="AK78" s="46" t="n">
        <f aca="false">SUM(AK66:AK77)</f>
        <v>24620.9896377892</v>
      </c>
      <c r="AL78" s="46" t="n">
        <f aca="false">SUM(AL66:AL77)</f>
        <v>26038.6509347089</v>
      </c>
    </row>
    <row r="79" customFormat="false" ht="15" hidden="false" customHeight="false" outlineLevel="0" collapsed="false">
      <c r="A79" s="3" t="s">
        <v>623</v>
      </c>
      <c r="B79" s="2" t="s">
        <v>105</v>
      </c>
      <c r="C79" s="45" t="n">
        <f aca="false">C63-C78</f>
        <v>-300</v>
      </c>
      <c r="D79" s="45" t="n">
        <f aca="false">D63-D78</f>
        <v>-300</v>
      </c>
      <c r="E79" s="45" t="n">
        <f aca="false">E63-E78</f>
        <v>-300</v>
      </c>
      <c r="F79" s="45" t="n">
        <f aca="false">F63-F78</f>
        <v>-300</v>
      </c>
      <c r="G79" s="45" t="n">
        <f aca="false">G63-G78</f>
        <v>-300</v>
      </c>
      <c r="H79" s="45" t="n">
        <f aca="false">H63-H78</f>
        <v>-180.30354325</v>
      </c>
      <c r="I79" s="45" t="n">
        <f aca="false">I63-I78</f>
        <v>146.377595437201</v>
      </c>
      <c r="J79" s="45" t="n">
        <f aca="false">J63-J78</f>
        <v>-5206.43649230368</v>
      </c>
      <c r="K79" s="45" t="n">
        <f aca="false">K63-K78</f>
        <v>1213.5415554332</v>
      </c>
      <c r="L79" s="45" t="n">
        <f aca="false">L63-L78</f>
        <v>1904.02741287171</v>
      </c>
      <c r="M79" s="45" t="n">
        <f aca="false">M63-M78</f>
        <v>2668.06729015213</v>
      </c>
      <c r="N79" s="45" t="n">
        <f aca="false">N63-N78</f>
        <v>4178.13600654922</v>
      </c>
      <c r="O79" s="45" t="n">
        <f aca="false">O63-O78</f>
        <v>5468.18579684329</v>
      </c>
      <c r="P79" s="45" t="n">
        <f aca="false">P63-P78</f>
        <v>6862.44344864779</v>
      </c>
      <c r="Q79" s="45" t="n">
        <f aca="false">Q63-Q78</f>
        <v>8360.21405124007</v>
      </c>
      <c r="R79" s="45" t="n">
        <f aca="false">R63-R78</f>
        <v>9960.8253561969</v>
      </c>
      <c r="S79" s="45" t="n">
        <f aca="false">S63-S78</f>
        <v>11663.6271570152</v>
      </c>
      <c r="T79" s="45" t="n">
        <f aca="false">T63-T78</f>
        <v>13467.9906871386</v>
      </c>
      <c r="U79" s="45" t="n">
        <f aca="false">U63-U78</f>
        <v>15373.3080358288</v>
      </c>
      <c r="V79" s="45" t="n">
        <f aca="false">V63-V78</f>
        <v>13981.4915813383</v>
      </c>
      <c r="W79" s="45" t="n">
        <f aca="false">W63-W78</f>
        <v>19484.4734408573</v>
      </c>
      <c r="X79" s="45" t="n">
        <f aca="false">X63-X78</f>
        <v>21689.2049367252</v>
      </c>
      <c r="Y79" s="45" t="n">
        <f aca="false">Y63-Y78</f>
        <v>23992.6560784121</v>
      </c>
      <c r="Z79" s="45" t="n">
        <f aca="false">Z63-Z78</f>
        <v>26394.3150597906</v>
      </c>
      <c r="AA79" s="45" t="n">
        <f aca="false">AA63-AA78</f>
        <v>28893.6877712348</v>
      </c>
      <c r="AB79" s="45" t="n">
        <f aca="false">AB63-AB78</f>
        <v>32523.5156380132</v>
      </c>
      <c r="AC79" s="45" t="n">
        <f aca="false">AC63-AC78</f>
        <v>35775.5075955181</v>
      </c>
      <c r="AD79" s="45" t="n">
        <f aca="false">AD63-AD78</f>
        <v>39124.6635104657</v>
      </c>
      <c r="AE79" s="45" t="n">
        <f aca="false">AE63-AE78</f>
        <v>42570.5554444568</v>
      </c>
      <c r="AF79" s="45" t="n">
        <f aca="false">AF63-AF78</f>
        <v>46112.7709833601</v>
      </c>
      <c r="AG79" s="45" t="n">
        <f aca="false">AG63-AG78</f>
        <v>49750.9128290292</v>
      </c>
      <c r="AH79" s="45" t="n">
        <f aca="false">AH63-AH78</f>
        <v>50087.098402982</v>
      </c>
      <c r="AI79" s="45" t="n">
        <f aca="false">AI63-AI78</f>
        <v>57313.4594616815</v>
      </c>
      <c r="AJ79" s="45" t="n">
        <f aca="false">AJ63-AJ78</f>
        <v>61237.1417230685</v>
      </c>
      <c r="AK79" s="45" t="n">
        <f aca="false">AK63-AK78</f>
        <v>65255.3045040072</v>
      </c>
      <c r="AL79" s="45" t="n">
        <f aca="false">AL63-AL78</f>
        <v>69367.6203683165</v>
      </c>
    </row>
    <row r="80" customFormat="false" ht="15" hidden="false" customHeight="false" outlineLevel="0" collapsed="false">
      <c r="A80" s="3" t="s">
        <v>624</v>
      </c>
      <c r="B80" s="2" t="s">
        <v>165</v>
      </c>
      <c r="C80" s="47" t="n">
        <f aca="false">IF(C63=0,0,C79/C63)</f>
        <v>0</v>
      </c>
      <c r="D80" s="47" t="n">
        <f aca="false">IF(D63=0,0,D79/D63)</f>
        <v>0</v>
      </c>
      <c r="E80" s="47" t="n">
        <f aca="false">IF(E63=0,0,E79/E63)</f>
        <v>0</v>
      </c>
      <c r="F80" s="47" t="n">
        <f aca="false">IF(F63=0,0,F79/F63)</f>
        <v>0</v>
      </c>
      <c r="G80" s="47" t="n">
        <f aca="false">IF(G63=0,0,G79/G63)</f>
        <v>0</v>
      </c>
      <c r="H80" s="47" t="n">
        <f aca="false">IF(H63=0,0,H79/H63)</f>
        <v>-0.831850257208766</v>
      </c>
      <c r="I80" s="47" t="n">
        <f aca="false">IF(I63=0,0,I79/I63)</f>
        <v>0.205332161142843</v>
      </c>
      <c r="J80" s="47" t="n">
        <f aca="false">IF(J63=0,0,J79/J63)</f>
        <v>-4.38090057838754</v>
      </c>
      <c r="K80" s="47" t="n">
        <f aca="false">IF(K63=0,0,K79/K63)</f>
        <v>0.535203691389884</v>
      </c>
      <c r="L80" s="47" t="n">
        <f aca="false">IF(L63=0,0,L79/L63)</f>
        <v>0.583952569260921</v>
      </c>
      <c r="M80" s="47" t="n">
        <f aca="false">IF(M63=0,0,M79/M63)</f>
        <v>0.612300920283102</v>
      </c>
      <c r="N80" s="47" t="n">
        <f aca="false">IF(N63=0,0,N79/N63)</f>
        <v>0.650282195119983</v>
      </c>
      <c r="O80" s="47" t="n">
        <f aca="false">IF(O63=0,0,O79/O63)</f>
        <v>0.664293161213484</v>
      </c>
      <c r="P80" s="47" t="n">
        <f aca="false">IF(P63=0,0,P79/P63)</f>
        <v>0.674080071804837</v>
      </c>
      <c r="Q80" s="47" t="n">
        <f aca="false">IF(Q63=0,0,Q79/Q63)</f>
        <v>0.681333915709527</v>
      </c>
      <c r="R80" s="47" t="n">
        <f aca="false">IF(R63=0,0,R79/R63)</f>
        <v>0.686954728289895</v>
      </c>
      <c r="S80" s="47" t="n">
        <f aca="false">IF(S63=0,0,S79/S63)</f>
        <v>0.691464643687529</v>
      </c>
      <c r="T80" s="47" t="n">
        <f aca="false">IF(T63=0,0,T79/T63)</f>
        <v>0.695186782597813</v>
      </c>
      <c r="U80" s="47" t="n">
        <f aca="false">IF(U63=0,0,U79/U63)</f>
        <v>0.698331433829004</v>
      </c>
      <c r="V80" s="47" t="n">
        <f aca="false">IF(V63=0,0,V79/V63)</f>
        <v>0.563991307743526</v>
      </c>
      <c r="W80" s="47" t="n">
        <f aca="false">IF(W63=0,0,W79/W63)</f>
        <v>0.703415588942831</v>
      </c>
      <c r="X80" s="47" t="n">
        <f aca="false">IF(X63=0,0,X79/X63)</f>
        <v>0.705526798233702</v>
      </c>
      <c r="Y80" s="47" t="n">
        <f aca="false">IF(Y63=0,0,Y79/Y63)</f>
        <v>0.707427729857352</v>
      </c>
      <c r="Z80" s="47" t="n">
        <f aca="false">IF(Z63=0,0,Z79/Z63)</f>
        <v>0.709158267028918</v>
      </c>
      <c r="AA80" s="47" t="n">
        <f aca="false">IF(AA63=0,0,AA79/AA63)</f>
        <v>0.710748953065723</v>
      </c>
      <c r="AB80" s="47" t="n">
        <f aca="false">IF(AB63=0,0,AB79/AB63)</f>
        <v>0.713677339355112</v>
      </c>
      <c r="AC80" s="47" t="n">
        <f aca="false">IF(AC63=0,0,AC79/AC63)</f>
        <v>0.715523955647542</v>
      </c>
      <c r="AD80" s="47" t="n">
        <f aca="false">IF(AD63=0,0,AD79/AD63)</f>
        <v>0.717197060207494</v>
      </c>
      <c r="AE80" s="47" t="n">
        <f aca="false">IF(AE63=0,0,AE79/AE63)</f>
        <v>0.718729590444221</v>
      </c>
      <c r="AF80" s="47" t="n">
        <f aca="false">IF(AF63=0,0,AF79/AF63)</f>
        <v>0.720146666928065</v>
      </c>
      <c r="AG80" s="47" t="n">
        <f aca="false">IF(AG63=0,0,AG79/AG63)</f>
        <v>0.721467773299869</v>
      </c>
      <c r="AH80" s="47" t="n">
        <f aca="false">IF(AH63=0,0,AH79/AH63)</f>
        <v>0.676799679264234</v>
      </c>
      <c r="AI80" s="47" t="n">
        <f aca="false">IF(AI63=0,0,AI79/AI63)</f>
        <v>0.72388031720218</v>
      </c>
      <c r="AJ80" s="47" t="n">
        <f aca="false">IF(AJ63=0,0,AJ79/AJ63)</f>
        <v>0.72499385609287</v>
      </c>
      <c r="AK80" s="47" t="n">
        <f aca="false">IF(AK63=0,0,AK79/AK63)</f>
        <v>0.726056911081079</v>
      </c>
      <c r="AL80" s="47" t="n">
        <f aca="false">IF(AL63=0,0,AL79/AL63)</f>
        <v>0.727076107481384</v>
      </c>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customFormat="false" ht="15" hidden="false" customHeight="false" outlineLevel="0" collapsed="false">
      <c r="A82" s="5" t="s">
        <v>625</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row>
    <row r="83" customFormat="false" ht="15" hidden="false" customHeight="false" outlineLevel="0" collapsed="false">
      <c r="A83" s="9" t="s">
        <v>626</v>
      </c>
      <c r="B83" s="2" t="s">
        <v>105</v>
      </c>
      <c r="C83" s="37" t="n">
        <f aca="false">Assumptions!$D$161*(1+Assumptions!$D$162)/12</f>
        <v>3000</v>
      </c>
      <c r="D83" s="37" t="n">
        <f aca="false">Assumptions!$D$161*(1+Assumptions!$D$162)/12</f>
        <v>3000</v>
      </c>
      <c r="E83" s="37" t="n">
        <f aca="false">Assumptions!$D$161*(1+Assumptions!$D$162)/12</f>
        <v>3000</v>
      </c>
      <c r="F83" s="37" t="n">
        <f aca="false">Assumptions!$D$161*(1+Assumptions!$D$162)/12</f>
        <v>3000</v>
      </c>
      <c r="G83" s="37" t="n">
        <f aca="false">Assumptions!$D$161*(1+Assumptions!$D$162)/12</f>
        <v>3000</v>
      </c>
      <c r="H83" s="37" t="n">
        <f aca="false">Assumptions!$D$161*(1+Assumptions!$D$162)/12</f>
        <v>3000</v>
      </c>
      <c r="I83" s="37" t="n">
        <f aca="false">Assumptions!$D$161*(1+Assumptions!$D$162)/12</f>
        <v>3000</v>
      </c>
      <c r="J83" s="37" t="n">
        <f aca="false">Assumptions!$D$161*(1+Assumptions!$D$162)/12</f>
        <v>3000</v>
      </c>
      <c r="K83" s="37" t="n">
        <f aca="false">Assumptions!$D$161*(1+Assumptions!$D$162)/12</f>
        <v>3000</v>
      </c>
      <c r="L83" s="37" t="n">
        <f aca="false">Assumptions!$D$161*(1+Assumptions!$D$162)/12</f>
        <v>3000</v>
      </c>
      <c r="M83" s="37" t="n">
        <f aca="false">Assumptions!$D$161*(1+Assumptions!$D$162)/12</f>
        <v>3000</v>
      </c>
      <c r="N83" s="37" t="n">
        <f aca="false">Assumptions!$D$161*(1+Assumptions!$D$162)/12</f>
        <v>3000</v>
      </c>
      <c r="O83" s="37" t="n">
        <f aca="false">Assumptions!$D$161*(1+Assumptions!$D$162)/12</f>
        <v>3000</v>
      </c>
      <c r="P83" s="37" t="n">
        <f aca="false">Assumptions!$D$161*(1+Assumptions!$D$162)/12</f>
        <v>3000</v>
      </c>
      <c r="Q83" s="37" t="n">
        <f aca="false">Assumptions!$D$161*(1+Assumptions!$D$162)/12</f>
        <v>3000</v>
      </c>
      <c r="R83" s="37" t="n">
        <f aca="false">Assumptions!$D$161*(1+Assumptions!$D$162)/12</f>
        <v>3000</v>
      </c>
      <c r="S83" s="37" t="n">
        <f aca="false">Assumptions!$D$161*(1+Assumptions!$D$162)/12</f>
        <v>3000</v>
      </c>
      <c r="T83" s="37" t="n">
        <f aca="false">Assumptions!$D$161*(1+Assumptions!$D$162)/12</f>
        <v>3000</v>
      </c>
      <c r="U83" s="37" t="n">
        <f aca="false">Assumptions!$D$161*(1+Assumptions!$D$162)/12</f>
        <v>3000</v>
      </c>
      <c r="V83" s="37" t="n">
        <f aca="false">Assumptions!$D$161*(1+Assumptions!$D$162)/12</f>
        <v>3000</v>
      </c>
      <c r="W83" s="37" t="n">
        <f aca="false">Assumptions!$D$161*(1+Assumptions!$D$162)/12</f>
        <v>3000</v>
      </c>
      <c r="X83" s="37" t="n">
        <f aca="false">Assumptions!$D$161*(1+Assumptions!$D$162)/12</f>
        <v>3000</v>
      </c>
      <c r="Y83" s="37" t="n">
        <f aca="false">Assumptions!$D$161*(1+Assumptions!$D$162)/12</f>
        <v>3000</v>
      </c>
      <c r="Z83" s="37" t="n">
        <f aca="false">Assumptions!$D$161*(1+Assumptions!$D$162)/12</f>
        <v>3000</v>
      </c>
      <c r="AA83" s="37" t="n">
        <f aca="false">Assumptions!$D$161*(1+Assumptions!$D$162)/12</f>
        <v>3000</v>
      </c>
      <c r="AB83" s="37" t="n">
        <f aca="false">Assumptions!$D$161*(1+Assumptions!$D$162)/12</f>
        <v>3000</v>
      </c>
      <c r="AC83" s="37" t="n">
        <f aca="false">Assumptions!$D$161*(1+Assumptions!$D$162)/12</f>
        <v>3000</v>
      </c>
      <c r="AD83" s="37" t="n">
        <f aca="false">Assumptions!$D$161*(1+Assumptions!$D$162)/12</f>
        <v>3000</v>
      </c>
      <c r="AE83" s="37" t="n">
        <f aca="false">Assumptions!$D$161*(1+Assumptions!$D$162)/12</f>
        <v>3000</v>
      </c>
      <c r="AF83" s="37" t="n">
        <f aca="false">Assumptions!$D$161*(1+Assumptions!$D$162)/12</f>
        <v>3000</v>
      </c>
      <c r="AG83" s="37" t="n">
        <f aca="false">Assumptions!$D$161*(1+Assumptions!$D$162)/12</f>
        <v>3000</v>
      </c>
      <c r="AH83" s="37" t="n">
        <f aca="false">Assumptions!$D$161*(1+Assumptions!$D$162)/12</f>
        <v>3000</v>
      </c>
      <c r="AI83" s="37" t="n">
        <f aca="false">Assumptions!$D$161*(1+Assumptions!$D$162)/12</f>
        <v>3000</v>
      </c>
      <c r="AJ83" s="37" t="n">
        <f aca="false">Assumptions!$D$161*(1+Assumptions!$D$162)/12</f>
        <v>3000</v>
      </c>
      <c r="AK83" s="37" t="n">
        <f aca="false">Assumptions!$D$161*(1+Assumptions!$D$162)/12</f>
        <v>3000</v>
      </c>
      <c r="AL83" s="37" t="n">
        <f aca="false">Assumptions!$D$161*(1+Assumptions!$D$162)/12</f>
        <v>3000</v>
      </c>
    </row>
    <row r="84" customFormat="false" ht="15" hidden="false" customHeight="false" outlineLevel="0" collapsed="false">
      <c r="A84" s="9" t="s">
        <v>627</v>
      </c>
      <c r="B84" s="2" t="s">
        <v>105</v>
      </c>
      <c r="C84" s="37" t="n">
        <f aca="false">C7*Assumptions!$D$187*(1+Assumptions!$D$162)/12</f>
        <v>0</v>
      </c>
      <c r="D84" s="37" t="n">
        <f aca="false">D7*Assumptions!$D$187*(1+Assumptions!$D$162)/12</f>
        <v>0</v>
      </c>
      <c r="E84" s="37" t="n">
        <f aca="false">E7*Assumptions!$D$187*(1+Assumptions!$D$162)/12</f>
        <v>0</v>
      </c>
      <c r="F84" s="37" t="n">
        <f aca="false">F7*Assumptions!$D$187*(1+Assumptions!$D$162)/12</f>
        <v>0</v>
      </c>
      <c r="G84" s="37" t="n">
        <f aca="false">G7*Assumptions!$D$187*(1+Assumptions!$D$162)/12</f>
        <v>0</v>
      </c>
      <c r="H84" s="37" t="n">
        <f aca="false">H7*Assumptions!$D$187*(1+Assumptions!$D$162)/12</f>
        <v>0</v>
      </c>
      <c r="I84" s="37" t="n">
        <f aca="false">I7*Assumptions!$D$187*(1+Assumptions!$D$162)/12</f>
        <v>0</v>
      </c>
      <c r="J84" s="37" t="n">
        <f aca="false">J7*Assumptions!$D$187*(1+Assumptions!$D$162)/12</f>
        <v>0</v>
      </c>
      <c r="K84" s="37" t="n">
        <f aca="false">K7*Assumptions!$D$187*(1+Assumptions!$D$162)/12</f>
        <v>0</v>
      </c>
      <c r="L84" s="37" t="n">
        <f aca="false">L7*Assumptions!$D$187*(1+Assumptions!$D$162)/12</f>
        <v>0</v>
      </c>
      <c r="M84" s="37" t="n">
        <f aca="false">M7*Assumptions!$D$187*(1+Assumptions!$D$162)/12</f>
        <v>0</v>
      </c>
      <c r="N84" s="37" t="n">
        <f aca="false">N7*Assumptions!$D$187*(1+Assumptions!$D$162)/12</f>
        <v>0</v>
      </c>
      <c r="O84" s="37" t="n">
        <f aca="false">O7*Assumptions!$D$187*(1+Assumptions!$D$162)/12</f>
        <v>0</v>
      </c>
      <c r="P84" s="37" t="n">
        <f aca="false">P7*Assumptions!$D$187*(1+Assumptions!$D$162)/12</f>
        <v>3200</v>
      </c>
      <c r="Q84" s="37" t="n">
        <f aca="false">Q7*Assumptions!$D$187*(1+Assumptions!$D$162)/12</f>
        <v>3200</v>
      </c>
      <c r="R84" s="37" t="n">
        <f aca="false">R7*Assumptions!$D$187*(1+Assumptions!$D$162)/12</f>
        <v>3200</v>
      </c>
      <c r="S84" s="37" t="n">
        <f aca="false">S7*Assumptions!$D$187*(1+Assumptions!$D$162)/12</f>
        <v>3200</v>
      </c>
      <c r="T84" s="37" t="n">
        <f aca="false">T7*Assumptions!$D$187*(1+Assumptions!$D$162)/12</f>
        <v>3200</v>
      </c>
      <c r="U84" s="37" t="n">
        <f aca="false">U7*Assumptions!$D$187*(1+Assumptions!$D$162)/12</f>
        <v>3200</v>
      </c>
      <c r="V84" s="37" t="n">
        <f aca="false">V7*Assumptions!$D$187*(1+Assumptions!$D$162)/12</f>
        <v>3200</v>
      </c>
      <c r="W84" s="37" t="n">
        <f aca="false">W7*Assumptions!$D$187*(1+Assumptions!$D$162)/12</f>
        <v>3200</v>
      </c>
      <c r="X84" s="37" t="n">
        <f aca="false">X7*Assumptions!$D$187*(1+Assumptions!$D$162)/12</f>
        <v>3200</v>
      </c>
      <c r="Y84" s="37" t="n">
        <f aca="false">Y7*Assumptions!$D$187*(1+Assumptions!$D$162)/12</f>
        <v>3200</v>
      </c>
      <c r="Z84" s="37" t="n">
        <f aca="false">Z7*Assumptions!$D$187*(1+Assumptions!$D$162)/12</f>
        <v>3200</v>
      </c>
      <c r="AA84" s="37" t="n">
        <f aca="false">AA7*Assumptions!$D$187*(1+Assumptions!$D$162)/12</f>
        <v>3200</v>
      </c>
      <c r="AB84" s="37" t="n">
        <f aca="false">AB7*Assumptions!$D$187*(1+Assumptions!$D$162)/12</f>
        <v>3200</v>
      </c>
      <c r="AC84" s="37" t="n">
        <f aca="false">AC7*Assumptions!$D$187*(1+Assumptions!$D$162)/12</f>
        <v>3200</v>
      </c>
      <c r="AD84" s="37" t="n">
        <f aca="false">AD7*Assumptions!$D$187*(1+Assumptions!$D$162)/12</f>
        <v>3200</v>
      </c>
      <c r="AE84" s="37" t="n">
        <f aca="false">AE7*Assumptions!$D$187*(1+Assumptions!$D$162)/12</f>
        <v>3200</v>
      </c>
      <c r="AF84" s="37" t="n">
        <f aca="false">AF7*Assumptions!$D$187*(1+Assumptions!$D$162)/12</f>
        <v>3200</v>
      </c>
      <c r="AG84" s="37" t="n">
        <f aca="false">AG7*Assumptions!$D$187*(1+Assumptions!$D$162)/12</f>
        <v>3200</v>
      </c>
      <c r="AH84" s="37" t="n">
        <f aca="false">AH7*Assumptions!$D$187*(1+Assumptions!$D$162)/12</f>
        <v>3200</v>
      </c>
      <c r="AI84" s="37" t="n">
        <f aca="false">AI7*Assumptions!$D$187*(1+Assumptions!$D$162)/12</f>
        <v>3200</v>
      </c>
      <c r="AJ84" s="37" t="n">
        <f aca="false">AJ7*Assumptions!$D$187*(1+Assumptions!$D$162)/12</f>
        <v>3200</v>
      </c>
      <c r="AK84" s="37" t="n">
        <f aca="false">AK7*Assumptions!$D$187*(1+Assumptions!$D$162)/12</f>
        <v>3200</v>
      </c>
      <c r="AL84" s="37" t="n">
        <f aca="false">AL7*Assumptions!$D$187*(1+Assumptions!$D$162)/12</f>
        <v>3200</v>
      </c>
    </row>
    <row r="85" customFormat="false" ht="15" hidden="false" customHeight="false" outlineLevel="0" collapsed="false">
      <c r="A85" s="9" t="s">
        <v>628</v>
      </c>
      <c r="B85" s="2" t="s">
        <v>105</v>
      </c>
      <c r="C85" s="37" t="n">
        <f aca="false">C8*Assumptions!$D$188*(1+Assumptions!$D$162)/12</f>
        <v>0</v>
      </c>
      <c r="D85" s="37" t="n">
        <f aca="false">D8*Assumptions!$D$188*(1+Assumptions!$D$162)/12</f>
        <v>0</v>
      </c>
      <c r="E85" s="37" t="n">
        <f aca="false">E8*Assumptions!$D$188*(1+Assumptions!$D$162)/12</f>
        <v>0</v>
      </c>
      <c r="F85" s="37" t="n">
        <f aca="false">F8*Assumptions!$D$188*(1+Assumptions!$D$162)/12</f>
        <v>0</v>
      </c>
      <c r="G85" s="37" t="n">
        <f aca="false">G8*Assumptions!$D$188*(1+Assumptions!$D$162)/12</f>
        <v>0</v>
      </c>
      <c r="H85" s="37" t="n">
        <f aca="false">H8*Assumptions!$D$188*(1+Assumptions!$D$162)/12</f>
        <v>0</v>
      </c>
      <c r="I85" s="37" t="n">
        <f aca="false">I8*Assumptions!$D$188*(1+Assumptions!$D$162)/12</f>
        <v>0</v>
      </c>
      <c r="J85" s="37" t="n">
        <f aca="false">J8*Assumptions!$D$188*(1+Assumptions!$D$162)/12</f>
        <v>0</v>
      </c>
      <c r="K85" s="37" t="n">
        <f aca="false">K8*Assumptions!$D$188*(1+Assumptions!$D$162)/12</f>
        <v>0</v>
      </c>
      <c r="L85" s="37" t="n">
        <f aca="false">L8*Assumptions!$D$188*(1+Assumptions!$D$162)/12</f>
        <v>0</v>
      </c>
      <c r="M85" s="37" t="n">
        <f aca="false">M8*Assumptions!$D$188*(1+Assumptions!$D$162)/12</f>
        <v>0</v>
      </c>
      <c r="N85" s="37" t="n">
        <f aca="false">N8*Assumptions!$D$188*(1+Assumptions!$D$162)/12</f>
        <v>0</v>
      </c>
      <c r="O85" s="37" t="n">
        <f aca="false">O8*Assumptions!$D$188*(1+Assumptions!$D$162)/12</f>
        <v>0</v>
      </c>
      <c r="P85" s="37" t="n">
        <f aca="false">P8*Assumptions!$D$188*(1+Assumptions!$D$162)/12</f>
        <v>0</v>
      </c>
      <c r="Q85" s="37" t="n">
        <f aca="false">Q8*Assumptions!$D$188*(1+Assumptions!$D$162)/12</f>
        <v>0</v>
      </c>
      <c r="R85" s="37" t="n">
        <f aca="false">R8*Assumptions!$D$188*(1+Assumptions!$D$162)/12</f>
        <v>0</v>
      </c>
      <c r="S85" s="37" t="n">
        <f aca="false">S8*Assumptions!$D$188*(1+Assumptions!$D$162)/12</f>
        <v>0</v>
      </c>
      <c r="T85" s="37" t="n">
        <f aca="false">T8*Assumptions!$D$188*(1+Assumptions!$D$162)/12</f>
        <v>0</v>
      </c>
      <c r="U85" s="37" t="n">
        <f aca="false">U8*Assumptions!$D$188*(1+Assumptions!$D$162)/12</f>
        <v>8500</v>
      </c>
      <c r="V85" s="37" t="n">
        <f aca="false">V8*Assumptions!$D$188*(1+Assumptions!$D$162)/12</f>
        <v>8500</v>
      </c>
      <c r="W85" s="37" t="n">
        <f aca="false">W8*Assumptions!$D$188*(1+Assumptions!$D$162)/12</f>
        <v>8500</v>
      </c>
      <c r="X85" s="37" t="n">
        <f aca="false">X8*Assumptions!$D$188*(1+Assumptions!$D$162)/12</f>
        <v>8500</v>
      </c>
      <c r="Y85" s="37" t="n">
        <f aca="false">Y8*Assumptions!$D$188*(1+Assumptions!$D$162)/12</f>
        <v>8500</v>
      </c>
      <c r="Z85" s="37" t="n">
        <f aca="false">Z8*Assumptions!$D$188*(1+Assumptions!$D$162)/12</f>
        <v>8500</v>
      </c>
      <c r="AA85" s="37" t="n">
        <f aca="false">AA8*Assumptions!$D$188*(1+Assumptions!$D$162)/12</f>
        <v>8500</v>
      </c>
      <c r="AB85" s="37" t="n">
        <f aca="false">AB8*Assumptions!$D$188*(1+Assumptions!$D$162)/12</f>
        <v>8500</v>
      </c>
      <c r="AC85" s="37" t="n">
        <f aca="false">AC8*Assumptions!$D$188*(1+Assumptions!$D$162)/12</f>
        <v>8500</v>
      </c>
      <c r="AD85" s="37" t="n">
        <f aca="false">AD8*Assumptions!$D$188*(1+Assumptions!$D$162)/12</f>
        <v>8500</v>
      </c>
      <c r="AE85" s="37" t="n">
        <f aca="false">AE8*Assumptions!$D$188*(1+Assumptions!$D$162)/12</f>
        <v>8500</v>
      </c>
      <c r="AF85" s="37" t="n">
        <f aca="false">AF8*Assumptions!$D$188*(1+Assumptions!$D$162)/12</f>
        <v>8500</v>
      </c>
      <c r="AG85" s="37" t="n">
        <f aca="false">AG8*Assumptions!$D$188*(1+Assumptions!$D$162)/12</f>
        <v>8500</v>
      </c>
      <c r="AH85" s="37" t="n">
        <f aca="false">AH8*Assumptions!$D$188*(1+Assumptions!$D$162)/12</f>
        <v>8500</v>
      </c>
      <c r="AI85" s="37" t="n">
        <f aca="false">AI8*Assumptions!$D$188*(1+Assumptions!$D$162)/12</f>
        <v>8500</v>
      </c>
      <c r="AJ85" s="37" t="n">
        <f aca="false">AJ8*Assumptions!$D$188*(1+Assumptions!$D$162)/12</f>
        <v>8500</v>
      </c>
      <c r="AK85" s="37" t="n">
        <f aca="false">AK8*Assumptions!$D$188*(1+Assumptions!$D$162)/12</f>
        <v>8500</v>
      </c>
      <c r="AL85" s="37" t="n">
        <f aca="false">AL8*Assumptions!$D$188*(1+Assumptions!$D$162)/12</f>
        <v>8500</v>
      </c>
    </row>
    <row r="86" customFormat="false" ht="15" hidden="false" customHeight="false" outlineLevel="0" collapsed="false">
      <c r="A86" s="9" t="s">
        <v>629</v>
      </c>
      <c r="B86" s="2" t="s">
        <v>105</v>
      </c>
      <c r="C86" s="37" t="n">
        <f aca="false">C9*Assumptions!$D$189*(1+Assumptions!$D$162)/12</f>
        <v>0</v>
      </c>
      <c r="D86" s="37" t="n">
        <f aca="false">D9*Assumptions!$D$189*(1+Assumptions!$D$162)/12</f>
        <v>0</v>
      </c>
      <c r="E86" s="37" t="n">
        <f aca="false">E9*Assumptions!$D$189*(1+Assumptions!$D$162)/12</f>
        <v>0</v>
      </c>
      <c r="F86" s="37" t="n">
        <f aca="false">F9*Assumptions!$D$189*(1+Assumptions!$D$162)/12</f>
        <v>0</v>
      </c>
      <c r="G86" s="37" t="n">
        <f aca="false">G9*Assumptions!$D$189*(1+Assumptions!$D$162)/12</f>
        <v>0</v>
      </c>
      <c r="H86" s="37" t="n">
        <f aca="false">H9*Assumptions!$D$189*(1+Assumptions!$D$162)/12</f>
        <v>0</v>
      </c>
      <c r="I86" s="37" t="n">
        <f aca="false">I9*Assumptions!$D$189*(1+Assumptions!$D$162)/12</f>
        <v>0</v>
      </c>
      <c r="J86" s="37" t="n">
        <f aca="false">J9*Assumptions!$D$189*(1+Assumptions!$D$162)/12</f>
        <v>0</v>
      </c>
      <c r="K86" s="37" t="n">
        <f aca="false">K9*Assumptions!$D$189*(1+Assumptions!$D$162)/12</f>
        <v>0</v>
      </c>
      <c r="L86" s="37" t="n">
        <f aca="false">L9*Assumptions!$D$189*(1+Assumptions!$D$162)/12</f>
        <v>0</v>
      </c>
      <c r="M86" s="37" t="n">
        <f aca="false">M9*Assumptions!$D$189*(1+Assumptions!$D$162)/12</f>
        <v>0</v>
      </c>
      <c r="N86" s="37" t="n">
        <f aca="false">N9*Assumptions!$D$189*(1+Assumptions!$D$162)/12</f>
        <v>0</v>
      </c>
      <c r="O86" s="37" t="n">
        <f aca="false">O9*Assumptions!$D$189*(1+Assumptions!$D$162)/12</f>
        <v>0</v>
      </c>
      <c r="P86" s="37" t="n">
        <f aca="false">P9*Assumptions!$D$189*(1+Assumptions!$D$162)/12</f>
        <v>0</v>
      </c>
      <c r="Q86" s="37" t="n">
        <f aca="false">Q9*Assumptions!$D$189*(1+Assumptions!$D$162)/12</f>
        <v>0</v>
      </c>
      <c r="R86" s="37" t="n">
        <f aca="false">R9*Assumptions!$D$189*(1+Assumptions!$D$162)/12</f>
        <v>0</v>
      </c>
      <c r="S86" s="37" t="n">
        <f aca="false">S9*Assumptions!$D$189*(1+Assumptions!$D$162)/12</f>
        <v>0</v>
      </c>
      <c r="T86" s="37" t="n">
        <f aca="false">T9*Assumptions!$D$189*(1+Assumptions!$D$162)/12</f>
        <v>0</v>
      </c>
      <c r="U86" s="37" t="n">
        <f aca="false">U9*Assumptions!$D$189*(1+Assumptions!$D$162)/12</f>
        <v>0</v>
      </c>
      <c r="V86" s="37" t="n">
        <f aca="false">V9*Assumptions!$D$189*(1+Assumptions!$D$162)/12</f>
        <v>0</v>
      </c>
      <c r="W86" s="37" t="n">
        <f aca="false">W9*Assumptions!$D$189*(1+Assumptions!$D$162)/12</f>
        <v>0</v>
      </c>
      <c r="X86" s="37" t="n">
        <f aca="false">X9*Assumptions!$D$189*(1+Assumptions!$D$162)/12</f>
        <v>0</v>
      </c>
      <c r="Y86" s="37" t="n">
        <f aca="false">Y9*Assumptions!$D$189*(1+Assumptions!$D$162)/12</f>
        <v>6000</v>
      </c>
      <c r="Z86" s="37" t="n">
        <f aca="false">Z9*Assumptions!$D$189*(1+Assumptions!$D$162)/12</f>
        <v>6000</v>
      </c>
      <c r="AA86" s="37" t="n">
        <f aca="false">AA9*Assumptions!$D$189*(1+Assumptions!$D$162)/12</f>
        <v>6000</v>
      </c>
      <c r="AB86" s="37" t="n">
        <f aca="false">AB9*Assumptions!$D$189*(1+Assumptions!$D$162)/12</f>
        <v>6000</v>
      </c>
      <c r="AC86" s="37" t="n">
        <f aca="false">AC9*Assumptions!$D$189*(1+Assumptions!$D$162)/12</f>
        <v>6000</v>
      </c>
      <c r="AD86" s="37" t="n">
        <f aca="false">AD9*Assumptions!$D$189*(1+Assumptions!$D$162)/12</f>
        <v>6000</v>
      </c>
      <c r="AE86" s="37" t="n">
        <f aca="false">AE9*Assumptions!$D$189*(1+Assumptions!$D$162)/12</f>
        <v>6000</v>
      </c>
      <c r="AF86" s="37" t="n">
        <f aca="false">AF9*Assumptions!$D$189*(1+Assumptions!$D$162)/12</f>
        <v>6000</v>
      </c>
      <c r="AG86" s="37" t="n">
        <f aca="false">AG9*Assumptions!$D$189*(1+Assumptions!$D$162)/12</f>
        <v>6000</v>
      </c>
      <c r="AH86" s="37" t="n">
        <f aca="false">AH9*Assumptions!$D$189*(1+Assumptions!$D$162)/12</f>
        <v>6000</v>
      </c>
      <c r="AI86" s="37" t="n">
        <f aca="false">AI9*Assumptions!$D$189*(1+Assumptions!$D$162)/12</f>
        <v>6000</v>
      </c>
      <c r="AJ86" s="37" t="n">
        <f aca="false">AJ9*Assumptions!$D$189*(1+Assumptions!$D$162)/12</f>
        <v>6000</v>
      </c>
      <c r="AK86" s="37" t="n">
        <f aca="false">AK9*Assumptions!$D$189*(1+Assumptions!$D$162)/12</f>
        <v>6000</v>
      </c>
      <c r="AL86" s="37" t="n">
        <f aca="false">AL9*Assumptions!$D$189*(1+Assumptions!$D$162)/12</f>
        <v>6000</v>
      </c>
    </row>
    <row r="87" customFormat="false" ht="15" hidden="false" customHeight="false" outlineLevel="0" collapsed="false">
      <c r="A87" s="9" t="s">
        <v>630</v>
      </c>
      <c r="B87" s="2" t="s">
        <v>105</v>
      </c>
      <c r="C87" s="37" t="n">
        <f aca="false">C10*Assumptions!$D$190*(1+Assumptions!$D$162)/12</f>
        <v>0</v>
      </c>
      <c r="D87" s="37" t="n">
        <f aca="false">D10*Assumptions!$D$190*(1+Assumptions!$D$162)/12</f>
        <v>0</v>
      </c>
      <c r="E87" s="37" t="n">
        <f aca="false">E10*Assumptions!$D$190*(1+Assumptions!$D$162)/12</f>
        <v>0</v>
      </c>
      <c r="F87" s="37" t="n">
        <f aca="false">F10*Assumptions!$D$190*(1+Assumptions!$D$162)/12</f>
        <v>0</v>
      </c>
      <c r="G87" s="37" t="n">
        <f aca="false">G10*Assumptions!$D$190*(1+Assumptions!$D$162)/12</f>
        <v>0</v>
      </c>
      <c r="H87" s="37" t="n">
        <f aca="false">H10*Assumptions!$D$190*(1+Assumptions!$D$162)/12</f>
        <v>0</v>
      </c>
      <c r="I87" s="37" t="n">
        <f aca="false">I10*Assumptions!$D$190*(1+Assumptions!$D$162)/12</f>
        <v>0</v>
      </c>
      <c r="J87" s="37" t="n">
        <f aca="false">J10*Assumptions!$D$190*(1+Assumptions!$D$162)/12</f>
        <v>0</v>
      </c>
      <c r="K87" s="37" t="n">
        <f aca="false">K10*Assumptions!$D$190*(1+Assumptions!$D$162)/12</f>
        <v>0</v>
      </c>
      <c r="L87" s="37" t="n">
        <f aca="false">L10*Assumptions!$D$190*(1+Assumptions!$D$162)/12</f>
        <v>0</v>
      </c>
      <c r="M87" s="37" t="n">
        <f aca="false">M10*Assumptions!$D$190*(1+Assumptions!$D$162)/12</f>
        <v>0</v>
      </c>
      <c r="N87" s="37" t="n">
        <f aca="false">N10*Assumptions!$D$190*(1+Assumptions!$D$162)/12</f>
        <v>0</v>
      </c>
      <c r="O87" s="37" t="n">
        <f aca="false">O10*Assumptions!$D$190*(1+Assumptions!$D$162)/12</f>
        <v>0</v>
      </c>
      <c r="P87" s="37" t="n">
        <f aca="false">P10*Assumptions!$D$190*(1+Assumptions!$D$162)/12</f>
        <v>0</v>
      </c>
      <c r="Q87" s="37" t="n">
        <f aca="false">Q10*Assumptions!$D$190*(1+Assumptions!$D$162)/12</f>
        <v>0</v>
      </c>
      <c r="R87" s="37" t="n">
        <f aca="false">R10*Assumptions!$D$190*(1+Assumptions!$D$162)/12</f>
        <v>0</v>
      </c>
      <c r="S87" s="37" t="n">
        <f aca="false">S10*Assumptions!$D$190*(1+Assumptions!$D$162)/12</f>
        <v>0</v>
      </c>
      <c r="T87" s="37" t="n">
        <f aca="false">T10*Assumptions!$D$190*(1+Assumptions!$D$162)/12</f>
        <v>0</v>
      </c>
      <c r="U87" s="37" t="n">
        <f aca="false">U10*Assumptions!$D$190*(1+Assumptions!$D$162)/12</f>
        <v>0</v>
      </c>
      <c r="V87" s="37" t="n">
        <f aca="false">V10*Assumptions!$D$190*(1+Assumptions!$D$162)/12</f>
        <v>0</v>
      </c>
      <c r="W87" s="37" t="n">
        <f aca="false">W10*Assumptions!$D$190*(1+Assumptions!$D$162)/12</f>
        <v>0</v>
      </c>
      <c r="X87" s="37" t="n">
        <f aca="false">X10*Assumptions!$D$190*(1+Assumptions!$D$162)/12</f>
        <v>0</v>
      </c>
      <c r="Y87" s="37" t="n">
        <f aca="false">Y10*Assumptions!$D$190*(1+Assumptions!$D$162)/12</f>
        <v>0</v>
      </c>
      <c r="Z87" s="37" t="n">
        <f aca="false">Z10*Assumptions!$D$190*(1+Assumptions!$D$162)/12</f>
        <v>0</v>
      </c>
      <c r="AA87" s="37" t="n">
        <f aca="false">AA10*Assumptions!$D$190*(1+Assumptions!$D$162)/12</f>
        <v>0</v>
      </c>
      <c r="AB87" s="37" t="n">
        <f aca="false">AB10*Assumptions!$D$190*(1+Assumptions!$D$162)/12</f>
        <v>0</v>
      </c>
      <c r="AC87" s="37" t="n">
        <f aca="false">AC10*Assumptions!$D$190*(1+Assumptions!$D$162)/12</f>
        <v>0</v>
      </c>
      <c r="AD87" s="37" t="n">
        <f aca="false">AD10*Assumptions!$D$190*(1+Assumptions!$D$162)/12</f>
        <v>0</v>
      </c>
      <c r="AE87" s="37" t="n">
        <f aca="false">AE10*Assumptions!$D$190*(1+Assumptions!$D$162)/12</f>
        <v>0</v>
      </c>
      <c r="AF87" s="37" t="n">
        <f aca="false">AF10*Assumptions!$D$190*(1+Assumptions!$D$162)/12</f>
        <v>3000</v>
      </c>
      <c r="AG87" s="37" t="n">
        <f aca="false">AG10*Assumptions!$D$190*(1+Assumptions!$D$162)/12</f>
        <v>3000</v>
      </c>
      <c r="AH87" s="37" t="n">
        <f aca="false">AH10*Assumptions!$D$190*(1+Assumptions!$D$162)/12</f>
        <v>3000</v>
      </c>
      <c r="AI87" s="37" t="n">
        <f aca="false">AI10*Assumptions!$D$190*(1+Assumptions!$D$162)/12</f>
        <v>3000</v>
      </c>
      <c r="AJ87" s="37" t="n">
        <f aca="false">AJ10*Assumptions!$D$190*(1+Assumptions!$D$162)/12</f>
        <v>3000</v>
      </c>
      <c r="AK87" s="37" t="n">
        <f aca="false">AK10*Assumptions!$D$190*(1+Assumptions!$D$162)/12</f>
        <v>3000</v>
      </c>
      <c r="AL87" s="37" t="n">
        <f aca="false">AL10*Assumptions!$D$190*(1+Assumptions!$D$162)/12</f>
        <v>3000</v>
      </c>
    </row>
    <row r="88" customFormat="false" ht="15" hidden="false" customHeight="false" outlineLevel="0" collapsed="false">
      <c r="A88" s="9" t="s">
        <v>631</v>
      </c>
      <c r="B88" s="2" t="s">
        <v>105</v>
      </c>
      <c r="C88" s="37" t="n">
        <f aca="false">C11*Assumptions!$D$191*(1+Assumptions!$D$162)/12</f>
        <v>0</v>
      </c>
      <c r="D88" s="37" t="n">
        <f aca="false">D11*Assumptions!$D$191*(1+Assumptions!$D$162)/12</f>
        <v>0</v>
      </c>
      <c r="E88" s="37" t="n">
        <f aca="false">E11*Assumptions!$D$191*(1+Assumptions!$D$162)/12</f>
        <v>0</v>
      </c>
      <c r="F88" s="37" t="n">
        <f aca="false">F11*Assumptions!$D$191*(1+Assumptions!$D$162)/12</f>
        <v>0</v>
      </c>
      <c r="G88" s="37" t="n">
        <f aca="false">G11*Assumptions!$D$191*(1+Assumptions!$D$162)/12</f>
        <v>0</v>
      </c>
      <c r="H88" s="37" t="n">
        <f aca="false">H11*Assumptions!$D$191*(1+Assumptions!$D$162)/12</f>
        <v>0</v>
      </c>
      <c r="I88" s="37" t="n">
        <f aca="false">I11*Assumptions!$D$191*(1+Assumptions!$D$162)/12</f>
        <v>0</v>
      </c>
      <c r="J88" s="37" t="n">
        <f aca="false">J11*Assumptions!$D$191*(1+Assumptions!$D$162)/12</f>
        <v>0</v>
      </c>
      <c r="K88" s="37" t="n">
        <f aca="false">K11*Assumptions!$D$191*(1+Assumptions!$D$162)/12</f>
        <v>0</v>
      </c>
      <c r="L88" s="37" t="n">
        <f aca="false">L11*Assumptions!$D$191*(1+Assumptions!$D$162)/12</f>
        <v>0</v>
      </c>
      <c r="M88" s="37" t="n">
        <f aca="false">M11*Assumptions!$D$191*(1+Assumptions!$D$162)/12</f>
        <v>0</v>
      </c>
      <c r="N88" s="37" t="n">
        <f aca="false">N11*Assumptions!$D$191*(1+Assumptions!$D$162)/12</f>
        <v>0</v>
      </c>
      <c r="O88" s="37" t="n">
        <f aca="false">O11*Assumptions!$D$191*(1+Assumptions!$D$162)/12</f>
        <v>0</v>
      </c>
      <c r="P88" s="37" t="n">
        <f aca="false">P11*Assumptions!$D$191*(1+Assumptions!$D$162)/12</f>
        <v>0</v>
      </c>
      <c r="Q88" s="37" t="n">
        <f aca="false">Q11*Assumptions!$D$191*(1+Assumptions!$D$162)/12</f>
        <v>0</v>
      </c>
      <c r="R88" s="37" t="n">
        <f aca="false">R11*Assumptions!$D$191*(1+Assumptions!$D$162)/12</f>
        <v>0</v>
      </c>
      <c r="S88" s="37" t="n">
        <f aca="false">S11*Assumptions!$D$191*(1+Assumptions!$D$162)/12</f>
        <v>0</v>
      </c>
      <c r="T88" s="37" t="n">
        <f aca="false">T11*Assumptions!$D$191*(1+Assumptions!$D$162)/12</f>
        <v>0</v>
      </c>
      <c r="U88" s="37" t="n">
        <f aca="false">U11*Assumptions!$D$191*(1+Assumptions!$D$162)/12</f>
        <v>0</v>
      </c>
      <c r="V88" s="37" t="n">
        <f aca="false">V11*Assumptions!$D$191*(1+Assumptions!$D$162)/12</f>
        <v>0</v>
      </c>
      <c r="W88" s="37" t="n">
        <f aca="false">W11*Assumptions!$D$191*(1+Assumptions!$D$162)/12</f>
        <v>0</v>
      </c>
      <c r="X88" s="37" t="n">
        <f aca="false">X11*Assumptions!$D$191*(1+Assumptions!$D$162)/12</f>
        <v>0</v>
      </c>
      <c r="Y88" s="37" t="n">
        <f aca="false">Y11*Assumptions!$D$191*(1+Assumptions!$D$162)/12</f>
        <v>0</v>
      </c>
      <c r="Z88" s="37" t="n">
        <f aca="false">Z11*Assumptions!$D$191*(1+Assumptions!$D$162)/12</f>
        <v>0</v>
      </c>
      <c r="AA88" s="37" t="n">
        <f aca="false">AA11*Assumptions!$D$191*(1+Assumptions!$D$162)/12</f>
        <v>0</v>
      </c>
      <c r="AB88" s="37" t="n">
        <f aca="false">AB11*Assumptions!$D$191*(1+Assumptions!$D$162)/12</f>
        <v>0</v>
      </c>
      <c r="AC88" s="37" t="n">
        <f aca="false">AC11*Assumptions!$D$191*(1+Assumptions!$D$162)/12</f>
        <v>0</v>
      </c>
      <c r="AD88" s="37" t="n">
        <f aca="false">AD11*Assumptions!$D$191*(1+Assumptions!$D$162)/12</f>
        <v>0</v>
      </c>
      <c r="AE88" s="37" t="n">
        <f aca="false">AE11*Assumptions!$D$191*(1+Assumptions!$D$162)/12</f>
        <v>0</v>
      </c>
      <c r="AF88" s="37" t="n">
        <f aca="false">AF11*Assumptions!$D$191*(1+Assumptions!$D$162)/12</f>
        <v>8500</v>
      </c>
      <c r="AG88" s="37" t="n">
        <f aca="false">AG11*Assumptions!$D$191*(1+Assumptions!$D$162)/12</f>
        <v>8500</v>
      </c>
      <c r="AH88" s="37" t="n">
        <f aca="false">AH11*Assumptions!$D$191*(1+Assumptions!$D$162)/12</f>
        <v>8500</v>
      </c>
      <c r="AI88" s="37" t="n">
        <f aca="false">AI11*Assumptions!$D$191*(1+Assumptions!$D$162)/12</f>
        <v>8500</v>
      </c>
      <c r="AJ88" s="37" t="n">
        <f aca="false">AJ11*Assumptions!$D$191*(1+Assumptions!$D$162)/12</f>
        <v>8500</v>
      </c>
      <c r="AK88" s="37" t="n">
        <f aca="false">AK11*Assumptions!$D$191*(1+Assumptions!$D$162)/12</f>
        <v>8500</v>
      </c>
      <c r="AL88" s="37" t="n">
        <f aca="false">AL11*Assumptions!$D$191*(1+Assumptions!$D$162)/12</f>
        <v>8500</v>
      </c>
    </row>
    <row r="89" customFormat="false" ht="15" hidden="false" customHeight="false" outlineLevel="0" collapsed="false">
      <c r="A89" s="9" t="s">
        <v>632</v>
      </c>
      <c r="B89" s="2" t="s">
        <v>105</v>
      </c>
      <c r="C89" s="37" t="n">
        <f aca="false">C12*Assumptions!$D$192*(1+Assumptions!$D$162)/12</f>
        <v>0</v>
      </c>
      <c r="D89" s="37" t="n">
        <f aca="false">D12*Assumptions!$D$192*(1+Assumptions!$D$162)/12</f>
        <v>0</v>
      </c>
      <c r="E89" s="37" t="n">
        <f aca="false">E12*Assumptions!$D$192*(1+Assumptions!$D$162)/12</f>
        <v>0</v>
      </c>
      <c r="F89" s="37" t="n">
        <f aca="false">F12*Assumptions!$D$192*(1+Assumptions!$D$162)/12</f>
        <v>0</v>
      </c>
      <c r="G89" s="37" t="n">
        <f aca="false">G12*Assumptions!$D$192*(1+Assumptions!$D$162)/12</f>
        <v>0</v>
      </c>
      <c r="H89" s="37" t="n">
        <f aca="false">H12*Assumptions!$D$192*(1+Assumptions!$D$162)/12</f>
        <v>0</v>
      </c>
      <c r="I89" s="37" t="n">
        <f aca="false">I12*Assumptions!$D$192*(1+Assumptions!$D$162)/12</f>
        <v>0</v>
      </c>
      <c r="J89" s="37" t="n">
        <f aca="false">J12*Assumptions!$D$192*(1+Assumptions!$D$162)/12</f>
        <v>0</v>
      </c>
      <c r="K89" s="37" t="n">
        <f aca="false">K12*Assumptions!$D$192*(1+Assumptions!$D$162)/12</f>
        <v>0</v>
      </c>
      <c r="L89" s="37" t="n">
        <f aca="false">L12*Assumptions!$D$192*(1+Assumptions!$D$162)/12</f>
        <v>0</v>
      </c>
      <c r="M89" s="37" t="n">
        <f aca="false">M12*Assumptions!$D$192*(1+Assumptions!$D$162)/12</f>
        <v>0</v>
      </c>
      <c r="N89" s="37" t="n">
        <f aca="false">N12*Assumptions!$D$192*(1+Assumptions!$D$162)/12</f>
        <v>0</v>
      </c>
      <c r="O89" s="37" t="n">
        <f aca="false">O12*Assumptions!$D$192*(1+Assumptions!$D$162)/12</f>
        <v>0</v>
      </c>
      <c r="P89" s="37" t="n">
        <f aca="false">P12*Assumptions!$D$192*(1+Assumptions!$D$162)/12</f>
        <v>0</v>
      </c>
      <c r="Q89" s="37" t="n">
        <f aca="false">Q12*Assumptions!$D$192*(1+Assumptions!$D$162)/12</f>
        <v>0</v>
      </c>
      <c r="R89" s="37" t="n">
        <f aca="false">R12*Assumptions!$D$192*(1+Assumptions!$D$162)/12</f>
        <v>0</v>
      </c>
      <c r="S89" s="37" t="n">
        <f aca="false">S12*Assumptions!$D$192*(1+Assumptions!$D$162)/12</f>
        <v>0</v>
      </c>
      <c r="T89" s="37" t="n">
        <f aca="false">T12*Assumptions!$D$192*(1+Assumptions!$D$162)/12</f>
        <v>0</v>
      </c>
      <c r="U89" s="37" t="n">
        <f aca="false">U12*Assumptions!$D$192*(1+Assumptions!$D$162)/12</f>
        <v>0</v>
      </c>
      <c r="V89" s="37" t="n">
        <f aca="false">V12*Assumptions!$D$192*(1+Assumptions!$D$162)/12</f>
        <v>0</v>
      </c>
      <c r="W89" s="37" t="n">
        <f aca="false">W12*Assumptions!$D$192*(1+Assumptions!$D$162)/12</f>
        <v>0</v>
      </c>
      <c r="X89" s="37" t="n">
        <f aca="false">X12*Assumptions!$D$192*(1+Assumptions!$D$162)/12</f>
        <v>0</v>
      </c>
      <c r="Y89" s="37" t="n">
        <f aca="false">Y12*Assumptions!$D$192*(1+Assumptions!$D$162)/12</f>
        <v>0</v>
      </c>
      <c r="Z89" s="37" t="n">
        <f aca="false">Z12*Assumptions!$D$192*(1+Assumptions!$D$162)/12</f>
        <v>0</v>
      </c>
      <c r="AA89" s="37" t="n">
        <f aca="false">AA12*Assumptions!$D$192*(1+Assumptions!$D$162)/12</f>
        <v>0</v>
      </c>
      <c r="AB89" s="37" t="n">
        <f aca="false">AB12*Assumptions!$D$192*(1+Assumptions!$D$162)/12</f>
        <v>0</v>
      </c>
      <c r="AC89" s="37" t="n">
        <f aca="false">AC12*Assumptions!$D$192*(1+Assumptions!$D$162)/12</f>
        <v>0</v>
      </c>
      <c r="AD89" s="37" t="n">
        <f aca="false">AD12*Assumptions!$D$192*(1+Assumptions!$D$162)/12</f>
        <v>0</v>
      </c>
      <c r="AE89" s="37" t="n">
        <f aca="false">AE12*Assumptions!$D$192*(1+Assumptions!$D$162)/12</f>
        <v>0</v>
      </c>
      <c r="AF89" s="37" t="n">
        <f aca="false">AF12*Assumptions!$D$192*(1+Assumptions!$D$162)/12</f>
        <v>0</v>
      </c>
      <c r="AG89" s="37" t="n">
        <f aca="false">AG12*Assumptions!$D$192*(1+Assumptions!$D$162)/12</f>
        <v>0</v>
      </c>
      <c r="AH89" s="37" t="n">
        <f aca="false">AH12*Assumptions!$D$192*(1+Assumptions!$D$162)/12</f>
        <v>0</v>
      </c>
      <c r="AI89" s="37" t="n">
        <f aca="false">AI12*Assumptions!$D$192*(1+Assumptions!$D$162)/12</f>
        <v>0</v>
      </c>
      <c r="AJ89" s="37" t="n">
        <f aca="false">AJ12*Assumptions!$D$192*(1+Assumptions!$D$162)/12</f>
        <v>0</v>
      </c>
      <c r="AK89" s="37" t="n">
        <f aca="false">AK12*Assumptions!$D$192*(1+Assumptions!$D$162)/12</f>
        <v>3500</v>
      </c>
      <c r="AL89" s="37" t="n">
        <f aca="false">AL12*Assumptions!$D$192*(1+Assumptions!$D$162)/12</f>
        <v>3500</v>
      </c>
    </row>
    <row r="90" customFormat="false" ht="15" hidden="false" customHeight="false" outlineLevel="0" collapsed="false">
      <c r="A90" s="9" t="s">
        <v>633</v>
      </c>
      <c r="B90" s="2" t="s">
        <v>105</v>
      </c>
      <c r="C90" s="37" t="n">
        <f aca="false">C13*Assumptions!$D$193*(1+Assumptions!$D$162)/12</f>
        <v>0</v>
      </c>
      <c r="D90" s="37" t="n">
        <f aca="false">D13*Assumptions!$D$193*(1+Assumptions!$D$162)/12</f>
        <v>0</v>
      </c>
      <c r="E90" s="37" t="n">
        <f aca="false">E13*Assumptions!$D$193*(1+Assumptions!$D$162)/12</f>
        <v>0</v>
      </c>
      <c r="F90" s="37" t="n">
        <f aca="false">F13*Assumptions!$D$193*(1+Assumptions!$D$162)/12</f>
        <v>0</v>
      </c>
      <c r="G90" s="37" t="n">
        <f aca="false">G13*Assumptions!$D$193*(1+Assumptions!$D$162)/12</f>
        <v>0</v>
      </c>
      <c r="H90" s="37" t="n">
        <f aca="false">H13*Assumptions!$D$193*(1+Assumptions!$D$162)/12</f>
        <v>0</v>
      </c>
      <c r="I90" s="37" t="n">
        <f aca="false">I13*Assumptions!$D$193*(1+Assumptions!$D$162)/12</f>
        <v>0</v>
      </c>
      <c r="J90" s="37" t="n">
        <f aca="false">J13*Assumptions!$D$193*(1+Assumptions!$D$162)/12</f>
        <v>0</v>
      </c>
      <c r="K90" s="37" t="n">
        <f aca="false">K13*Assumptions!$D$193*(1+Assumptions!$D$162)/12</f>
        <v>0</v>
      </c>
      <c r="L90" s="37" t="n">
        <f aca="false">L13*Assumptions!$D$193*(1+Assumptions!$D$162)/12</f>
        <v>0</v>
      </c>
      <c r="M90" s="37" t="n">
        <f aca="false">M13*Assumptions!$D$193*(1+Assumptions!$D$162)/12</f>
        <v>0</v>
      </c>
      <c r="N90" s="37" t="n">
        <f aca="false">N13*Assumptions!$D$193*(1+Assumptions!$D$162)/12</f>
        <v>0</v>
      </c>
      <c r="O90" s="37" t="n">
        <f aca="false">O13*Assumptions!$D$193*(1+Assumptions!$D$162)/12</f>
        <v>0</v>
      </c>
      <c r="P90" s="37" t="n">
        <f aca="false">P13*Assumptions!$D$193*(1+Assumptions!$D$162)/12</f>
        <v>0</v>
      </c>
      <c r="Q90" s="37" t="n">
        <f aca="false">Q13*Assumptions!$D$193*(1+Assumptions!$D$162)/12</f>
        <v>0</v>
      </c>
      <c r="R90" s="37" t="n">
        <f aca="false">R13*Assumptions!$D$193*(1+Assumptions!$D$162)/12</f>
        <v>0</v>
      </c>
      <c r="S90" s="37" t="n">
        <f aca="false">S13*Assumptions!$D$193*(1+Assumptions!$D$162)/12</f>
        <v>0</v>
      </c>
      <c r="T90" s="37" t="n">
        <f aca="false">T13*Assumptions!$D$193*(1+Assumptions!$D$162)/12</f>
        <v>0</v>
      </c>
      <c r="U90" s="37" t="n">
        <f aca="false">U13*Assumptions!$D$193*(1+Assumptions!$D$162)/12</f>
        <v>0</v>
      </c>
      <c r="V90" s="37" t="n">
        <f aca="false">V13*Assumptions!$D$193*(1+Assumptions!$D$162)/12</f>
        <v>0</v>
      </c>
      <c r="W90" s="37" t="n">
        <f aca="false">W13*Assumptions!$D$193*(1+Assumptions!$D$162)/12</f>
        <v>0</v>
      </c>
      <c r="X90" s="37" t="n">
        <f aca="false">X13*Assumptions!$D$193*(1+Assumptions!$D$162)/12</f>
        <v>0</v>
      </c>
      <c r="Y90" s="37" t="n">
        <f aca="false">Y13*Assumptions!$D$193*(1+Assumptions!$D$162)/12</f>
        <v>0</v>
      </c>
      <c r="Z90" s="37" t="n">
        <f aca="false">Z13*Assumptions!$D$193*(1+Assumptions!$D$162)/12</f>
        <v>0</v>
      </c>
      <c r="AA90" s="37" t="n">
        <f aca="false">AA13*Assumptions!$D$193*(1+Assumptions!$D$162)/12</f>
        <v>0</v>
      </c>
      <c r="AB90" s="37" t="n">
        <f aca="false">AB13*Assumptions!$D$193*(1+Assumptions!$D$162)/12</f>
        <v>0</v>
      </c>
      <c r="AC90" s="37" t="n">
        <f aca="false">AC13*Assumptions!$D$193*(1+Assumptions!$D$162)/12</f>
        <v>0</v>
      </c>
      <c r="AD90" s="37" t="n">
        <f aca="false">AD13*Assumptions!$D$193*(1+Assumptions!$D$162)/12</f>
        <v>0</v>
      </c>
      <c r="AE90" s="37" t="n">
        <f aca="false">AE13*Assumptions!$D$193*(1+Assumptions!$D$162)/12</f>
        <v>0</v>
      </c>
      <c r="AF90" s="37" t="n">
        <f aca="false">AF13*Assumptions!$D$193*(1+Assumptions!$D$162)/12</f>
        <v>0</v>
      </c>
      <c r="AG90" s="37" t="n">
        <f aca="false">AG13*Assumptions!$D$193*(1+Assumptions!$D$162)/12</f>
        <v>0</v>
      </c>
      <c r="AH90" s="37" t="n">
        <f aca="false">AH13*Assumptions!$D$193*(1+Assumptions!$D$162)/12</f>
        <v>0</v>
      </c>
      <c r="AI90" s="37" t="n">
        <f aca="false">AI13*Assumptions!$D$193*(1+Assumptions!$D$162)/12</f>
        <v>5000</v>
      </c>
      <c r="AJ90" s="37" t="n">
        <f aca="false">AJ13*Assumptions!$D$193*(1+Assumptions!$D$162)/12</f>
        <v>5000</v>
      </c>
      <c r="AK90" s="37" t="n">
        <f aca="false">AK13*Assumptions!$D$193*(1+Assumptions!$D$162)/12</f>
        <v>5000</v>
      </c>
      <c r="AL90" s="37" t="n">
        <f aca="false">AL13*Assumptions!$D$193*(1+Assumptions!$D$162)/12</f>
        <v>5000</v>
      </c>
    </row>
    <row r="91" customFormat="false" ht="15" hidden="false" customHeight="false" outlineLevel="0" collapsed="false">
      <c r="A91" s="9" t="s">
        <v>634</v>
      </c>
      <c r="B91" s="2" t="s">
        <v>105</v>
      </c>
      <c r="C91" s="37" t="n">
        <f aca="false">C14*Assumptions!$D$194*(1+Assumptions!$D$162)/12</f>
        <v>0</v>
      </c>
      <c r="D91" s="37" t="n">
        <f aca="false">D14*Assumptions!$D$194*(1+Assumptions!$D$162)/12</f>
        <v>0</v>
      </c>
      <c r="E91" s="37" t="n">
        <f aca="false">E14*Assumptions!$D$194*(1+Assumptions!$D$162)/12</f>
        <v>0</v>
      </c>
      <c r="F91" s="37" t="n">
        <f aca="false">F14*Assumptions!$D$194*(1+Assumptions!$D$162)/12</f>
        <v>0</v>
      </c>
      <c r="G91" s="37" t="n">
        <f aca="false">G14*Assumptions!$D$194*(1+Assumptions!$D$162)/12</f>
        <v>0</v>
      </c>
      <c r="H91" s="37" t="n">
        <f aca="false">H14*Assumptions!$D$194*(1+Assumptions!$D$162)/12</f>
        <v>0</v>
      </c>
      <c r="I91" s="37" t="n">
        <f aca="false">I14*Assumptions!$D$194*(1+Assumptions!$D$162)/12</f>
        <v>0</v>
      </c>
      <c r="J91" s="37" t="n">
        <f aca="false">J14*Assumptions!$D$194*(1+Assumptions!$D$162)/12</f>
        <v>0</v>
      </c>
      <c r="K91" s="37" t="n">
        <f aca="false">K14*Assumptions!$D$194*(1+Assumptions!$D$162)/12</f>
        <v>0</v>
      </c>
      <c r="L91" s="37" t="n">
        <f aca="false">L14*Assumptions!$D$194*(1+Assumptions!$D$162)/12</f>
        <v>0</v>
      </c>
      <c r="M91" s="37" t="n">
        <f aca="false">M14*Assumptions!$D$194*(1+Assumptions!$D$162)/12</f>
        <v>0</v>
      </c>
      <c r="N91" s="37" t="n">
        <f aca="false">N14*Assumptions!$D$194*(1+Assumptions!$D$162)/12</f>
        <v>0</v>
      </c>
      <c r="O91" s="37" t="n">
        <f aca="false">O14*Assumptions!$D$194*(1+Assumptions!$D$162)/12</f>
        <v>0</v>
      </c>
      <c r="P91" s="37" t="n">
        <f aca="false">P14*Assumptions!$D$194*(1+Assumptions!$D$162)/12</f>
        <v>0</v>
      </c>
      <c r="Q91" s="37" t="n">
        <f aca="false">Q14*Assumptions!$D$194*(1+Assumptions!$D$162)/12</f>
        <v>0</v>
      </c>
      <c r="R91" s="37" t="n">
        <f aca="false">R14*Assumptions!$D$194*(1+Assumptions!$D$162)/12</f>
        <v>0</v>
      </c>
      <c r="S91" s="37" t="n">
        <f aca="false">S14*Assumptions!$D$194*(1+Assumptions!$D$162)/12</f>
        <v>0</v>
      </c>
      <c r="T91" s="37" t="n">
        <f aca="false">T14*Assumptions!$D$194*(1+Assumptions!$D$162)/12</f>
        <v>0</v>
      </c>
      <c r="U91" s="37" t="n">
        <f aca="false">U14*Assumptions!$D$194*(1+Assumptions!$D$162)/12</f>
        <v>0</v>
      </c>
      <c r="V91" s="37" t="n">
        <f aca="false">V14*Assumptions!$D$194*(1+Assumptions!$D$162)/12</f>
        <v>0</v>
      </c>
      <c r="W91" s="37" t="n">
        <f aca="false">W14*Assumptions!$D$194*(1+Assumptions!$D$162)/12</f>
        <v>0</v>
      </c>
      <c r="X91" s="37" t="n">
        <f aca="false">X14*Assumptions!$D$194*(1+Assumptions!$D$162)/12</f>
        <v>0</v>
      </c>
      <c r="Y91" s="37" t="n">
        <f aca="false">Y14*Assumptions!$D$194*(1+Assumptions!$D$162)/12</f>
        <v>0</v>
      </c>
      <c r="Z91" s="37" t="n">
        <f aca="false">Z14*Assumptions!$D$194*(1+Assumptions!$D$162)/12</f>
        <v>0</v>
      </c>
      <c r="AA91" s="37" t="n">
        <f aca="false">AA14*Assumptions!$D$194*(1+Assumptions!$D$162)/12</f>
        <v>0</v>
      </c>
      <c r="AB91" s="37" t="n">
        <f aca="false">AB14*Assumptions!$D$194*(1+Assumptions!$D$162)/12</f>
        <v>0</v>
      </c>
      <c r="AC91" s="37" t="n">
        <f aca="false">AC14*Assumptions!$D$194*(1+Assumptions!$D$162)/12</f>
        <v>0</v>
      </c>
      <c r="AD91" s="37" t="n">
        <f aca="false">AD14*Assumptions!$D$194*(1+Assumptions!$D$162)/12</f>
        <v>0</v>
      </c>
      <c r="AE91" s="37" t="n">
        <f aca="false">AE14*Assumptions!$D$194*(1+Assumptions!$D$162)/12</f>
        <v>0</v>
      </c>
      <c r="AF91" s="37" t="n">
        <f aca="false">AF14*Assumptions!$D$194*(1+Assumptions!$D$162)/12</f>
        <v>0</v>
      </c>
      <c r="AG91" s="37" t="n">
        <f aca="false">AG14*Assumptions!$D$194*(1+Assumptions!$D$162)/12</f>
        <v>0</v>
      </c>
      <c r="AH91" s="37" t="n">
        <f aca="false">AH14*Assumptions!$D$194*(1+Assumptions!$D$162)/12</f>
        <v>0</v>
      </c>
      <c r="AI91" s="37" t="n">
        <f aca="false">AI14*Assumptions!$D$194*(1+Assumptions!$D$162)/12</f>
        <v>0</v>
      </c>
      <c r="AJ91" s="37" t="n">
        <f aca="false">AJ14*Assumptions!$D$194*(1+Assumptions!$D$162)/12</f>
        <v>0</v>
      </c>
      <c r="AK91" s="37" t="n">
        <f aca="false">AK14*Assumptions!$D$194*(1+Assumptions!$D$162)/12</f>
        <v>0</v>
      </c>
      <c r="AL91" s="37" t="n">
        <f aca="false">AL14*Assumptions!$D$194*(1+Assumptions!$D$162)/12</f>
        <v>0</v>
      </c>
    </row>
    <row r="92" customFormat="false" ht="15" hidden="false" customHeight="false" outlineLevel="0" collapsed="false">
      <c r="A92" s="9" t="s">
        <v>635</v>
      </c>
      <c r="B92" s="2" t="s">
        <v>105</v>
      </c>
      <c r="C92" s="37" t="n">
        <f aca="false">C15*Assumptions!$D$195*(1+Assumptions!$D$162)/12</f>
        <v>0</v>
      </c>
      <c r="D92" s="37" t="n">
        <f aca="false">D15*Assumptions!$D$195*(1+Assumptions!$D$162)/12</f>
        <v>0</v>
      </c>
      <c r="E92" s="37" t="n">
        <f aca="false">E15*Assumptions!$D$195*(1+Assumptions!$D$162)/12</f>
        <v>0</v>
      </c>
      <c r="F92" s="37" t="n">
        <f aca="false">F15*Assumptions!$D$195*(1+Assumptions!$D$162)/12</f>
        <v>0</v>
      </c>
      <c r="G92" s="37" t="n">
        <f aca="false">G15*Assumptions!$D$195*(1+Assumptions!$D$162)/12</f>
        <v>0</v>
      </c>
      <c r="H92" s="37" t="n">
        <f aca="false">H15*Assumptions!$D$195*(1+Assumptions!$D$162)/12</f>
        <v>0</v>
      </c>
      <c r="I92" s="37" t="n">
        <f aca="false">I15*Assumptions!$D$195*(1+Assumptions!$D$162)/12</f>
        <v>0</v>
      </c>
      <c r="J92" s="37" t="n">
        <f aca="false">J15*Assumptions!$D$195*(1+Assumptions!$D$162)/12</f>
        <v>0</v>
      </c>
      <c r="K92" s="37" t="n">
        <f aca="false">K15*Assumptions!$D$195*(1+Assumptions!$D$162)/12</f>
        <v>0</v>
      </c>
      <c r="L92" s="37" t="n">
        <f aca="false">L15*Assumptions!$D$195*(1+Assumptions!$D$162)/12</f>
        <v>0</v>
      </c>
      <c r="M92" s="37" t="n">
        <f aca="false">M15*Assumptions!$D$195*(1+Assumptions!$D$162)/12</f>
        <v>0</v>
      </c>
      <c r="N92" s="37" t="n">
        <f aca="false">N15*Assumptions!$D$195*(1+Assumptions!$D$162)/12</f>
        <v>0</v>
      </c>
      <c r="O92" s="37" t="n">
        <f aca="false">O15*Assumptions!$D$195*(1+Assumptions!$D$162)/12</f>
        <v>0</v>
      </c>
      <c r="P92" s="37" t="n">
        <f aca="false">P15*Assumptions!$D$195*(1+Assumptions!$D$162)/12</f>
        <v>0</v>
      </c>
      <c r="Q92" s="37" t="n">
        <f aca="false">Q15*Assumptions!$D$195*(1+Assumptions!$D$162)/12</f>
        <v>0</v>
      </c>
      <c r="R92" s="37" t="n">
        <f aca="false">R15*Assumptions!$D$195*(1+Assumptions!$D$162)/12</f>
        <v>0</v>
      </c>
      <c r="S92" s="37" t="n">
        <f aca="false">S15*Assumptions!$D$195*(1+Assumptions!$D$162)/12</f>
        <v>0</v>
      </c>
      <c r="T92" s="37" t="n">
        <f aca="false">T15*Assumptions!$D$195*(1+Assumptions!$D$162)/12</f>
        <v>0</v>
      </c>
      <c r="U92" s="37" t="n">
        <f aca="false">U15*Assumptions!$D$195*(1+Assumptions!$D$162)/12</f>
        <v>0</v>
      </c>
      <c r="V92" s="37" t="n">
        <f aca="false">V15*Assumptions!$D$195*(1+Assumptions!$D$162)/12</f>
        <v>0</v>
      </c>
      <c r="W92" s="37" t="n">
        <f aca="false">W15*Assumptions!$D$195*(1+Assumptions!$D$162)/12</f>
        <v>0</v>
      </c>
      <c r="X92" s="37" t="n">
        <f aca="false">X15*Assumptions!$D$195*(1+Assumptions!$D$162)/12</f>
        <v>0</v>
      </c>
      <c r="Y92" s="37" t="n">
        <f aca="false">Y15*Assumptions!$D$195*(1+Assumptions!$D$162)/12</f>
        <v>0</v>
      </c>
      <c r="Z92" s="37" t="n">
        <f aca="false">Z15*Assumptions!$D$195*(1+Assumptions!$D$162)/12</f>
        <v>0</v>
      </c>
      <c r="AA92" s="37" t="n">
        <f aca="false">AA15*Assumptions!$D$195*(1+Assumptions!$D$162)/12</f>
        <v>0</v>
      </c>
      <c r="AB92" s="37" t="n">
        <f aca="false">AB15*Assumptions!$D$195*(1+Assumptions!$D$162)/12</f>
        <v>0</v>
      </c>
      <c r="AC92" s="37" t="n">
        <f aca="false">AC15*Assumptions!$D$195*(1+Assumptions!$D$162)/12</f>
        <v>0</v>
      </c>
      <c r="AD92" s="37" t="n">
        <f aca="false">AD15*Assumptions!$D$195*(1+Assumptions!$D$162)/12</f>
        <v>0</v>
      </c>
      <c r="AE92" s="37" t="n">
        <f aca="false">AE15*Assumptions!$D$195*(1+Assumptions!$D$162)/12</f>
        <v>0</v>
      </c>
      <c r="AF92" s="37" t="n">
        <f aca="false">AF15*Assumptions!$D$195*(1+Assumptions!$D$162)/12</f>
        <v>0</v>
      </c>
      <c r="AG92" s="37" t="n">
        <f aca="false">AG15*Assumptions!$D$195*(1+Assumptions!$D$162)/12</f>
        <v>0</v>
      </c>
      <c r="AH92" s="37" t="n">
        <f aca="false">AH15*Assumptions!$D$195*(1+Assumptions!$D$162)/12</f>
        <v>0</v>
      </c>
      <c r="AI92" s="37" t="n">
        <f aca="false">AI15*Assumptions!$D$195*(1+Assumptions!$D$162)/12</f>
        <v>0</v>
      </c>
      <c r="AJ92" s="37" t="n">
        <f aca="false">AJ15*Assumptions!$D$195*(1+Assumptions!$D$162)/12</f>
        <v>0</v>
      </c>
      <c r="AK92" s="37" t="n">
        <f aca="false">AK15*Assumptions!$D$195*(1+Assumptions!$D$162)/12</f>
        <v>0</v>
      </c>
      <c r="AL92" s="37" t="n">
        <f aca="false">AL15*Assumptions!$D$195*(1+Assumptions!$D$162)/12</f>
        <v>0</v>
      </c>
    </row>
    <row r="93" customFormat="false" ht="15" hidden="false" customHeight="false" outlineLevel="0" collapsed="false">
      <c r="A93" s="9" t="s">
        <v>636</v>
      </c>
      <c r="B93" s="2" t="s">
        <v>105</v>
      </c>
      <c r="C93" s="37" t="n">
        <f aca="false">C16*Assumptions!$D$196*(1+Assumptions!$D$162)/12</f>
        <v>0</v>
      </c>
      <c r="D93" s="37" t="n">
        <f aca="false">D16*Assumptions!$D$196*(1+Assumptions!$D$162)/12</f>
        <v>0</v>
      </c>
      <c r="E93" s="37" t="n">
        <f aca="false">E16*Assumptions!$D$196*(1+Assumptions!$D$162)/12</f>
        <v>0</v>
      </c>
      <c r="F93" s="37" t="n">
        <f aca="false">F16*Assumptions!$D$196*(1+Assumptions!$D$162)/12</f>
        <v>0</v>
      </c>
      <c r="G93" s="37" t="n">
        <f aca="false">G16*Assumptions!$D$196*(1+Assumptions!$D$162)/12</f>
        <v>0</v>
      </c>
      <c r="H93" s="37" t="n">
        <f aca="false">H16*Assumptions!$D$196*(1+Assumptions!$D$162)/12</f>
        <v>0</v>
      </c>
      <c r="I93" s="37" t="n">
        <f aca="false">I16*Assumptions!$D$196*(1+Assumptions!$D$162)/12</f>
        <v>0</v>
      </c>
      <c r="J93" s="37" t="n">
        <f aca="false">J16*Assumptions!$D$196*(1+Assumptions!$D$162)/12</f>
        <v>0</v>
      </c>
      <c r="K93" s="37" t="n">
        <f aca="false">K16*Assumptions!$D$196*(1+Assumptions!$D$162)/12</f>
        <v>0</v>
      </c>
      <c r="L93" s="37" t="n">
        <f aca="false">L16*Assumptions!$D$196*(1+Assumptions!$D$162)/12</f>
        <v>0</v>
      </c>
      <c r="M93" s="37" t="n">
        <f aca="false">M16*Assumptions!$D$196*(1+Assumptions!$D$162)/12</f>
        <v>0</v>
      </c>
      <c r="N93" s="37" t="n">
        <f aca="false">N16*Assumptions!$D$196*(1+Assumptions!$D$162)/12</f>
        <v>0</v>
      </c>
      <c r="O93" s="37" t="n">
        <f aca="false">O16*Assumptions!$D$196*(1+Assumptions!$D$162)/12</f>
        <v>0</v>
      </c>
      <c r="P93" s="37" t="n">
        <f aca="false">P16*Assumptions!$D$196*(1+Assumptions!$D$162)/12</f>
        <v>0</v>
      </c>
      <c r="Q93" s="37" t="n">
        <f aca="false">Q16*Assumptions!$D$196*(1+Assumptions!$D$162)/12</f>
        <v>0</v>
      </c>
      <c r="R93" s="37" t="n">
        <f aca="false">R16*Assumptions!$D$196*(1+Assumptions!$D$162)/12</f>
        <v>0</v>
      </c>
      <c r="S93" s="37" t="n">
        <f aca="false">S16*Assumptions!$D$196*(1+Assumptions!$D$162)/12</f>
        <v>0</v>
      </c>
      <c r="T93" s="37" t="n">
        <f aca="false">T16*Assumptions!$D$196*(1+Assumptions!$D$162)/12</f>
        <v>0</v>
      </c>
      <c r="U93" s="37" t="n">
        <f aca="false">U16*Assumptions!$D$196*(1+Assumptions!$D$162)/12</f>
        <v>0</v>
      </c>
      <c r="V93" s="37" t="n">
        <f aca="false">V16*Assumptions!$D$196*(1+Assumptions!$D$162)/12</f>
        <v>0</v>
      </c>
      <c r="W93" s="37" t="n">
        <f aca="false">W16*Assumptions!$D$196*(1+Assumptions!$D$162)/12</f>
        <v>0</v>
      </c>
      <c r="X93" s="37" t="n">
        <f aca="false">X16*Assumptions!$D$196*(1+Assumptions!$D$162)/12</f>
        <v>0</v>
      </c>
      <c r="Y93" s="37" t="n">
        <f aca="false">Y16*Assumptions!$D$196*(1+Assumptions!$D$162)/12</f>
        <v>0</v>
      </c>
      <c r="Z93" s="37" t="n">
        <f aca="false">Z16*Assumptions!$D$196*(1+Assumptions!$D$162)/12</f>
        <v>0</v>
      </c>
      <c r="AA93" s="37" t="n">
        <f aca="false">AA16*Assumptions!$D$196*(1+Assumptions!$D$162)/12</f>
        <v>0</v>
      </c>
      <c r="AB93" s="37" t="n">
        <f aca="false">AB16*Assumptions!$D$196*(1+Assumptions!$D$162)/12</f>
        <v>0</v>
      </c>
      <c r="AC93" s="37" t="n">
        <f aca="false">AC16*Assumptions!$D$196*(1+Assumptions!$D$162)/12</f>
        <v>0</v>
      </c>
      <c r="AD93" s="37" t="n">
        <f aca="false">AD16*Assumptions!$D$196*(1+Assumptions!$D$162)/12</f>
        <v>0</v>
      </c>
      <c r="AE93" s="37" t="n">
        <f aca="false">AE16*Assumptions!$D$196*(1+Assumptions!$D$162)/12</f>
        <v>0</v>
      </c>
      <c r="AF93" s="37" t="n">
        <f aca="false">AF16*Assumptions!$D$196*(1+Assumptions!$D$162)/12</f>
        <v>0</v>
      </c>
      <c r="AG93" s="37" t="n">
        <f aca="false">AG16*Assumptions!$D$196*(1+Assumptions!$D$162)/12</f>
        <v>0</v>
      </c>
      <c r="AH93" s="37" t="n">
        <f aca="false">AH16*Assumptions!$D$196*(1+Assumptions!$D$162)/12</f>
        <v>0</v>
      </c>
      <c r="AI93" s="37" t="n">
        <f aca="false">AI16*Assumptions!$D$196*(1+Assumptions!$D$162)/12</f>
        <v>0</v>
      </c>
      <c r="AJ93" s="37" t="n">
        <f aca="false">AJ16*Assumptions!$D$196*(1+Assumptions!$D$162)/12</f>
        <v>0</v>
      </c>
      <c r="AK93" s="37" t="n">
        <f aca="false">AK16*Assumptions!$D$196*(1+Assumptions!$D$162)/12</f>
        <v>0</v>
      </c>
      <c r="AL93" s="37" t="n">
        <f aca="false">AL16*Assumptions!$D$196*(1+Assumptions!$D$162)/12</f>
        <v>0</v>
      </c>
    </row>
    <row r="94" customFormat="false" ht="15" hidden="false" customHeight="false" outlineLevel="0" collapsed="false">
      <c r="A94" s="9" t="s">
        <v>637</v>
      </c>
      <c r="B94" s="2" t="s">
        <v>105</v>
      </c>
      <c r="C94" s="37" t="n">
        <f aca="false">C7*Assumptions!$D$187*Assumptions!$E$187+C8*Assumptions!$D$188*Assumptions!$E$188+C9*Assumptions!$D$189*Assumptions!$E$189+C10*Assumptions!$D$190*Assumptions!$E$190+C11*Assumptions!$D$191*Assumptions!$E$191+C12*Assumptions!$D$192*Assumptions!$E$192+C13*Assumptions!$D$193*Assumptions!$E$193+C14*Assumptions!$D$194*Assumptions!$E$194+C15*Assumptions!$D$195*Assumptions!$E$195+C16*Assumptions!$D$196*Assumptions!$E$196</f>
        <v>0</v>
      </c>
      <c r="D94" s="37" t="n">
        <f aca="false">(D7-C7)*Assumptions!$D$187*Assumptions!$E$187+(D8-C8)*Assumptions!$D$188*Assumptions!$E$188+(D9-C9)*Assumptions!$D$189*Assumptions!$E$189+(D10-C10)*Assumptions!$D$190*Assumptions!$E$190+(D11-C11)*Assumptions!$D$191*Assumptions!$E$191+(D12-C12)*Assumptions!$D$192*Assumptions!$E$192+(D13-C13)*Assumptions!$D$193*Assumptions!$E$193+(D14-C14)*Assumptions!$D$194*Assumptions!$E$194+(D15-C15)*Assumptions!$D$195*Assumptions!$E$195+(D16-C16)*Assumptions!$D$196*Assumptions!$E$196</f>
        <v>0</v>
      </c>
      <c r="E94" s="37" t="n">
        <f aca="false">(E7-D7)*Assumptions!$D$187*Assumptions!$E$187+(E8-D8)*Assumptions!$D$188*Assumptions!$E$188+(E9-D9)*Assumptions!$D$189*Assumptions!$E$189+(E10-D10)*Assumptions!$D$190*Assumptions!$E$190+(E11-D11)*Assumptions!$D$191*Assumptions!$E$191+(E12-D12)*Assumptions!$D$192*Assumptions!$E$192+(E13-D13)*Assumptions!$D$193*Assumptions!$E$193+(E14-D14)*Assumptions!$D$194*Assumptions!$E$194+(E15-D15)*Assumptions!$D$195*Assumptions!$E$195+(E16-D16)*Assumptions!$D$196*Assumptions!$E$196</f>
        <v>0</v>
      </c>
      <c r="F94" s="37" t="n">
        <f aca="false">(F7-E7)*Assumptions!$D$187*Assumptions!$E$187+(F8-E8)*Assumptions!$D$188*Assumptions!$E$188+(F9-E9)*Assumptions!$D$189*Assumptions!$E$189+(F10-E10)*Assumptions!$D$190*Assumptions!$E$190+(F11-E11)*Assumptions!$D$191*Assumptions!$E$191+(F12-E12)*Assumptions!$D$192*Assumptions!$E$192+(F13-E13)*Assumptions!$D$193*Assumptions!$E$193+(F14-E14)*Assumptions!$D$194*Assumptions!$E$194+(F15-E15)*Assumptions!$D$195*Assumptions!$E$195+(F16-E16)*Assumptions!$D$196*Assumptions!$E$196</f>
        <v>0</v>
      </c>
      <c r="G94" s="37" t="n">
        <f aca="false">(G7-F7)*Assumptions!$D$187*Assumptions!$E$187+(G8-F8)*Assumptions!$D$188*Assumptions!$E$188+(G9-F9)*Assumptions!$D$189*Assumptions!$E$189+(G10-F10)*Assumptions!$D$190*Assumptions!$E$190+(G11-F11)*Assumptions!$D$191*Assumptions!$E$191+(G12-F12)*Assumptions!$D$192*Assumptions!$E$192+(G13-F13)*Assumptions!$D$193*Assumptions!$E$193+(G14-F14)*Assumptions!$D$194*Assumptions!$E$194+(G15-F15)*Assumptions!$D$195*Assumptions!$E$195+(G16-F16)*Assumptions!$D$196*Assumptions!$E$196</f>
        <v>0</v>
      </c>
      <c r="H94" s="37" t="n">
        <f aca="false">(H7-G7)*Assumptions!$D$187*Assumptions!$E$187+(H8-G8)*Assumptions!$D$188*Assumptions!$E$188+(H9-G9)*Assumptions!$D$189*Assumptions!$E$189+(H10-G10)*Assumptions!$D$190*Assumptions!$E$190+(H11-G11)*Assumptions!$D$191*Assumptions!$E$191+(H12-G12)*Assumptions!$D$192*Assumptions!$E$192+(H13-G13)*Assumptions!$D$193*Assumptions!$E$193+(H14-G14)*Assumptions!$D$194*Assumptions!$E$194+(H15-G15)*Assumptions!$D$195*Assumptions!$E$195+(H16-G16)*Assumptions!$D$196*Assumptions!$E$196</f>
        <v>0</v>
      </c>
      <c r="I94" s="37" t="n">
        <f aca="false">(I7-H7)*Assumptions!$D$187*Assumptions!$E$187+(I8-H8)*Assumptions!$D$188*Assumptions!$E$188+(I9-H9)*Assumptions!$D$189*Assumptions!$E$189+(I10-H10)*Assumptions!$D$190*Assumptions!$E$190+(I11-H11)*Assumptions!$D$191*Assumptions!$E$191+(I12-H12)*Assumptions!$D$192*Assumptions!$E$192+(I13-H13)*Assumptions!$D$193*Assumptions!$E$193+(I14-H14)*Assumptions!$D$194*Assumptions!$E$194+(I15-H15)*Assumptions!$D$195*Assumptions!$E$195+(I16-H16)*Assumptions!$D$196*Assumptions!$E$196</f>
        <v>0</v>
      </c>
      <c r="J94" s="37" t="n">
        <f aca="false">(J7-I7)*Assumptions!$D$187*Assumptions!$E$187+(J8-I8)*Assumptions!$D$188*Assumptions!$E$188+(J9-I9)*Assumptions!$D$189*Assumptions!$E$189+(J10-I10)*Assumptions!$D$190*Assumptions!$E$190+(J11-I11)*Assumptions!$D$191*Assumptions!$E$191+(J12-I12)*Assumptions!$D$192*Assumptions!$E$192+(J13-I13)*Assumptions!$D$193*Assumptions!$E$193+(J14-I14)*Assumptions!$D$194*Assumptions!$E$194+(J15-I15)*Assumptions!$D$195*Assumptions!$E$195+(J16-I16)*Assumptions!$D$196*Assumptions!$E$196</f>
        <v>0</v>
      </c>
      <c r="K94" s="37" t="n">
        <f aca="false">(K7-J7)*Assumptions!$D$187*Assumptions!$E$187+(K8-J8)*Assumptions!$D$188*Assumptions!$E$188+(K9-J9)*Assumptions!$D$189*Assumptions!$E$189+(K10-J10)*Assumptions!$D$190*Assumptions!$E$190+(K11-J11)*Assumptions!$D$191*Assumptions!$E$191+(K12-J12)*Assumptions!$D$192*Assumptions!$E$192+(K13-J13)*Assumptions!$D$193*Assumptions!$E$193+(K14-J14)*Assumptions!$D$194*Assumptions!$E$194+(K15-J15)*Assumptions!$D$195*Assumptions!$E$195+(K16-J16)*Assumptions!$D$196*Assumptions!$E$196</f>
        <v>0</v>
      </c>
      <c r="L94" s="37" t="n">
        <f aca="false">(L7-K7)*Assumptions!$D$187*Assumptions!$E$187+(L8-K8)*Assumptions!$D$188*Assumptions!$E$188+(L9-K9)*Assumptions!$D$189*Assumptions!$E$189+(L10-K10)*Assumptions!$D$190*Assumptions!$E$190+(L11-K11)*Assumptions!$D$191*Assumptions!$E$191+(L12-K12)*Assumptions!$D$192*Assumptions!$E$192+(L13-K13)*Assumptions!$D$193*Assumptions!$E$193+(L14-K14)*Assumptions!$D$194*Assumptions!$E$194+(L15-K15)*Assumptions!$D$195*Assumptions!$E$195+(L16-K16)*Assumptions!$D$196*Assumptions!$E$196</f>
        <v>0</v>
      </c>
      <c r="M94" s="37" t="n">
        <f aca="false">(M7-L7)*Assumptions!$D$187*Assumptions!$E$187+(M8-L8)*Assumptions!$D$188*Assumptions!$E$188+(M9-L9)*Assumptions!$D$189*Assumptions!$E$189+(M10-L10)*Assumptions!$D$190*Assumptions!$E$190+(M11-L11)*Assumptions!$D$191*Assumptions!$E$191+(M12-L12)*Assumptions!$D$192*Assumptions!$E$192+(M13-L13)*Assumptions!$D$193*Assumptions!$E$193+(M14-L14)*Assumptions!$D$194*Assumptions!$E$194+(M15-L15)*Assumptions!$D$195*Assumptions!$E$195+(M16-L16)*Assumptions!$D$196*Assumptions!$E$196</f>
        <v>0</v>
      </c>
      <c r="N94" s="37" t="n">
        <f aca="false">(N7-M7)*Assumptions!$D$187*Assumptions!$E$187+(N8-M8)*Assumptions!$D$188*Assumptions!$E$188+(N9-M9)*Assumptions!$D$189*Assumptions!$E$189+(N10-M10)*Assumptions!$D$190*Assumptions!$E$190+(N11-M11)*Assumptions!$D$191*Assumptions!$E$191+(N12-M12)*Assumptions!$D$192*Assumptions!$E$192+(N13-M13)*Assumptions!$D$193*Assumptions!$E$193+(N14-M14)*Assumptions!$D$194*Assumptions!$E$194+(N15-M15)*Assumptions!$D$195*Assumptions!$E$195+(N16-M16)*Assumptions!$D$196*Assumptions!$E$196</f>
        <v>0</v>
      </c>
      <c r="O94" s="37" t="n">
        <f aca="false">(O7-N7)*Assumptions!$D$187*Assumptions!$E$187+(O8-N8)*Assumptions!$D$188*Assumptions!$E$188+(O9-N9)*Assumptions!$D$189*Assumptions!$E$189+(O10-N10)*Assumptions!$D$190*Assumptions!$E$190+(O11-N11)*Assumptions!$D$191*Assumptions!$E$191+(O12-N12)*Assumptions!$D$192*Assumptions!$E$192+(O13-N13)*Assumptions!$D$193*Assumptions!$E$193+(O14-N14)*Assumptions!$D$194*Assumptions!$E$194+(O15-N15)*Assumptions!$D$195*Assumptions!$E$195+(O16-N16)*Assumptions!$D$196*Assumptions!$E$196</f>
        <v>0</v>
      </c>
      <c r="P94" s="37" t="n">
        <f aca="false">(P7-O7)*Assumptions!$D$187*Assumptions!$E$187+(P8-O8)*Assumptions!$D$188*Assumptions!$E$188+(P9-O9)*Assumptions!$D$189*Assumptions!$E$189+(P10-O10)*Assumptions!$D$190*Assumptions!$E$190+(P11-O11)*Assumptions!$D$191*Assumptions!$E$191+(P12-O12)*Assumptions!$D$192*Assumptions!$E$192+(P13-O13)*Assumptions!$D$193*Assumptions!$E$193+(P14-O14)*Assumptions!$D$194*Assumptions!$E$194+(P15-O15)*Assumptions!$D$195*Assumptions!$E$195+(P16-O16)*Assumptions!$D$196*Assumptions!$E$196</f>
        <v>0</v>
      </c>
      <c r="Q94" s="37" t="n">
        <f aca="false">(Q7-P7)*Assumptions!$D$187*Assumptions!$E$187+(Q8-P8)*Assumptions!$D$188*Assumptions!$E$188+(Q9-P9)*Assumptions!$D$189*Assumptions!$E$189+(Q10-P10)*Assumptions!$D$190*Assumptions!$E$190+(Q11-P11)*Assumptions!$D$191*Assumptions!$E$191+(Q12-P12)*Assumptions!$D$192*Assumptions!$E$192+(Q13-P13)*Assumptions!$D$193*Assumptions!$E$193+(Q14-P14)*Assumptions!$D$194*Assumptions!$E$194+(Q15-P15)*Assumptions!$D$195*Assumptions!$E$195+(Q16-P16)*Assumptions!$D$196*Assumptions!$E$196</f>
        <v>0</v>
      </c>
      <c r="R94" s="37" t="n">
        <f aca="false">(R7-Q7)*Assumptions!$D$187*Assumptions!$E$187+(R8-Q8)*Assumptions!$D$188*Assumptions!$E$188+(R9-Q9)*Assumptions!$D$189*Assumptions!$E$189+(R10-Q10)*Assumptions!$D$190*Assumptions!$E$190+(R11-Q11)*Assumptions!$D$191*Assumptions!$E$191+(R12-Q12)*Assumptions!$D$192*Assumptions!$E$192+(R13-Q13)*Assumptions!$D$193*Assumptions!$E$193+(R14-Q14)*Assumptions!$D$194*Assumptions!$E$194+(R15-Q15)*Assumptions!$D$195*Assumptions!$E$195+(R16-Q16)*Assumptions!$D$196*Assumptions!$E$196</f>
        <v>0</v>
      </c>
      <c r="S94" s="37" t="n">
        <f aca="false">(S7-R7)*Assumptions!$D$187*Assumptions!$E$187+(S8-R8)*Assumptions!$D$188*Assumptions!$E$188+(S9-R9)*Assumptions!$D$189*Assumptions!$E$189+(S10-R10)*Assumptions!$D$190*Assumptions!$E$190+(S11-R11)*Assumptions!$D$191*Assumptions!$E$191+(S12-R12)*Assumptions!$D$192*Assumptions!$E$192+(S13-R13)*Assumptions!$D$193*Assumptions!$E$193+(S14-R14)*Assumptions!$D$194*Assumptions!$E$194+(S15-R15)*Assumptions!$D$195*Assumptions!$E$195+(S16-R16)*Assumptions!$D$196*Assumptions!$E$196</f>
        <v>0</v>
      </c>
      <c r="T94" s="37" t="n">
        <f aca="false">(T7-S7)*Assumptions!$D$187*Assumptions!$E$187+(T8-S8)*Assumptions!$D$188*Assumptions!$E$188+(T9-S9)*Assumptions!$D$189*Assumptions!$E$189+(T10-S10)*Assumptions!$D$190*Assumptions!$E$190+(T11-S11)*Assumptions!$D$191*Assumptions!$E$191+(T12-S12)*Assumptions!$D$192*Assumptions!$E$192+(T13-S13)*Assumptions!$D$193*Assumptions!$E$193+(T14-S14)*Assumptions!$D$194*Assumptions!$E$194+(T15-S15)*Assumptions!$D$195*Assumptions!$E$195+(T16-S16)*Assumptions!$D$196*Assumptions!$E$196</f>
        <v>0</v>
      </c>
      <c r="U94" s="37" t="n">
        <f aca="false">(U7-T7)*Assumptions!$D$187*Assumptions!$E$187+(U8-T8)*Assumptions!$D$188*Assumptions!$E$188+(U9-T9)*Assumptions!$D$189*Assumptions!$E$189+(U10-T10)*Assumptions!$D$190*Assumptions!$E$190+(U11-T11)*Assumptions!$D$191*Assumptions!$E$191+(U12-T12)*Assumptions!$D$192*Assumptions!$E$192+(U13-T13)*Assumptions!$D$193*Assumptions!$E$193+(U14-T14)*Assumptions!$D$194*Assumptions!$E$194+(U15-T15)*Assumptions!$D$195*Assumptions!$E$195+(U16-T16)*Assumptions!$D$196*Assumptions!$E$196</f>
        <v>12750</v>
      </c>
      <c r="V94" s="37" t="n">
        <f aca="false">(V7-U7)*Assumptions!$D$187*Assumptions!$E$187+(V8-U8)*Assumptions!$D$188*Assumptions!$E$188+(V9-U9)*Assumptions!$D$189*Assumptions!$E$189+(V10-U10)*Assumptions!$D$190*Assumptions!$E$190+(V11-U11)*Assumptions!$D$191*Assumptions!$E$191+(V12-U12)*Assumptions!$D$192*Assumptions!$E$192+(V13-U13)*Assumptions!$D$193*Assumptions!$E$193+(V14-U14)*Assumptions!$D$194*Assumptions!$E$194+(V15-U15)*Assumptions!$D$195*Assumptions!$E$195+(V16-U16)*Assumptions!$D$196*Assumptions!$E$196</f>
        <v>0</v>
      </c>
      <c r="W94" s="37" t="n">
        <f aca="false">(W7-V7)*Assumptions!$D$187*Assumptions!$E$187+(W8-V8)*Assumptions!$D$188*Assumptions!$E$188+(W9-V9)*Assumptions!$D$189*Assumptions!$E$189+(W10-V10)*Assumptions!$D$190*Assumptions!$E$190+(W11-V11)*Assumptions!$D$191*Assumptions!$E$191+(W12-V12)*Assumptions!$D$192*Assumptions!$E$192+(W13-V13)*Assumptions!$D$193*Assumptions!$E$193+(W14-V14)*Assumptions!$D$194*Assumptions!$E$194+(W15-V15)*Assumptions!$D$195*Assumptions!$E$195+(W16-V16)*Assumptions!$D$196*Assumptions!$E$196</f>
        <v>0</v>
      </c>
      <c r="X94" s="37" t="n">
        <f aca="false">(X7-W7)*Assumptions!$D$187*Assumptions!$E$187+(X8-W8)*Assumptions!$D$188*Assumptions!$E$188+(X9-W9)*Assumptions!$D$189*Assumptions!$E$189+(X10-W10)*Assumptions!$D$190*Assumptions!$E$190+(X11-W11)*Assumptions!$D$191*Assumptions!$E$191+(X12-W12)*Assumptions!$D$192*Assumptions!$E$192+(X13-W13)*Assumptions!$D$193*Assumptions!$E$193+(X14-W14)*Assumptions!$D$194*Assumptions!$E$194+(X15-W15)*Assumptions!$D$195*Assumptions!$E$195+(X16-W16)*Assumptions!$D$196*Assumptions!$E$196</f>
        <v>0</v>
      </c>
      <c r="Y94" s="37" t="n">
        <f aca="false">(Y7-X7)*Assumptions!$D$187*Assumptions!$E$187+(Y8-X8)*Assumptions!$D$188*Assumptions!$E$188+(Y9-X9)*Assumptions!$D$189*Assumptions!$E$189+(Y10-X10)*Assumptions!$D$190*Assumptions!$E$190+(Y11-X11)*Assumptions!$D$191*Assumptions!$E$191+(Y12-X12)*Assumptions!$D$192*Assumptions!$E$192+(Y13-X13)*Assumptions!$D$193*Assumptions!$E$193+(Y14-X14)*Assumptions!$D$194*Assumptions!$E$194+(Y15-X15)*Assumptions!$D$195*Assumptions!$E$195+(Y16-X16)*Assumptions!$D$196*Assumptions!$E$196</f>
        <v>9000</v>
      </c>
      <c r="Z94" s="37" t="n">
        <f aca="false">(Z7-Y7)*Assumptions!$D$187*Assumptions!$E$187+(Z8-Y8)*Assumptions!$D$188*Assumptions!$E$188+(Z9-Y9)*Assumptions!$D$189*Assumptions!$E$189+(Z10-Y10)*Assumptions!$D$190*Assumptions!$E$190+(Z11-Y11)*Assumptions!$D$191*Assumptions!$E$191+(Z12-Y12)*Assumptions!$D$192*Assumptions!$E$192+(Z13-Y13)*Assumptions!$D$193*Assumptions!$E$193+(Z14-Y14)*Assumptions!$D$194*Assumptions!$E$194+(Z15-Y15)*Assumptions!$D$195*Assumptions!$E$195+(Z16-Y16)*Assumptions!$D$196*Assumptions!$E$196</f>
        <v>0</v>
      </c>
      <c r="AA94" s="37" t="n">
        <f aca="false">(AA7-Z7)*Assumptions!$D$187*Assumptions!$E$187+(AA8-Z8)*Assumptions!$D$188*Assumptions!$E$188+(AA9-Z9)*Assumptions!$D$189*Assumptions!$E$189+(AA10-Z10)*Assumptions!$D$190*Assumptions!$E$190+(AA11-Z11)*Assumptions!$D$191*Assumptions!$E$191+(AA12-Z12)*Assumptions!$D$192*Assumptions!$E$192+(AA13-Z13)*Assumptions!$D$193*Assumptions!$E$193+(AA14-Z14)*Assumptions!$D$194*Assumptions!$E$194+(AA15-Z15)*Assumptions!$D$195*Assumptions!$E$195+(AA16-Z16)*Assumptions!$D$196*Assumptions!$E$196</f>
        <v>0</v>
      </c>
      <c r="AB94" s="37" t="n">
        <f aca="false">(AB7-AA7)*Assumptions!$D$187*Assumptions!$E$187+(AB8-AA8)*Assumptions!$D$188*Assumptions!$E$188+(AB9-AA9)*Assumptions!$D$189*Assumptions!$E$189+(AB10-AA10)*Assumptions!$D$190*Assumptions!$E$190+(AB11-AA11)*Assumptions!$D$191*Assumptions!$E$191+(AB12-AA12)*Assumptions!$D$192*Assumptions!$E$192+(AB13-AA13)*Assumptions!$D$193*Assumptions!$E$193+(AB14-AA14)*Assumptions!$D$194*Assumptions!$E$194+(AB15-AA15)*Assumptions!$D$195*Assumptions!$E$195+(AB16-AA16)*Assumptions!$D$196*Assumptions!$E$196</f>
        <v>0</v>
      </c>
      <c r="AC94" s="37" t="n">
        <f aca="false">(AC7-AB7)*Assumptions!$D$187*Assumptions!$E$187+(AC8-AB8)*Assumptions!$D$188*Assumptions!$E$188+(AC9-AB9)*Assumptions!$D$189*Assumptions!$E$189+(AC10-AB10)*Assumptions!$D$190*Assumptions!$E$190+(AC11-AB11)*Assumptions!$D$191*Assumptions!$E$191+(AC12-AB12)*Assumptions!$D$192*Assumptions!$E$192+(AC13-AB13)*Assumptions!$D$193*Assumptions!$E$193+(AC14-AB14)*Assumptions!$D$194*Assumptions!$E$194+(AC15-AB15)*Assumptions!$D$195*Assumptions!$E$195+(AC16-AB16)*Assumptions!$D$196*Assumptions!$E$196</f>
        <v>0</v>
      </c>
      <c r="AD94" s="37" t="n">
        <f aca="false">(AD7-AC7)*Assumptions!$D$187*Assumptions!$E$187+(AD8-AC8)*Assumptions!$D$188*Assumptions!$E$188+(AD9-AC9)*Assumptions!$D$189*Assumptions!$E$189+(AD10-AC10)*Assumptions!$D$190*Assumptions!$E$190+(AD11-AC11)*Assumptions!$D$191*Assumptions!$E$191+(AD12-AC12)*Assumptions!$D$192*Assumptions!$E$192+(AD13-AC13)*Assumptions!$D$193*Assumptions!$E$193+(AD14-AC14)*Assumptions!$D$194*Assumptions!$E$194+(AD15-AC15)*Assumptions!$D$195*Assumptions!$E$195+(AD16-AC16)*Assumptions!$D$196*Assumptions!$E$196</f>
        <v>0</v>
      </c>
      <c r="AE94" s="37" t="n">
        <f aca="false">(AE7-AD7)*Assumptions!$D$187*Assumptions!$E$187+(AE8-AD8)*Assumptions!$D$188*Assumptions!$E$188+(AE9-AD9)*Assumptions!$D$189*Assumptions!$E$189+(AE10-AD10)*Assumptions!$D$190*Assumptions!$E$190+(AE11-AD11)*Assumptions!$D$191*Assumptions!$E$191+(AE12-AD12)*Assumptions!$D$192*Assumptions!$E$192+(AE13-AD13)*Assumptions!$D$193*Assumptions!$E$193+(AE14-AD14)*Assumptions!$D$194*Assumptions!$E$194+(AE15-AD15)*Assumptions!$D$195*Assumptions!$E$195+(AE16-AD16)*Assumptions!$D$196*Assumptions!$E$196</f>
        <v>0</v>
      </c>
      <c r="AF94" s="37" t="n">
        <f aca="false">(AF7-AE7)*Assumptions!$D$187*Assumptions!$E$187+(AF8-AE8)*Assumptions!$D$188*Assumptions!$E$188+(AF9-AE9)*Assumptions!$D$189*Assumptions!$E$189+(AF10-AE10)*Assumptions!$D$190*Assumptions!$E$190+(AF11-AE11)*Assumptions!$D$191*Assumptions!$E$191+(AF12-AE12)*Assumptions!$D$192*Assumptions!$E$192+(AF13-AE13)*Assumptions!$D$193*Assumptions!$E$193+(AF14-AE14)*Assumptions!$D$194*Assumptions!$E$194+(AF15-AE15)*Assumptions!$D$195*Assumptions!$E$195+(AF16-AE16)*Assumptions!$D$196*Assumptions!$E$196</f>
        <v>12750</v>
      </c>
      <c r="AG94" s="37" t="n">
        <f aca="false">(AG7-AF7)*Assumptions!$D$187*Assumptions!$E$187+(AG8-AF8)*Assumptions!$D$188*Assumptions!$E$188+(AG9-AF9)*Assumptions!$D$189*Assumptions!$E$189+(AG10-AF10)*Assumptions!$D$190*Assumptions!$E$190+(AG11-AF11)*Assumptions!$D$191*Assumptions!$E$191+(AG12-AF12)*Assumptions!$D$192*Assumptions!$E$192+(AG13-AF13)*Assumptions!$D$193*Assumptions!$E$193+(AG14-AF14)*Assumptions!$D$194*Assumptions!$E$194+(AG15-AF15)*Assumptions!$D$195*Assumptions!$E$195+(AG16-AF16)*Assumptions!$D$196*Assumptions!$E$196</f>
        <v>0</v>
      </c>
      <c r="AH94" s="37" t="n">
        <f aca="false">(AH7-AG7)*Assumptions!$D$187*Assumptions!$E$187+(AH8-AG8)*Assumptions!$D$188*Assumptions!$E$188+(AH9-AG9)*Assumptions!$D$189*Assumptions!$E$189+(AH10-AG10)*Assumptions!$D$190*Assumptions!$E$190+(AH11-AG11)*Assumptions!$D$191*Assumptions!$E$191+(AH12-AG12)*Assumptions!$D$192*Assumptions!$E$192+(AH13-AG13)*Assumptions!$D$193*Assumptions!$E$193+(AH14-AG14)*Assumptions!$D$194*Assumptions!$E$194+(AH15-AG15)*Assumptions!$D$195*Assumptions!$E$195+(AH16-AG16)*Assumptions!$D$196*Assumptions!$E$196</f>
        <v>0</v>
      </c>
      <c r="AI94" s="37" t="n">
        <f aca="false">(AI7-AH7)*Assumptions!$D$187*Assumptions!$E$187+(AI8-AH8)*Assumptions!$D$188*Assumptions!$E$188+(AI9-AH9)*Assumptions!$D$189*Assumptions!$E$189+(AI10-AH10)*Assumptions!$D$190*Assumptions!$E$190+(AI11-AH11)*Assumptions!$D$191*Assumptions!$E$191+(AI12-AH12)*Assumptions!$D$192*Assumptions!$E$192+(AI13-AH13)*Assumptions!$D$193*Assumptions!$E$193+(AI14-AH14)*Assumptions!$D$194*Assumptions!$E$194+(AI15-AH15)*Assumptions!$D$195*Assumptions!$E$195+(AI16-AH16)*Assumptions!$D$196*Assumptions!$E$196</f>
        <v>7500</v>
      </c>
      <c r="AJ94" s="37" t="n">
        <f aca="false">(AJ7-AI7)*Assumptions!$D$187*Assumptions!$E$187+(AJ8-AI8)*Assumptions!$D$188*Assumptions!$E$188+(AJ9-AI9)*Assumptions!$D$189*Assumptions!$E$189+(AJ10-AI10)*Assumptions!$D$190*Assumptions!$E$190+(AJ11-AI11)*Assumptions!$D$191*Assumptions!$E$191+(AJ12-AI12)*Assumptions!$D$192*Assumptions!$E$192+(AJ13-AI13)*Assumptions!$D$193*Assumptions!$E$193+(AJ14-AI14)*Assumptions!$D$194*Assumptions!$E$194+(AJ15-AI15)*Assumptions!$D$195*Assumptions!$E$195+(AJ16-AI16)*Assumptions!$D$196*Assumptions!$E$196</f>
        <v>0</v>
      </c>
      <c r="AK94" s="37" t="n">
        <f aca="false">(AK7-AJ7)*Assumptions!$D$187*Assumptions!$E$187+(AK8-AJ8)*Assumptions!$D$188*Assumptions!$E$188+(AK9-AJ9)*Assumptions!$D$189*Assumptions!$E$189+(AK10-AJ10)*Assumptions!$D$190*Assumptions!$E$190+(AK11-AJ11)*Assumptions!$D$191*Assumptions!$E$191+(AK12-AJ12)*Assumptions!$D$192*Assumptions!$E$192+(AK13-AJ13)*Assumptions!$D$193*Assumptions!$E$193+(AK14-AJ14)*Assumptions!$D$194*Assumptions!$E$194+(AK15-AJ15)*Assumptions!$D$195*Assumptions!$E$195+(AK16-AJ16)*Assumptions!$D$196*Assumptions!$E$196</f>
        <v>0</v>
      </c>
      <c r="AL94" s="37" t="n">
        <f aca="false">(AL7-AK7)*Assumptions!$D$187*Assumptions!$E$187+(AL8-AK8)*Assumptions!$D$188*Assumptions!$E$188+(AL9-AK9)*Assumptions!$D$189*Assumptions!$E$189+(AL10-AK10)*Assumptions!$D$190*Assumptions!$E$190+(AL11-AK11)*Assumptions!$D$191*Assumptions!$E$191+(AL12-AK12)*Assumptions!$D$192*Assumptions!$E$192+(AL13-AK13)*Assumptions!$D$193*Assumptions!$E$193+(AL14-AK14)*Assumptions!$D$194*Assumptions!$E$194+(AL15-AK15)*Assumptions!$D$195*Assumptions!$E$195+(AL16-AK16)*Assumptions!$D$196*Assumptions!$E$196</f>
        <v>0</v>
      </c>
    </row>
    <row r="95" customFormat="false" ht="15" hidden="false" customHeight="false" outlineLevel="0" collapsed="false">
      <c r="A95" s="9" t="s">
        <v>638</v>
      </c>
      <c r="B95" s="2" t="s">
        <v>105</v>
      </c>
      <c r="C95" s="37" t="n">
        <f aca="false">IF(C8=0,Assumptions!$D$163,0)</f>
        <v>2000</v>
      </c>
      <c r="D95" s="37" t="n">
        <f aca="false">IF(D8=0,Assumptions!$D$163,0)</f>
        <v>2000</v>
      </c>
      <c r="E95" s="37" t="n">
        <f aca="false">IF(E8=0,Assumptions!$D$163,0)</f>
        <v>2000</v>
      </c>
      <c r="F95" s="37" t="n">
        <f aca="false">IF(F8=0,Assumptions!$D$163,0)</f>
        <v>2000</v>
      </c>
      <c r="G95" s="37" t="n">
        <f aca="false">IF(G8=0,Assumptions!$D$163,0)</f>
        <v>2000</v>
      </c>
      <c r="H95" s="37" t="n">
        <f aca="false">IF(H8=0,Assumptions!$D$163,0)</f>
        <v>2000</v>
      </c>
      <c r="I95" s="37" t="n">
        <f aca="false">IF(I8=0,Assumptions!$D$163,0)</f>
        <v>2000</v>
      </c>
      <c r="J95" s="37" t="n">
        <f aca="false">IF(J8=0,Assumptions!$D$163,0)</f>
        <v>2000</v>
      </c>
      <c r="K95" s="37" t="n">
        <f aca="false">IF(K8=0,Assumptions!$D$163,0)</f>
        <v>2000</v>
      </c>
      <c r="L95" s="37" t="n">
        <f aca="false">IF(L8=0,Assumptions!$D$163,0)</f>
        <v>2000</v>
      </c>
      <c r="M95" s="37" t="n">
        <f aca="false">IF(M8=0,Assumptions!$D$163,0)</f>
        <v>2000</v>
      </c>
      <c r="N95" s="37" t="n">
        <f aca="false">IF(N8=0,Assumptions!$D$163,0)</f>
        <v>2000</v>
      </c>
      <c r="O95" s="37" t="n">
        <f aca="false">IF(O8=0,Assumptions!$D$163,0)</f>
        <v>2000</v>
      </c>
      <c r="P95" s="37" t="n">
        <f aca="false">IF(P8=0,Assumptions!$D$163,0)</f>
        <v>2000</v>
      </c>
      <c r="Q95" s="37" t="n">
        <f aca="false">IF(Q8=0,Assumptions!$D$163,0)</f>
        <v>2000</v>
      </c>
      <c r="R95" s="37" t="n">
        <f aca="false">IF(R8=0,Assumptions!$D$163,0)</f>
        <v>2000</v>
      </c>
      <c r="S95" s="37" t="n">
        <f aca="false">IF(S8=0,Assumptions!$D$163,0)</f>
        <v>2000</v>
      </c>
      <c r="T95" s="37" t="n">
        <f aca="false">IF(T8=0,Assumptions!$D$163,0)</f>
        <v>2000</v>
      </c>
      <c r="U95" s="37" t="n">
        <f aca="false">IF(U8=0,Assumptions!$D$163,0)</f>
        <v>0</v>
      </c>
      <c r="V95" s="37" t="n">
        <f aca="false">IF(V8=0,Assumptions!$D$163,0)</f>
        <v>0</v>
      </c>
      <c r="W95" s="37" t="n">
        <f aca="false">IF(W8=0,Assumptions!$D$163,0)</f>
        <v>0</v>
      </c>
      <c r="X95" s="37" t="n">
        <f aca="false">IF(X8=0,Assumptions!$D$163,0)</f>
        <v>0</v>
      </c>
      <c r="Y95" s="37" t="n">
        <f aca="false">IF(Y8=0,Assumptions!$D$163,0)</f>
        <v>0</v>
      </c>
      <c r="Z95" s="37" t="n">
        <f aca="false">IF(Z8=0,Assumptions!$D$163,0)</f>
        <v>0</v>
      </c>
      <c r="AA95" s="37" t="n">
        <f aca="false">IF(AA8=0,Assumptions!$D$163,0)</f>
        <v>0</v>
      </c>
      <c r="AB95" s="37" t="n">
        <f aca="false">IF(AB8=0,Assumptions!$D$163,0)</f>
        <v>0</v>
      </c>
      <c r="AC95" s="37" t="n">
        <f aca="false">IF(AC8=0,Assumptions!$D$163,0)</f>
        <v>0</v>
      </c>
      <c r="AD95" s="37" t="n">
        <f aca="false">IF(AD8=0,Assumptions!$D$163,0)</f>
        <v>0</v>
      </c>
      <c r="AE95" s="37" t="n">
        <f aca="false">IF(AE8=0,Assumptions!$D$163,0)</f>
        <v>0</v>
      </c>
      <c r="AF95" s="37" t="n">
        <f aca="false">IF(AF8=0,Assumptions!$D$163,0)</f>
        <v>0</v>
      </c>
      <c r="AG95" s="37" t="n">
        <f aca="false">IF(AG8=0,Assumptions!$D$163,0)</f>
        <v>0</v>
      </c>
      <c r="AH95" s="37" t="n">
        <f aca="false">IF(AH8=0,Assumptions!$D$163,0)</f>
        <v>0</v>
      </c>
      <c r="AI95" s="37" t="n">
        <f aca="false">IF(AI8=0,Assumptions!$D$163,0)</f>
        <v>0</v>
      </c>
      <c r="AJ95" s="37" t="n">
        <f aca="false">IF(AJ8=0,Assumptions!$D$163,0)</f>
        <v>0</v>
      </c>
      <c r="AK95" s="37" t="n">
        <f aca="false">IF(AK8=0,Assumptions!$D$163,0)</f>
        <v>0</v>
      </c>
      <c r="AL95" s="37" t="n">
        <f aca="false">IF(AL8=0,Assumptions!$D$163,0)</f>
        <v>0</v>
      </c>
    </row>
    <row r="96" customFormat="false" ht="15" hidden="false" customHeight="false" outlineLevel="0" collapsed="false">
      <c r="A96" s="9" t="s">
        <v>639</v>
      </c>
      <c r="B96" s="2" t="s">
        <v>105</v>
      </c>
      <c r="C96" s="37" t="n">
        <f aca="false">Assumptions!$D$164+Assumptions!$D$165/12</f>
        <v>2250</v>
      </c>
      <c r="D96" s="37" t="n">
        <f aca="false">Assumptions!$D$164+Assumptions!$D$165/12</f>
        <v>2250</v>
      </c>
      <c r="E96" s="37" t="n">
        <f aca="false">Assumptions!$D$164+Assumptions!$D$165/12</f>
        <v>2250</v>
      </c>
      <c r="F96" s="37" t="n">
        <f aca="false">Assumptions!$D$164+Assumptions!$D$165/12</f>
        <v>2250</v>
      </c>
      <c r="G96" s="37" t="n">
        <f aca="false">Assumptions!$D$164+Assumptions!$D$165/12</f>
        <v>2250</v>
      </c>
      <c r="H96" s="37" t="n">
        <f aca="false">Assumptions!$D$164+Assumptions!$D$165/12</f>
        <v>2250</v>
      </c>
      <c r="I96" s="37" t="n">
        <f aca="false">Assumptions!$D$164+Assumptions!$D$165/12</f>
        <v>2250</v>
      </c>
      <c r="J96" s="37" t="n">
        <f aca="false">Assumptions!$D$164+Assumptions!$D$165/12</f>
        <v>2250</v>
      </c>
      <c r="K96" s="37" t="n">
        <f aca="false">Assumptions!$D$164+Assumptions!$D$165/12</f>
        <v>2250</v>
      </c>
      <c r="L96" s="37" t="n">
        <f aca="false">Assumptions!$D$164+Assumptions!$D$165/12</f>
        <v>2250</v>
      </c>
      <c r="M96" s="37" t="n">
        <f aca="false">Assumptions!$D$164+Assumptions!$D$165/12</f>
        <v>2250</v>
      </c>
      <c r="N96" s="37" t="n">
        <f aca="false">Assumptions!$D$164+Assumptions!$D$165/12</f>
        <v>2250</v>
      </c>
      <c r="O96" s="37" t="n">
        <f aca="false">Assumptions!$D$164+Assumptions!$D$165/12</f>
        <v>2250</v>
      </c>
      <c r="P96" s="37" t="n">
        <f aca="false">Assumptions!$D$164+Assumptions!$D$165/12</f>
        <v>2250</v>
      </c>
      <c r="Q96" s="37" t="n">
        <f aca="false">Assumptions!$D$164+Assumptions!$D$165/12</f>
        <v>2250</v>
      </c>
      <c r="R96" s="37" t="n">
        <f aca="false">Assumptions!$D$164+Assumptions!$D$165/12</f>
        <v>2250</v>
      </c>
      <c r="S96" s="37" t="n">
        <f aca="false">Assumptions!$D$164+Assumptions!$D$165/12</f>
        <v>2250</v>
      </c>
      <c r="T96" s="37" t="n">
        <f aca="false">Assumptions!$D$164+Assumptions!$D$165/12</f>
        <v>2250</v>
      </c>
      <c r="U96" s="37" t="n">
        <f aca="false">Assumptions!$D$164+Assumptions!$D$165/12</f>
        <v>2250</v>
      </c>
      <c r="V96" s="37" t="n">
        <f aca="false">Assumptions!$D$164+Assumptions!$D$165/12</f>
        <v>2250</v>
      </c>
      <c r="W96" s="37" t="n">
        <f aca="false">Assumptions!$D$164+Assumptions!$D$165/12</f>
        <v>2250</v>
      </c>
      <c r="X96" s="37" t="n">
        <f aca="false">Assumptions!$D$164+Assumptions!$D$165/12</f>
        <v>2250</v>
      </c>
      <c r="Y96" s="37" t="n">
        <f aca="false">Assumptions!$D$164+Assumptions!$D$165/12</f>
        <v>2250</v>
      </c>
      <c r="Z96" s="37" t="n">
        <f aca="false">Assumptions!$D$164+Assumptions!$D$165/12</f>
        <v>2250</v>
      </c>
      <c r="AA96" s="37" t="n">
        <f aca="false">Assumptions!$D$164+Assumptions!$D$165/12</f>
        <v>2250</v>
      </c>
      <c r="AB96" s="37" t="n">
        <f aca="false">Assumptions!$D$164+Assumptions!$D$165/12</f>
        <v>2250</v>
      </c>
      <c r="AC96" s="37" t="n">
        <f aca="false">Assumptions!$D$164+Assumptions!$D$165/12</f>
        <v>2250</v>
      </c>
      <c r="AD96" s="37" t="n">
        <f aca="false">Assumptions!$D$164+Assumptions!$D$165/12</f>
        <v>2250</v>
      </c>
      <c r="AE96" s="37" t="n">
        <f aca="false">Assumptions!$D$164+Assumptions!$D$165/12</f>
        <v>2250</v>
      </c>
      <c r="AF96" s="37" t="n">
        <f aca="false">Assumptions!$D$164+Assumptions!$D$165/12</f>
        <v>2250</v>
      </c>
      <c r="AG96" s="37" t="n">
        <f aca="false">Assumptions!$D$164+Assumptions!$D$165/12</f>
        <v>2250</v>
      </c>
      <c r="AH96" s="37" t="n">
        <f aca="false">Assumptions!$D$164+Assumptions!$D$165/12</f>
        <v>2250</v>
      </c>
      <c r="AI96" s="37" t="n">
        <f aca="false">Assumptions!$D$164+Assumptions!$D$165/12</f>
        <v>2250</v>
      </c>
      <c r="AJ96" s="37" t="n">
        <f aca="false">Assumptions!$D$164+Assumptions!$D$165/12</f>
        <v>2250</v>
      </c>
      <c r="AK96" s="37" t="n">
        <f aca="false">Assumptions!$D$164+Assumptions!$D$165/12</f>
        <v>2250</v>
      </c>
      <c r="AL96" s="37" t="n">
        <f aca="false">Assumptions!$D$164+Assumptions!$D$165/12</f>
        <v>2250</v>
      </c>
    </row>
    <row r="97" customFormat="false" ht="15" hidden="false" customHeight="false" outlineLevel="0" collapsed="false">
      <c r="A97" s="9" t="s">
        <v>640</v>
      </c>
      <c r="B97" s="2" t="s">
        <v>105</v>
      </c>
      <c r="C97" s="37" t="n">
        <f aca="false">Assumptions!$D$166/12+IF(C$3&gt;=Assumptions!$D$124,Assumptions!$D$167/12,0)</f>
        <v>125</v>
      </c>
      <c r="D97" s="37" t="n">
        <f aca="false">Assumptions!$D$166/12+IF(D$3&gt;=Assumptions!$D$124,Assumptions!$D$167/12,0)</f>
        <v>125</v>
      </c>
      <c r="E97" s="37" t="n">
        <f aca="false">Assumptions!$D$166/12+IF(E$3&gt;=Assumptions!$D$124,Assumptions!$D$167/12,0)</f>
        <v>125</v>
      </c>
      <c r="F97" s="37" t="n">
        <f aca="false">Assumptions!$D$166/12+IF(F$3&gt;=Assumptions!$D$124,Assumptions!$D$167/12,0)</f>
        <v>125</v>
      </c>
      <c r="G97" s="37" t="n">
        <f aca="false">Assumptions!$D$166/12+IF(G$3&gt;=Assumptions!$D$124,Assumptions!$D$167/12,0)</f>
        <v>125</v>
      </c>
      <c r="H97" s="37" t="n">
        <f aca="false">Assumptions!$D$166/12+IF(H$3&gt;=Assumptions!$D$124,Assumptions!$D$167/12,0)</f>
        <v>125</v>
      </c>
      <c r="I97" s="37" t="n">
        <f aca="false">Assumptions!$D$166/12+IF(I$3&gt;=Assumptions!$D$124,Assumptions!$D$167/12,0)</f>
        <v>125</v>
      </c>
      <c r="J97" s="37" t="n">
        <f aca="false">Assumptions!$D$166/12+IF(J$3&gt;=Assumptions!$D$124,Assumptions!$D$167/12,0)</f>
        <v>125</v>
      </c>
      <c r="K97" s="37" t="n">
        <f aca="false">Assumptions!$D$166/12+IF(K$3&gt;=Assumptions!$D$124,Assumptions!$D$167/12,0)</f>
        <v>458.333333333333</v>
      </c>
      <c r="L97" s="37" t="n">
        <f aca="false">Assumptions!$D$166/12+IF(L$3&gt;=Assumptions!$D$124,Assumptions!$D$167/12,0)</f>
        <v>458.333333333333</v>
      </c>
      <c r="M97" s="37" t="n">
        <f aca="false">Assumptions!$D$166/12+IF(M$3&gt;=Assumptions!$D$124,Assumptions!$D$167/12,0)</f>
        <v>458.333333333333</v>
      </c>
      <c r="N97" s="37" t="n">
        <f aca="false">Assumptions!$D$166/12+IF(N$3&gt;=Assumptions!$D$124,Assumptions!$D$167/12,0)</f>
        <v>458.333333333333</v>
      </c>
      <c r="O97" s="37" t="n">
        <f aca="false">Assumptions!$D$166/12+IF(O$3&gt;=Assumptions!$D$124,Assumptions!$D$167/12,0)</f>
        <v>458.333333333333</v>
      </c>
      <c r="P97" s="37" t="n">
        <f aca="false">Assumptions!$D$166/12+IF(P$3&gt;=Assumptions!$D$124,Assumptions!$D$167/12,0)</f>
        <v>458.333333333333</v>
      </c>
      <c r="Q97" s="37" t="n">
        <f aca="false">Assumptions!$D$166/12+IF(Q$3&gt;=Assumptions!$D$124,Assumptions!$D$167/12,0)</f>
        <v>458.333333333333</v>
      </c>
      <c r="R97" s="37" t="n">
        <f aca="false">Assumptions!$D$166/12+IF(R$3&gt;=Assumptions!$D$124,Assumptions!$D$167/12,0)</f>
        <v>458.333333333333</v>
      </c>
      <c r="S97" s="37" t="n">
        <f aca="false">Assumptions!$D$166/12+IF(S$3&gt;=Assumptions!$D$124,Assumptions!$D$167/12,0)</f>
        <v>458.333333333333</v>
      </c>
      <c r="T97" s="37" t="n">
        <f aca="false">Assumptions!$D$166/12+IF(T$3&gt;=Assumptions!$D$124,Assumptions!$D$167/12,0)</f>
        <v>458.333333333333</v>
      </c>
      <c r="U97" s="37" t="n">
        <f aca="false">Assumptions!$D$166/12+IF(U$3&gt;=Assumptions!$D$124,Assumptions!$D$167/12,0)</f>
        <v>458.333333333333</v>
      </c>
      <c r="V97" s="37" t="n">
        <f aca="false">Assumptions!$D$166/12+IF(V$3&gt;=Assumptions!$D$124,Assumptions!$D$167/12,0)</f>
        <v>458.333333333333</v>
      </c>
      <c r="W97" s="37" t="n">
        <f aca="false">Assumptions!$D$166/12+IF(W$3&gt;=Assumptions!$D$124,Assumptions!$D$167/12,0)</f>
        <v>458.333333333333</v>
      </c>
      <c r="X97" s="37" t="n">
        <f aca="false">Assumptions!$D$166/12+IF(X$3&gt;=Assumptions!$D$124,Assumptions!$D$167/12,0)</f>
        <v>458.333333333333</v>
      </c>
      <c r="Y97" s="37" t="n">
        <f aca="false">Assumptions!$D$166/12+IF(Y$3&gt;=Assumptions!$D$124,Assumptions!$D$167/12,0)</f>
        <v>458.333333333333</v>
      </c>
      <c r="Z97" s="37" t="n">
        <f aca="false">Assumptions!$D$166/12+IF(Z$3&gt;=Assumptions!$D$124,Assumptions!$D$167/12,0)</f>
        <v>458.333333333333</v>
      </c>
      <c r="AA97" s="37" t="n">
        <f aca="false">Assumptions!$D$166/12+IF(AA$3&gt;=Assumptions!$D$124,Assumptions!$D$167/12,0)</f>
        <v>458.333333333333</v>
      </c>
      <c r="AB97" s="37" t="n">
        <f aca="false">Assumptions!$D$166/12+IF(AB$3&gt;=Assumptions!$D$124,Assumptions!$D$167/12,0)</f>
        <v>458.333333333333</v>
      </c>
      <c r="AC97" s="37" t="n">
        <f aca="false">Assumptions!$D$166/12+IF(AC$3&gt;=Assumptions!$D$124,Assumptions!$D$167/12,0)</f>
        <v>458.333333333333</v>
      </c>
      <c r="AD97" s="37" t="n">
        <f aca="false">Assumptions!$D$166/12+IF(AD$3&gt;=Assumptions!$D$124,Assumptions!$D$167/12,0)</f>
        <v>458.333333333333</v>
      </c>
      <c r="AE97" s="37" t="n">
        <f aca="false">Assumptions!$D$166/12+IF(AE$3&gt;=Assumptions!$D$124,Assumptions!$D$167/12,0)</f>
        <v>458.333333333333</v>
      </c>
      <c r="AF97" s="37" t="n">
        <f aca="false">Assumptions!$D$166/12+IF(AF$3&gt;=Assumptions!$D$124,Assumptions!$D$167/12,0)</f>
        <v>458.333333333333</v>
      </c>
      <c r="AG97" s="37" t="n">
        <f aca="false">Assumptions!$D$166/12+IF(AG$3&gt;=Assumptions!$D$124,Assumptions!$D$167/12,0)</f>
        <v>458.333333333333</v>
      </c>
      <c r="AH97" s="37" t="n">
        <f aca="false">Assumptions!$D$166/12+IF(AH$3&gt;=Assumptions!$D$124,Assumptions!$D$167/12,0)</f>
        <v>458.333333333333</v>
      </c>
      <c r="AI97" s="37" t="n">
        <f aca="false">Assumptions!$D$166/12+IF(AI$3&gt;=Assumptions!$D$124,Assumptions!$D$167/12,0)</f>
        <v>458.333333333333</v>
      </c>
      <c r="AJ97" s="37" t="n">
        <f aca="false">Assumptions!$D$166/12+IF(AJ$3&gt;=Assumptions!$D$124,Assumptions!$D$167/12,0)</f>
        <v>458.333333333333</v>
      </c>
      <c r="AK97" s="37" t="n">
        <f aca="false">Assumptions!$D$166/12+IF(AK$3&gt;=Assumptions!$D$124,Assumptions!$D$167/12,0)</f>
        <v>458.333333333333</v>
      </c>
      <c r="AL97" s="37" t="n">
        <f aca="false">Assumptions!$D$166/12+IF(AL$3&gt;=Assumptions!$D$124,Assumptions!$D$167/12,0)</f>
        <v>458.333333333333</v>
      </c>
    </row>
    <row r="98" customFormat="false" ht="15" hidden="false" customHeight="false" outlineLevel="0" collapsed="false">
      <c r="A98" s="9" t="s">
        <v>641</v>
      </c>
      <c r="B98" s="2" t="s">
        <v>105</v>
      </c>
      <c r="C98" s="37" t="n">
        <f aca="false">C63*Assumptions!$D$168</f>
        <v>0</v>
      </c>
      <c r="D98" s="37" t="n">
        <f aca="false">D63*Assumptions!$D$168</f>
        <v>0</v>
      </c>
      <c r="E98" s="37" t="n">
        <f aca="false">E63*Assumptions!$D$168</f>
        <v>0</v>
      </c>
      <c r="F98" s="37" t="n">
        <f aca="false">F63*Assumptions!$D$168</f>
        <v>0</v>
      </c>
      <c r="G98" s="37" t="n">
        <f aca="false">G63*Assumptions!$D$168</f>
        <v>0</v>
      </c>
      <c r="H98" s="37" t="n">
        <f aca="false">H63*Assumptions!$D$168</f>
        <v>10.8375</v>
      </c>
      <c r="I98" s="37" t="n">
        <f aca="false">I63*Assumptions!$D$168</f>
        <v>35.644098475</v>
      </c>
      <c r="J98" s="37" t="n">
        <f aca="false">J63*Assumptions!$D$168</f>
        <v>59.4219886886818</v>
      </c>
      <c r="K98" s="37" t="n">
        <f aca="false">K63*Assumptions!$D$168</f>
        <v>113.371934364066</v>
      </c>
      <c r="L98" s="37" t="n">
        <f aca="false">L63*Assumptions!$D$168</f>
        <v>163.029286375222</v>
      </c>
      <c r="M98" s="37" t="n">
        <f aca="false">M63*Assumptions!$D$168</f>
        <v>217.872226038671</v>
      </c>
      <c r="N98" s="37" t="n">
        <f aca="false">N63*Assumptions!$D$168</f>
        <v>321.255605482041</v>
      </c>
      <c r="O98" s="37" t="n">
        <f aca="false">O63*Assumptions!$D$168</f>
        <v>411.579263201686</v>
      </c>
      <c r="P98" s="37" t="n">
        <f aca="false">P63*Assumptions!$D$168</f>
        <v>509.022869514131</v>
      </c>
      <c r="Q98" s="37" t="n">
        <f aca="false">Q63*Assumptions!$D$168</f>
        <v>613.518119271511</v>
      </c>
      <c r="R98" s="37" t="n">
        <f aca="false">R63*Assumptions!$D$168</f>
        <v>724.998675021378</v>
      </c>
      <c r="S98" s="37" t="n">
        <f aca="false">S63*Assumptions!$D$168</f>
        <v>843.400111885255</v>
      </c>
      <c r="T98" s="37" t="n">
        <f aca="false">T63*Assumptions!$D$168</f>
        <v>968.659864102326</v>
      </c>
      <c r="U98" s="37" t="n">
        <f aca="false">U63*Assumptions!$D$168</f>
        <v>1100.71717318636</v>
      </c>
      <c r="V98" s="37" t="n">
        <f aca="false">V63*Assumptions!$D$168</f>
        <v>1239.51303764564</v>
      </c>
      <c r="W98" s="37" t="n">
        <f aca="false">W63*Assumptions!$D$168</f>
        <v>1384.99016421719</v>
      </c>
      <c r="X98" s="37" t="n">
        <f aca="false">X63*Assumptions!$D$168</f>
        <v>1537.09292056833</v>
      </c>
      <c r="Y98" s="37" t="n">
        <f aca="false">Y63*Assumptions!$D$168</f>
        <v>1695.7672894198</v>
      </c>
      <c r="Z98" s="37" t="n">
        <f aca="false">Z63*Assumptions!$D$168</f>
        <v>1860.96082404651</v>
      </c>
      <c r="AA98" s="37" t="n">
        <f aca="false">AA63*Assumptions!$D$168</f>
        <v>2032.62260511294</v>
      </c>
      <c r="AB98" s="37" t="n">
        <f aca="false">AB63*Assumptions!$D$168</f>
        <v>2278.58682380205</v>
      </c>
      <c r="AC98" s="37" t="n">
        <f aca="false">AC63*Assumptions!$D$168</f>
        <v>2499.95177052749</v>
      </c>
      <c r="AD98" s="37" t="n">
        <f aca="false">AD63*Assumptions!$D$168</f>
        <v>2727.60902694905</v>
      </c>
      <c r="AE98" s="37" t="n">
        <f aca="false">AE63*Assumptions!$D$168</f>
        <v>2961.51403882964</v>
      </c>
      <c r="AF98" s="37" t="n">
        <f aca="false">AF63*Assumptions!$D$168</f>
        <v>3201.62357899007</v>
      </c>
      <c r="AG98" s="37" t="n">
        <f aca="false">AG63*Assumptions!$D$168</f>
        <v>3447.89571136886</v>
      </c>
      <c r="AH98" s="37" t="n">
        <f aca="false">AH63*Assumptions!$D$168</f>
        <v>3700.28975615303</v>
      </c>
      <c r="AI98" s="37" t="n">
        <f aca="false">AI63*Assumptions!$D$168</f>
        <v>3958.76625594683</v>
      </c>
      <c r="AJ98" s="37" t="n">
        <f aca="false">AJ63*Assumptions!$D$168</f>
        <v>4223.28694294646</v>
      </c>
      <c r="AK98" s="37" t="n">
        <f aca="false">AK63*Assumptions!$D$168</f>
        <v>4493.81470708982</v>
      </c>
      <c r="AL98" s="37" t="n">
        <f aca="false">AL63*Assumptions!$D$168</f>
        <v>4770.31356515127</v>
      </c>
    </row>
    <row r="99" customFormat="false" ht="15" hidden="false" customHeight="false" outlineLevel="0" collapsed="false">
      <c r="A99" s="9" t="s">
        <v>642</v>
      </c>
      <c r="B99" s="2" t="s">
        <v>105</v>
      </c>
      <c r="C99" s="37" t="n">
        <f aca="false">IF(C18&gt;0,(C24*Assumptions!$D$75*Assumptions!$D$151+C25*Assumptions!$D$76*Assumptions!$D$152)*12*Assumptions!$D$169,0)</f>
        <v>0</v>
      </c>
      <c r="D99" s="37" t="n">
        <f aca="false">IF(D18&gt;0,(D24*Assumptions!$D$75*Assumptions!$D$151+D25*Assumptions!$D$76*Assumptions!$D$152)*12*Assumptions!$D$169,0)</f>
        <v>0</v>
      </c>
      <c r="E99" s="37" t="n">
        <f aca="false">IF(E18&gt;0,(E24*Assumptions!$D$75*Assumptions!$D$151+E25*Assumptions!$D$76*Assumptions!$D$152)*12*Assumptions!$D$169,0)</f>
        <v>0</v>
      </c>
      <c r="F99" s="37" t="n">
        <f aca="false">IF(F18&gt;0,(F24*Assumptions!$D$75*Assumptions!$D$151+F25*Assumptions!$D$76*Assumptions!$D$152)*12*Assumptions!$D$169,0)</f>
        <v>0</v>
      </c>
      <c r="G99" s="37" t="n">
        <f aca="false">IF(G18&gt;0,(G24*Assumptions!$D$75*Assumptions!$D$151+G25*Assumptions!$D$76*Assumptions!$D$152)*12*Assumptions!$D$169,0)</f>
        <v>0</v>
      </c>
      <c r="H99" s="37" t="n">
        <f aca="false">IF(H18&gt;0,(H24*Assumptions!$D$75*Assumptions!$D$151+H25*Assumptions!$D$76*Assumptions!$D$152)*12*Assumptions!$D$169,0)</f>
        <v>0</v>
      </c>
      <c r="I99" s="37" t="n">
        <f aca="false">IF(I18&gt;0,(I24*Assumptions!$D$75*Assumptions!$D$151+I25*Assumptions!$D$76*Assumptions!$D$152)*12*Assumptions!$D$169,0)</f>
        <v>0</v>
      </c>
      <c r="J99" s="37" t="n">
        <f aca="false">IF(J18&gt;0,(J24*Assumptions!$D$75*Assumptions!$D$151+J25*Assumptions!$D$76*Assumptions!$D$152)*12*Assumptions!$D$169,0)</f>
        <v>0</v>
      </c>
      <c r="K99" s="37" t="n">
        <f aca="false">IF(K18&gt;0,(K24*Assumptions!$D$75*Assumptions!$D$151+K25*Assumptions!$D$76*Assumptions!$D$152)*12*Assumptions!$D$169,0)</f>
        <v>0</v>
      </c>
      <c r="L99" s="37" t="n">
        <f aca="false">IF(L18&gt;0,(L24*Assumptions!$D$75*Assumptions!$D$151+L25*Assumptions!$D$76*Assumptions!$D$152)*12*Assumptions!$D$169,0)</f>
        <v>0</v>
      </c>
      <c r="M99" s="37" t="n">
        <f aca="false">IF(M18&gt;0,(M24*Assumptions!$D$75*Assumptions!$D$151+M25*Assumptions!$D$76*Assumptions!$D$152)*12*Assumptions!$D$169,0)</f>
        <v>0</v>
      </c>
      <c r="N99" s="37" t="n">
        <f aca="false">IF(N18&gt;0,(N24*Assumptions!$D$75*Assumptions!$D$151+N25*Assumptions!$D$76*Assumptions!$D$152)*12*Assumptions!$D$169,0)</f>
        <v>0</v>
      </c>
      <c r="O99" s="37" t="n">
        <f aca="false">IF(O18&gt;0,(O24*Assumptions!$D$75*Assumptions!$D$151+O25*Assumptions!$D$76*Assumptions!$D$152)*12*Assumptions!$D$169,0)</f>
        <v>0</v>
      </c>
      <c r="P99" s="37" t="n">
        <f aca="false">IF(P18&gt;0,(P24*Assumptions!$D$75*Assumptions!$D$151+P25*Assumptions!$D$76*Assumptions!$D$152)*12*Assumptions!$D$169,0)</f>
        <v>0</v>
      </c>
      <c r="Q99" s="37" t="n">
        <f aca="false">IF(Q18&gt;0,(Q24*Assumptions!$D$75*Assumptions!$D$151+Q25*Assumptions!$D$76*Assumptions!$D$152)*12*Assumptions!$D$169,0)</f>
        <v>0</v>
      </c>
      <c r="R99" s="37" t="n">
        <f aca="false">IF(R18&gt;0,(R24*Assumptions!$D$75*Assumptions!$D$151+R25*Assumptions!$D$76*Assumptions!$D$152)*12*Assumptions!$D$169,0)</f>
        <v>0</v>
      </c>
      <c r="S99" s="37" t="n">
        <f aca="false">IF(S18&gt;0,(S24*Assumptions!$D$75*Assumptions!$D$151+S25*Assumptions!$D$76*Assumptions!$D$152)*12*Assumptions!$D$169,0)</f>
        <v>0</v>
      </c>
      <c r="T99" s="37" t="n">
        <f aca="false">IF(T18&gt;0,(T24*Assumptions!$D$75*Assumptions!$D$151+T25*Assumptions!$D$76*Assumptions!$D$152)*12*Assumptions!$D$169,0)</f>
        <v>0</v>
      </c>
      <c r="U99" s="37" t="n">
        <f aca="false">IF(U18&gt;0,(U24*Assumptions!$D$75*Assumptions!$D$151+U25*Assumptions!$D$76*Assumptions!$D$152)*12*Assumptions!$D$169,0)</f>
        <v>0</v>
      </c>
      <c r="V99" s="37" t="n">
        <f aca="false">IF(V18&gt;0,(V24*Assumptions!$D$75*Assumptions!$D$151+V25*Assumptions!$D$76*Assumptions!$D$152)*12*Assumptions!$D$169,0)</f>
        <v>0</v>
      </c>
      <c r="W99" s="37" t="n">
        <f aca="false">IF(W18&gt;0,(W24*Assumptions!$D$75*Assumptions!$D$151+W25*Assumptions!$D$76*Assumptions!$D$152)*12*Assumptions!$D$169,0)</f>
        <v>0</v>
      </c>
      <c r="X99" s="37" t="n">
        <f aca="false">IF(X18&gt;0,(X24*Assumptions!$D$75*Assumptions!$D$151+X25*Assumptions!$D$76*Assumptions!$D$152)*12*Assumptions!$D$169,0)</f>
        <v>0</v>
      </c>
      <c r="Y99" s="37" t="n">
        <f aca="false">IF(Y18&gt;0,(Y24*Assumptions!$D$75*Assumptions!$D$151+Y25*Assumptions!$D$76*Assumptions!$D$152)*12*Assumptions!$D$169,0)</f>
        <v>2011.7304</v>
      </c>
      <c r="Z99" s="37" t="n">
        <f aca="false">IF(Z18&gt;0,(Z24*Assumptions!$D$75*Assumptions!$D$151+Z25*Assumptions!$D$76*Assumptions!$D$152)*12*Assumptions!$D$169,0)</f>
        <v>2108.298</v>
      </c>
      <c r="AA99" s="37" t="n">
        <f aca="false">IF(AA18&gt;0,(AA24*Assumptions!$D$75*Assumptions!$D$151+AA25*Assumptions!$D$76*Assumptions!$D$152)*12*Assumptions!$D$169,0)</f>
        <v>2204.8656</v>
      </c>
      <c r="AB99" s="37" t="n">
        <f aca="false">IF(AB18&gt;0,(AB24*Assumptions!$D$75*Assumptions!$D$151+AB25*Assumptions!$D$76*Assumptions!$D$152)*12*Assumptions!$D$169,0)</f>
        <v>3087.1092</v>
      </c>
      <c r="AC99" s="37" t="n">
        <f aca="false">IF(AC18&gt;0,(AC24*Assumptions!$D$75*Assumptions!$D$151+AC25*Assumptions!$D$76*Assumptions!$D$152)*12*Assumptions!$D$169,0)</f>
        <v>3183.6768</v>
      </c>
      <c r="AD99" s="37" t="n">
        <f aca="false">IF(AD18&gt;0,(AD24*Assumptions!$D$75*Assumptions!$D$151+AD25*Assumptions!$D$76*Assumptions!$D$152)*12*Assumptions!$D$169,0)</f>
        <v>3280.2444</v>
      </c>
      <c r="AE99" s="37" t="n">
        <f aca="false">IF(AE18&gt;0,(AE24*Assumptions!$D$75*Assumptions!$D$151+AE25*Assumptions!$D$76*Assumptions!$D$152)*12*Assumptions!$D$169,0)</f>
        <v>3376.812</v>
      </c>
      <c r="AF99" s="37" t="n">
        <f aca="false">IF(AF18&gt;0,(AF24*Assumptions!$D$75*Assumptions!$D$151+AF25*Assumptions!$D$76*Assumptions!$D$152)*12*Assumptions!$D$169,0)</f>
        <v>3473.3796</v>
      </c>
      <c r="AG99" s="37" t="n">
        <f aca="false">IF(AG18&gt;0,(AG24*Assumptions!$D$75*Assumptions!$D$151+AG25*Assumptions!$D$76*Assumptions!$D$152)*12*Assumptions!$D$169,0)</f>
        <v>3569.9472</v>
      </c>
      <c r="AH99" s="37" t="n">
        <f aca="false">IF(AH18&gt;0,(AH24*Assumptions!$D$75*Assumptions!$D$151+AH25*Assumptions!$D$76*Assumptions!$D$152)*12*Assumptions!$D$169,0)</f>
        <v>3666.5148</v>
      </c>
      <c r="AI99" s="37" t="n">
        <f aca="false">IF(AI18&gt;0,(AI24*Assumptions!$D$75*Assumptions!$D$151+AI25*Assumptions!$D$76*Assumptions!$D$152)*12*Assumptions!$D$169,0)</f>
        <v>3763.0824</v>
      </c>
      <c r="AJ99" s="37" t="n">
        <f aca="false">IF(AJ18&gt;0,(AJ24*Assumptions!$D$75*Assumptions!$D$151+AJ25*Assumptions!$D$76*Assumptions!$D$152)*12*Assumptions!$D$169,0)</f>
        <v>3859.65</v>
      </c>
      <c r="AK99" s="37" t="n">
        <f aca="false">IF(AK18&gt;0,(AK24*Assumptions!$D$75*Assumptions!$D$151+AK25*Assumptions!$D$76*Assumptions!$D$152)*12*Assumptions!$D$169,0)</f>
        <v>3956.2176</v>
      </c>
      <c r="AL99" s="37" t="n">
        <f aca="false">IF(AL18&gt;0,(AL24*Assumptions!$D$75*Assumptions!$D$151+AL25*Assumptions!$D$76*Assumptions!$D$152)*12*Assumptions!$D$169,0)</f>
        <v>4052.7852</v>
      </c>
    </row>
    <row r="100" customFormat="false" ht="15" hidden="false" customHeight="false" outlineLevel="0" collapsed="false">
      <c r="A100" s="9" t="s">
        <v>643</v>
      </c>
      <c r="B100" s="2" t="s">
        <v>105</v>
      </c>
      <c r="C100" s="37" t="n">
        <f aca="false">Assumptions!$D$170+Assumptions!$D$171*C17</f>
        <v>440</v>
      </c>
      <c r="D100" s="37" t="n">
        <f aca="false">Assumptions!$D$170+Assumptions!$D$171*D17</f>
        <v>440</v>
      </c>
      <c r="E100" s="37" t="n">
        <f aca="false">Assumptions!$D$170+Assumptions!$D$171*E17</f>
        <v>440</v>
      </c>
      <c r="F100" s="37" t="n">
        <f aca="false">Assumptions!$D$170+Assumptions!$D$171*F17</f>
        <v>440</v>
      </c>
      <c r="G100" s="37" t="n">
        <f aca="false">Assumptions!$D$170+Assumptions!$D$171*G17</f>
        <v>440</v>
      </c>
      <c r="H100" s="37" t="n">
        <f aca="false">Assumptions!$D$170+Assumptions!$D$171*H17</f>
        <v>440</v>
      </c>
      <c r="I100" s="37" t="n">
        <f aca="false">Assumptions!$D$170+Assumptions!$D$171*I17</f>
        <v>440</v>
      </c>
      <c r="J100" s="37" t="n">
        <f aca="false">Assumptions!$D$170+Assumptions!$D$171*J17</f>
        <v>440</v>
      </c>
      <c r="K100" s="37" t="n">
        <f aca="false">Assumptions!$D$170+Assumptions!$D$171*K17</f>
        <v>440</v>
      </c>
      <c r="L100" s="37" t="n">
        <f aca="false">Assumptions!$D$170+Assumptions!$D$171*L17</f>
        <v>440</v>
      </c>
      <c r="M100" s="37" t="n">
        <f aca="false">Assumptions!$D$170+Assumptions!$D$171*M17</f>
        <v>440</v>
      </c>
      <c r="N100" s="37" t="n">
        <f aca="false">Assumptions!$D$170+Assumptions!$D$171*N17</f>
        <v>440</v>
      </c>
      <c r="O100" s="37" t="n">
        <f aca="false">Assumptions!$D$170+Assumptions!$D$171*O17</f>
        <v>440</v>
      </c>
      <c r="P100" s="37" t="n">
        <f aca="false">Assumptions!$D$170+Assumptions!$D$171*P17</f>
        <v>480</v>
      </c>
      <c r="Q100" s="37" t="n">
        <f aca="false">Assumptions!$D$170+Assumptions!$D$171*Q17</f>
        <v>480</v>
      </c>
      <c r="R100" s="37" t="n">
        <f aca="false">Assumptions!$D$170+Assumptions!$D$171*R17</f>
        <v>480</v>
      </c>
      <c r="S100" s="37" t="n">
        <f aca="false">Assumptions!$D$170+Assumptions!$D$171*S17</f>
        <v>480</v>
      </c>
      <c r="T100" s="37" t="n">
        <f aca="false">Assumptions!$D$170+Assumptions!$D$171*T17</f>
        <v>480</v>
      </c>
      <c r="U100" s="37" t="n">
        <f aca="false">Assumptions!$D$170+Assumptions!$D$171*U17</f>
        <v>520</v>
      </c>
      <c r="V100" s="37" t="n">
        <f aca="false">Assumptions!$D$170+Assumptions!$D$171*V17</f>
        <v>520</v>
      </c>
      <c r="W100" s="37" t="n">
        <f aca="false">Assumptions!$D$170+Assumptions!$D$171*W17</f>
        <v>520</v>
      </c>
      <c r="X100" s="37" t="n">
        <f aca="false">Assumptions!$D$170+Assumptions!$D$171*X17</f>
        <v>520</v>
      </c>
      <c r="Y100" s="37" t="n">
        <f aca="false">Assumptions!$D$170+Assumptions!$D$171*Y17</f>
        <v>560</v>
      </c>
      <c r="Z100" s="37" t="n">
        <f aca="false">Assumptions!$D$170+Assumptions!$D$171*Z17</f>
        <v>560</v>
      </c>
      <c r="AA100" s="37" t="n">
        <f aca="false">Assumptions!$D$170+Assumptions!$D$171*AA17</f>
        <v>560</v>
      </c>
      <c r="AB100" s="37" t="n">
        <f aca="false">Assumptions!$D$170+Assumptions!$D$171*AB17</f>
        <v>560</v>
      </c>
      <c r="AC100" s="37" t="n">
        <f aca="false">Assumptions!$D$170+Assumptions!$D$171*AC17</f>
        <v>560</v>
      </c>
      <c r="AD100" s="37" t="n">
        <f aca="false">Assumptions!$D$170+Assumptions!$D$171*AD17</f>
        <v>560</v>
      </c>
      <c r="AE100" s="37" t="n">
        <f aca="false">Assumptions!$D$170+Assumptions!$D$171*AE17</f>
        <v>560</v>
      </c>
      <c r="AF100" s="37" t="n">
        <f aca="false">Assumptions!$D$170+Assumptions!$D$171*AF17</f>
        <v>600</v>
      </c>
      <c r="AG100" s="37" t="n">
        <f aca="false">Assumptions!$D$170+Assumptions!$D$171*AG17</f>
        <v>600</v>
      </c>
      <c r="AH100" s="37" t="n">
        <f aca="false">Assumptions!$D$170+Assumptions!$D$171*AH17</f>
        <v>600</v>
      </c>
      <c r="AI100" s="37" t="n">
        <f aca="false">Assumptions!$D$170+Assumptions!$D$171*AI17</f>
        <v>640</v>
      </c>
      <c r="AJ100" s="37" t="n">
        <f aca="false">Assumptions!$D$170+Assumptions!$D$171*AJ17</f>
        <v>640</v>
      </c>
      <c r="AK100" s="37" t="n">
        <f aca="false">Assumptions!$D$170+Assumptions!$D$171*AK17</f>
        <v>680</v>
      </c>
      <c r="AL100" s="37" t="n">
        <f aca="false">Assumptions!$D$170+Assumptions!$D$171*AL17</f>
        <v>680</v>
      </c>
    </row>
    <row r="101" customFormat="false" ht="15" hidden="false" customHeight="false" outlineLevel="0" collapsed="false">
      <c r="A101" s="9" t="s">
        <v>644</v>
      </c>
      <c r="B101" s="2" t="s">
        <v>105</v>
      </c>
      <c r="C101" s="37" t="n">
        <f aca="false">IF(C$3&lt;Assumptions!$D$157,0,IF(C$3&lt;Assumptions!$D$157+12,Assumptions!$D$177/12,Assumptions!$D$178/12))</f>
        <v>0</v>
      </c>
      <c r="D101" s="37" t="n">
        <f aca="false">IF(D$3&lt;Assumptions!$D$157,0,IF(D$3&lt;Assumptions!$D$157+12,Assumptions!$D$177/12,Assumptions!$D$178/12))</f>
        <v>0</v>
      </c>
      <c r="E101" s="37" t="n">
        <f aca="false">IF(E$3&lt;Assumptions!$D$157,0,IF(E$3&lt;Assumptions!$D$157+12,Assumptions!$D$177/12,Assumptions!$D$178/12))</f>
        <v>0</v>
      </c>
      <c r="F101" s="37" t="n">
        <f aca="false">IF(F$3&lt;Assumptions!$D$157,0,IF(F$3&lt;Assumptions!$D$157+12,Assumptions!$D$177/12,Assumptions!$D$178/12))</f>
        <v>0</v>
      </c>
      <c r="G101" s="37" t="n">
        <f aca="false">IF(G$3&lt;Assumptions!$D$157,0,IF(G$3&lt;Assumptions!$D$157+12,Assumptions!$D$177/12,Assumptions!$D$178/12))</f>
        <v>0</v>
      </c>
      <c r="H101" s="37" t="n">
        <f aca="false">IF(H$3&lt;Assumptions!$D$157,0,IF(H$3&lt;Assumptions!$D$157+12,Assumptions!$D$177/12,Assumptions!$D$178/12))</f>
        <v>0</v>
      </c>
      <c r="I101" s="37" t="n">
        <f aca="false">IF(I$3&lt;Assumptions!$D$157,0,IF(I$3&lt;Assumptions!$D$157+12,Assumptions!$D$177/12,Assumptions!$D$178/12))</f>
        <v>0</v>
      </c>
      <c r="J101" s="37" t="n">
        <f aca="false">IF(J$3&lt;Assumptions!$D$157,0,IF(J$3&lt;Assumptions!$D$157+12,Assumptions!$D$177/12,Assumptions!$D$178/12))</f>
        <v>0</v>
      </c>
      <c r="K101" s="37" t="n">
        <f aca="false">IF(K$3&lt;Assumptions!$D$157,0,IF(K$3&lt;Assumptions!$D$157+12,Assumptions!$D$177/12,Assumptions!$D$178/12))</f>
        <v>0</v>
      </c>
      <c r="L101" s="37" t="n">
        <f aca="false">IF(L$3&lt;Assumptions!$D$157,0,IF(L$3&lt;Assumptions!$D$157+12,Assumptions!$D$177/12,Assumptions!$D$178/12))</f>
        <v>1666.66666666667</v>
      </c>
      <c r="M101" s="37" t="n">
        <f aca="false">IF(M$3&lt;Assumptions!$D$157,0,IF(M$3&lt;Assumptions!$D$157+12,Assumptions!$D$177/12,Assumptions!$D$178/12))</f>
        <v>1666.66666666667</v>
      </c>
      <c r="N101" s="37" t="n">
        <f aca="false">IF(N$3&lt;Assumptions!$D$157,0,IF(N$3&lt;Assumptions!$D$157+12,Assumptions!$D$177/12,Assumptions!$D$178/12))</f>
        <v>1666.66666666667</v>
      </c>
      <c r="O101" s="37" t="n">
        <f aca="false">IF(O$3&lt;Assumptions!$D$157,0,IF(O$3&lt;Assumptions!$D$157+12,Assumptions!$D$177/12,Assumptions!$D$178/12))</f>
        <v>1666.66666666667</v>
      </c>
      <c r="P101" s="37" t="n">
        <f aca="false">IF(P$3&lt;Assumptions!$D$157,0,IF(P$3&lt;Assumptions!$D$157+12,Assumptions!$D$177/12,Assumptions!$D$178/12))</f>
        <v>1666.66666666667</v>
      </c>
      <c r="Q101" s="37" t="n">
        <f aca="false">IF(Q$3&lt;Assumptions!$D$157,0,IF(Q$3&lt;Assumptions!$D$157+12,Assumptions!$D$177/12,Assumptions!$D$178/12))</f>
        <v>1666.66666666667</v>
      </c>
      <c r="R101" s="37" t="n">
        <f aca="false">IF(R$3&lt;Assumptions!$D$157,0,IF(R$3&lt;Assumptions!$D$157+12,Assumptions!$D$177/12,Assumptions!$D$178/12))</f>
        <v>1666.66666666667</v>
      </c>
      <c r="S101" s="37" t="n">
        <f aca="false">IF(S$3&lt;Assumptions!$D$157,0,IF(S$3&lt;Assumptions!$D$157+12,Assumptions!$D$177/12,Assumptions!$D$178/12))</f>
        <v>1666.66666666667</v>
      </c>
      <c r="T101" s="37" t="n">
        <f aca="false">IF(T$3&lt;Assumptions!$D$157,0,IF(T$3&lt;Assumptions!$D$157+12,Assumptions!$D$177/12,Assumptions!$D$178/12))</f>
        <v>1666.66666666667</v>
      </c>
      <c r="U101" s="37" t="n">
        <f aca="false">IF(U$3&lt;Assumptions!$D$157,0,IF(U$3&lt;Assumptions!$D$157+12,Assumptions!$D$177/12,Assumptions!$D$178/12))</f>
        <v>1666.66666666667</v>
      </c>
      <c r="V101" s="37" t="n">
        <f aca="false">IF(V$3&lt;Assumptions!$D$157,0,IF(V$3&lt;Assumptions!$D$157+12,Assumptions!$D$177/12,Assumptions!$D$178/12))</f>
        <v>1666.66666666667</v>
      </c>
      <c r="W101" s="37" t="n">
        <f aca="false">IF(W$3&lt;Assumptions!$D$157,0,IF(W$3&lt;Assumptions!$D$157+12,Assumptions!$D$177/12,Assumptions!$D$178/12))</f>
        <v>1666.66666666667</v>
      </c>
      <c r="X101" s="37" t="n">
        <f aca="false">IF(X$3&lt;Assumptions!$D$157,0,IF(X$3&lt;Assumptions!$D$157+12,Assumptions!$D$177/12,Assumptions!$D$178/12))</f>
        <v>833.333333333333</v>
      </c>
      <c r="Y101" s="37" t="n">
        <f aca="false">IF(Y$3&lt;Assumptions!$D$157,0,IF(Y$3&lt;Assumptions!$D$157+12,Assumptions!$D$177/12,Assumptions!$D$178/12))</f>
        <v>833.333333333333</v>
      </c>
      <c r="Z101" s="37" t="n">
        <f aca="false">IF(Z$3&lt;Assumptions!$D$157,0,IF(Z$3&lt;Assumptions!$D$157+12,Assumptions!$D$177/12,Assumptions!$D$178/12))</f>
        <v>833.333333333333</v>
      </c>
      <c r="AA101" s="37" t="n">
        <f aca="false">IF(AA$3&lt;Assumptions!$D$157,0,IF(AA$3&lt;Assumptions!$D$157+12,Assumptions!$D$177/12,Assumptions!$D$178/12))</f>
        <v>833.333333333333</v>
      </c>
      <c r="AB101" s="37" t="n">
        <f aca="false">IF(AB$3&lt;Assumptions!$D$157,0,IF(AB$3&lt;Assumptions!$D$157+12,Assumptions!$D$177/12,Assumptions!$D$178/12))</f>
        <v>833.333333333333</v>
      </c>
      <c r="AC101" s="37" t="n">
        <f aca="false">IF(AC$3&lt;Assumptions!$D$157,0,IF(AC$3&lt;Assumptions!$D$157+12,Assumptions!$D$177/12,Assumptions!$D$178/12))</f>
        <v>833.333333333333</v>
      </c>
      <c r="AD101" s="37" t="n">
        <f aca="false">IF(AD$3&lt;Assumptions!$D$157,0,IF(AD$3&lt;Assumptions!$D$157+12,Assumptions!$D$177/12,Assumptions!$D$178/12))</f>
        <v>833.333333333333</v>
      </c>
      <c r="AE101" s="37" t="n">
        <f aca="false">IF(AE$3&lt;Assumptions!$D$157,0,IF(AE$3&lt;Assumptions!$D$157+12,Assumptions!$D$177/12,Assumptions!$D$178/12))</f>
        <v>833.333333333333</v>
      </c>
      <c r="AF101" s="37" t="n">
        <f aca="false">IF(AF$3&lt;Assumptions!$D$157,0,IF(AF$3&lt;Assumptions!$D$157+12,Assumptions!$D$177/12,Assumptions!$D$178/12))</f>
        <v>833.333333333333</v>
      </c>
      <c r="AG101" s="37" t="n">
        <f aca="false">IF(AG$3&lt;Assumptions!$D$157,0,IF(AG$3&lt;Assumptions!$D$157+12,Assumptions!$D$177/12,Assumptions!$D$178/12))</f>
        <v>833.333333333333</v>
      </c>
      <c r="AH101" s="37" t="n">
        <f aca="false">IF(AH$3&lt;Assumptions!$D$157,0,IF(AH$3&lt;Assumptions!$D$157+12,Assumptions!$D$177/12,Assumptions!$D$178/12))</f>
        <v>833.333333333333</v>
      </c>
      <c r="AI101" s="37" t="n">
        <f aca="false">IF(AI$3&lt;Assumptions!$D$157,0,IF(AI$3&lt;Assumptions!$D$157+12,Assumptions!$D$177/12,Assumptions!$D$178/12))</f>
        <v>833.333333333333</v>
      </c>
      <c r="AJ101" s="37" t="n">
        <f aca="false">IF(AJ$3&lt;Assumptions!$D$157,0,IF(AJ$3&lt;Assumptions!$D$157+12,Assumptions!$D$177/12,Assumptions!$D$178/12))</f>
        <v>833.333333333333</v>
      </c>
      <c r="AK101" s="37" t="n">
        <f aca="false">IF(AK$3&lt;Assumptions!$D$157,0,IF(AK$3&lt;Assumptions!$D$157+12,Assumptions!$D$177/12,Assumptions!$D$178/12))</f>
        <v>833.333333333333</v>
      </c>
      <c r="AL101" s="37" t="n">
        <f aca="false">IF(AL$3&lt;Assumptions!$D$157,0,IF(AL$3&lt;Assumptions!$D$157+12,Assumptions!$D$177/12,Assumptions!$D$178/12))</f>
        <v>833.333333333333</v>
      </c>
    </row>
    <row r="102" customFormat="false" ht="15" hidden="false" customHeight="false" outlineLevel="0" collapsed="false">
      <c r="A102" s="9" t="s">
        <v>645</v>
      </c>
      <c r="B102" s="2" t="s">
        <v>105</v>
      </c>
      <c r="C102" s="37" t="n">
        <f aca="false">Assumptions!$D$179/12</f>
        <v>333.333333333333</v>
      </c>
      <c r="D102" s="37" t="n">
        <f aca="false">Assumptions!$D$179/12</f>
        <v>333.333333333333</v>
      </c>
      <c r="E102" s="37" t="n">
        <f aca="false">Assumptions!$D$179/12</f>
        <v>333.333333333333</v>
      </c>
      <c r="F102" s="37" t="n">
        <f aca="false">Assumptions!$D$179/12</f>
        <v>333.333333333333</v>
      </c>
      <c r="G102" s="37" t="n">
        <f aca="false">Assumptions!$D$179/12</f>
        <v>333.333333333333</v>
      </c>
      <c r="H102" s="37" t="n">
        <f aca="false">Assumptions!$D$179/12</f>
        <v>333.333333333333</v>
      </c>
      <c r="I102" s="37" t="n">
        <f aca="false">Assumptions!$D$179/12</f>
        <v>333.333333333333</v>
      </c>
      <c r="J102" s="37" t="n">
        <f aca="false">Assumptions!$D$179/12</f>
        <v>333.333333333333</v>
      </c>
      <c r="K102" s="37" t="n">
        <f aca="false">Assumptions!$D$179/12</f>
        <v>333.333333333333</v>
      </c>
      <c r="L102" s="37" t="n">
        <f aca="false">Assumptions!$D$179/12</f>
        <v>333.333333333333</v>
      </c>
      <c r="M102" s="37" t="n">
        <f aca="false">Assumptions!$D$179/12</f>
        <v>333.333333333333</v>
      </c>
      <c r="N102" s="37" t="n">
        <f aca="false">Assumptions!$D$179/12</f>
        <v>333.333333333333</v>
      </c>
      <c r="O102" s="37" t="n">
        <f aca="false">Assumptions!$D$179/12</f>
        <v>333.333333333333</v>
      </c>
      <c r="P102" s="37" t="n">
        <f aca="false">Assumptions!$D$179/12</f>
        <v>333.333333333333</v>
      </c>
      <c r="Q102" s="37" t="n">
        <f aca="false">Assumptions!$D$179/12</f>
        <v>333.333333333333</v>
      </c>
      <c r="R102" s="37" t="n">
        <f aca="false">Assumptions!$D$179/12</f>
        <v>333.333333333333</v>
      </c>
      <c r="S102" s="37" t="n">
        <f aca="false">Assumptions!$D$179/12</f>
        <v>333.333333333333</v>
      </c>
      <c r="T102" s="37" t="n">
        <f aca="false">Assumptions!$D$179/12</f>
        <v>333.333333333333</v>
      </c>
      <c r="U102" s="37" t="n">
        <f aca="false">Assumptions!$D$179/12</f>
        <v>333.333333333333</v>
      </c>
      <c r="V102" s="37" t="n">
        <f aca="false">Assumptions!$D$179/12</f>
        <v>333.333333333333</v>
      </c>
      <c r="W102" s="37" t="n">
        <f aca="false">Assumptions!$D$179/12</f>
        <v>333.333333333333</v>
      </c>
      <c r="X102" s="37" t="n">
        <f aca="false">Assumptions!$D$179/12</f>
        <v>333.333333333333</v>
      </c>
      <c r="Y102" s="37" t="n">
        <f aca="false">Assumptions!$D$179/12</f>
        <v>333.333333333333</v>
      </c>
      <c r="Z102" s="37" t="n">
        <f aca="false">Assumptions!$D$179/12</f>
        <v>333.333333333333</v>
      </c>
      <c r="AA102" s="37" t="n">
        <f aca="false">Assumptions!$D$179/12</f>
        <v>333.333333333333</v>
      </c>
      <c r="AB102" s="37" t="n">
        <f aca="false">Assumptions!$D$179/12</f>
        <v>333.333333333333</v>
      </c>
      <c r="AC102" s="37" t="n">
        <f aca="false">Assumptions!$D$179/12</f>
        <v>333.333333333333</v>
      </c>
      <c r="AD102" s="37" t="n">
        <f aca="false">Assumptions!$D$179/12</f>
        <v>333.333333333333</v>
      </c>
      <c r="AE102" s="37" t="n">
        <f aca="false">Assumptions!$D$179/12</f>
        <v>333.333333333333</v>
      </c>
      <c r="AF102" s="37" t="n">
        <f aca="false">Assumptions!$D$179/12</f>
        <v>333.333333333333</v>
      </c>
      <c r="AG102" s="37" t="n">
        <f aca="false">Assumptions!$D$179/12</f>
        <v>333.333333333333</v>
      </c>
      <c r="AH102" s="37" t="n">
        <f aca="false">Assumptions!$D$179/12</f>
        <v>333.333333333333</v>
      </c>
      <c r="AI102" s="37" t="n">
        <f aca="false">Assumptions!$D$179/12</f>
        <v>333.333333333333</v>
      </c>
      <c r="AJ102" s="37" t="n">
        <f aca="false">Assumptions!$D$179/12</f>
        <v>333.333333333333</v>
      </c>
      <c r="AK102" s="37" t="n">
        <f aca="false">Assumptions!$D$179/12</f>
        <v>333.333333333333</v>
      </c>
      <c r="AL102" s="37" t="n">
        <f aca="false">Assumptions!$D$179/12</f>
        <v>333.333333333333</v>
      </c>
    </row>
    <row r="103" customFormat="false" ht="15" hidden="false" customHeight="false" outlineLevel="0" collapsed="false">
      <c r="A103" s="9" t="s">
        <v>428</v>
      </c>
      <c r="B103" s="2" t="s">
        <v>105</v>
      </c>
      <c r="C103" s="37" t="n">
        <f aca="false">Assumptions!$D$180+IF(C$3=1,Assumptions!$D$181,0)</f>
        <v>5400</v>
      </c>
      <c r="D103" s="37" t="n">
        <f aca="false">Assumptions!$D$180+IF(D$3=1,Assumptions!$D$181,0)</f>
        <v>400</v>
      </c>
      <c r="E103" s="37" t="n">
        <f aca="false">Assumptions!$D$180+IF(E$3=1,Assumptions!$D$181,0)</f>
        <v>400</v>
      </c>
      <c r="F103" s="37" t="n">
        <f aca="false">Assumptions!$D$180+IF(F$3=1,Assumptions!$D$181,0)</f>
        <v>400</v>
      </c>
      <c r="G103" s="37" t="n">
        <f aca="false">Assumptions!$D$180+IF(G$3=1,Assumptions!$D$181,0)</f>
        <v>400</v>
      </c>
      <c r="H103" s="37" t="n">
        <f aca="false">Assumptions!$D$180+IF(H$3=1,Assumptions!$D$181,0)</f>
        <v>400</v>
      </c>
      <c r="I103" s="37" t="n">
        <f aca="false">Assumptions!$D$180+IF(I$3=1,Assumptions!$D$181,0)</f>
        <v>400</v>
      </c>
      <c r="J103" s="37" t="n">
        <f aca="false">Assumptions!$D$180+IF(J$3=1,Assumptions!$D$181,0)</f>
        <v>400</v>
      </c>
      <c r="K103" s="37" t="n">
        <f aca="false">Assumptions!$D$180+IF(K$3=1,Assumptions!$D$181,0)</f>
        <v>400</v>
      </c>
      <c r="L103" s="37" t="n">
        <f aca="false">Assumptions!$D$180+IF(L$3=1,Assumptions!$D$181,0)</f>
        <v>400</v>
      </c>
      <c r="M103" s="37" t="n">
        <f aca="false">Assumptions!$D$180+IF(M$3=1,Assumptions!$D$181,0)</f>
        <v>400</v>
      </c>
      <c r="N103" s="37" t="n">
        <f aca="false">Assumptions!$D$180+IF(N$3=1,Assumptions!$D$181,0)</f>
        <v>400</v>
      </c>
      <c r="O103" s="37" t="n">
        <f aca="false">Assumptions!$D$180+IF(O$3=1,Assumptions!$D$181,0)</f>
        <v>400</v>
      </c>
      <c r="P103" s="37" t="n">
        <f aca="false">Assumptions!$D$180+IF(P$3=1,Assumptions!$D$181,0)</f>
        <v>400</v>
      </c>
      <c r="Q103" s="37" t="n">
        <f aca="false">Assumptions!$D$180+IF(Q$3=1,Assumptions!$D$181,0)</f>
        <v>400</v>
      </c>
      <c r="R103" s="37" t="n">
        <f aca="false">Assumptions!$D$180+IF(R$3=1,Assumptions!$D$181,0)</f>
        <v>400</v>
      </c>
      <c r="S103" s="37" t="n">
        <f aca="false">Assumptions!$D$180+IF(S$3=1,Assumptions!$D$181,0)</f>
        <v>400</v>
      </c>
      <c r="T103" s="37" t="n">
        <f aca="false">Assumptions!$D$180+IF(T$3=1,Assumptions!$D$181,0)</f>
        <v>400</v>
      </c>
      <c r="U103" s="37" t="n">
        <f aca="false">Assumptions!$D$180+IF(U$3=1,Assumptions!$D$181,0)</f>
        <v>400</v>
      </c>
      <c r="V103" s="37" t="n">
        <f aca="false">Assumptions!$D$180+IF(V$3=1,Assumptions!$D$181,0)</f>
        <v>400</v>
      </c>
      <c r="W103" s="37" t="n">
        <f aca="false">Assumptions!$D$180+IF(W$3=1,Assumptions!$D$181,0)</f>
        <v>400</v>
      </c>
      <c r="X103" s="37" t="n">
        <f aca="false">Assumptions!$D$180+IF(X$3=1,Assumptions!$D$181,0)</f>
        <v>400</v>
      </c>
      <c r="Y103" s="37" t="n">
        <f aca="false">Assumptions!$D$180+IF(Y$3=1,Assumptions!$D$181,0)</f>
        <v>400</v>
      </c>
      <c r="Z103" s="37" t="n">
        <f aca="false">Assumptions!$D$180+IF(Z$3=1,Assumptions!$D$181,0)</f>
        <v>400</v>
      </c>
      <c r="AA103" s="37" t="n">
        <f aca="false">Assumptions!$D$180+IF(AA$3=1,Assumptions!$D$181,0)</f>
        <v>400</v>
      </c>
      <c r="AB103" s="37" t="n">
        <f aca="false">Assumptions!$D$180+IF(AB$3=1,Assumptions!$D$181,0)</f>
        <v>400</v>
      </c>
      <c r="AC103" s="37" t="n">
        <f aca="false">Assumptions!$D$180+IF(AC$3=1,Assumptions!$D$181,0)</f>
        <v>400</v>
      </c>
      <c r="AD103" s="37" t="n">
        <f aca="false">Assumptions!$D$180+IF(AD$3=1,Assumptions!$D$181,0)</f>
        <v>400</v>
      </c>
      <c r="AE103" s="37" t="n">
        <f aca="false">Assumptions!$D$180+IF(AE$3=1,Assumptions!$D$181,0)</f>
        <v>400</v>
      </c>
      <c r="AF103" s="37" t="n">
        <f aca="false">Assumptions!$D$180+IF(AF$3=1,Assumptions!$D$181,0)</f>
        <v>400</v>
      </c>
      <c r="AG103" s="37" t="n">
        <f aca="false">Assumptions!$D$180+IF(AG$3=1,Assumptions!$D$181,0)</f>
        <v>400</v>
      </c>
      <c r="AH103" s="37" t="n">
        <f aca="false">Assumptions!$D$180+IF(AH$3=1,Assumptions!$D$181,0)</f>
        <v>400</v>
      </c>
      <c r="AI103" s="37" t="n">
        <f aca="false">Assumptions!$D$180+IF(AI$3=1,Assumptions!$D$181,0)</f>
        <v>400</v>
      </c>
      <c r="AJ103" s="37" t="n">
        <f aca="false">Assumptions!$D$180+IF(AJ$3=1,Assumptions!$D$181,0)</f>
        <v>400</v>
      </c>
      <c r="AK103" s="37" t="n">
        <f aca="false">Assumptions!$D$180+IF(AK$3=1,Assumptions!$D$181,0)</f>
        <v>400</v>
      </c>
      <c r="AL103" s="37" t="n">
        <f aca="false">Assumptions!$D$180+IF(AL$3=1,Assumptions!$D$181,0)</f>
        <v>400</v>
      </c>
    </row>
    <row r="104" customFormat="false" ht="15" hidden="false" customHeight="false" outlineLevel="0" collapsed="false">
      <c r="A104" s="3" t="s">
        <v>646</v>
      </c>
      <c r="B104" s="2" t="s">
        <v>105</v>
      </c>
      <c r="C104" s="46" t="n">
        <f aca="false">SUM(C83:C103)</f>
        <v>13548.3333333333</v>
      </c>
      <c r="D104" s="46" t="n">
        <f aca="false">SUM(D83:D103)</f>
        <v>8548.33333333333</v>
      </c>
      <c r="E104" s="46" t="n">
        <f aca="false">SUM(E83:E103)</f>
        <v>8548.33333333333</v>
      </c>
      <c r="F104" s="46" t="n">
        <f aca="false">SUM(F83:F103)</f>
        <v>8548.33333333333</v>
      </c>
      <c r="G104" s="46" t="n">
        <f aca="false">SUM(G83:G103)</f>
        <v>8548.33333333333</v>
      </c>
      <c r="H104" s="46" t="n">
        <f aca="false">SUM(H83:H103)</f>
        <v>8559.17083333333</v>
      </c>
      <c r="I104" s="46" t="n">
        <f aca="false">SUM(I83:I103)</f>
        <v>8583.97743180833</v>
      </c>
      <c r="J104" s="46" t="n">
        <f aca="false">SUM(J83:J103)</f>
        <v>8607.75532202201</v>
      </c>
      <c r="K104" s="46" t="n">
        <f aca="false">SUM(K83:K103)</f>
        <v>8995.03860103073</v>
      </c>
      <c r="L104" s="46" t="n">
        <f aca="false">SUM(L83:L103)</f>
        <v>10711.3626197086</v>
      </c>
      <c r="M104" s="46" t="n">
        <f aca="false">SUM(M83:M103)</f>
        <v>10766.205559372</v>
      </c>
      <c r="N104" s="46" t="n">
        <f aca="false">SUM(N83:N103)</f>
        <v>10869.5889388154</v>
      </c>
      <c r="O104" s="46" t="n">
        <f aca="false">SUM(O83:O103)</f>
        <v>10959.912596535</v>
      </c>
      <c r="P104" s="46" t="n">
        <f aca="false">SUM(P83:P103)</f>
        <v>14297.3562028475</v>
      </c>
      <c r="Q104" s="46" t="n">
        <f aca="false">SUM(Q83:Q103)</f>
        <v>14401.8514526048</v>
      </c>
      <c r="R104" s="46" t="n">
        <f aca="false">SUM(R83:R103)</f>
        <v>14513.3320083547</v>
      </c>
      <c r="S104" s="46" t="n">
        <f aca="false">SUM(S83:S103)</f>
        <v>14631.7334452186</v>
      </c>
      <c r="T104" s="46" t="n">
        <f aca="false">SUM(T83:T103)</f>
        <v>14756.9931974357</v>
      </c>
      <c r="U104" s="46" t="n">
        <f aca="false">SUM(U83:U103)</f>
        <v>34179.0505065197</v>
      </c>
      <c r="V104" s="46" t="n">
        <f aca="false">SUM(V83:V103)</f>
        <v>21567.846370979</v>
      </c>
      <c r="W104" s="46" t="n">
        <f aca="false">SUM(W83:W103)</f>
        <v>21713.3234975505</v>
      </c>
      <c r="X104" s="46" t="n">
        <f aca="false">SUM(X83:X103)</f>
        <v>21032.0929205683</v>
      </c>
      <c r="Y104" s="46" t="n">
        <f aca="false">SUM(Y83:Y103)</f>
        <v>38242.4976894198</v>
      </c>
      <c r="Z104" s="46" t="n">
        <f aca="false">SUM(Z83:Z103)</f>
        <v>29504.2588240465</v>
      </c>
      <c r="AA104" s="46" t="n">
        <f aca="false">SUM(AA83:AA103)</f>
        <v>29772.4882051129</v>
      </c>
      <c r="AB104" s="46" t="n">
        <f aca="false">SUM(AB83:AB103)</f>
        <v>30900.696023802</v>
      </c>
      <c r="AC104" s="46" t="n">
        <f aca="false">SUM(AC83:AC103)</f>
        <v>31218.6285705275</v>
      </c>
      <c r="AD104" s="46" t="n">
        <f aca="false">SUM(AD83:AD103)</f>
        <v>31542.8534269491</v>
      </c>
      <c r="AE104" s="46" t="n">
        <f aca="false">SUM(AE83:AE103)</f>
        <v>31873.3260388296</v>
      </c>
      <c r="AF104" s="46" t="n">
        <f aca="false">SUM(AF83:AF103)</f>
        <v>56500.0031789901</v>
      </c>
      <c r="AG104" s="46" t="n">
        <f aca="false">SUM(AG83:AG103)</f>
        <v>44092.8429113689</v>
      </c>
      <c r="AH104" s="46" t="n">
        <f aca="false">SUM(AH83:AH103)</f>
        <v>44441.804556153</v>
      </c>
      <c r="AI104" s="46" t="n">
        <f aca="false">SUM(AI83:AI103)</f>
        <v>57336.8486559468</v>
      </c>
      <c r="AJ104" s="46" t="n">
        <f aca="false">SUM(AJ83:AJ103)</f>
        <v>50197.9369429465</v>
      </c>
      <c r="AK104" s="46" t="n">
        <f aca="false">SUM(AK83:AK103)</f>
        <v>54105.0323070898</v>
      </c>
      <c r="AL104" s="46" t="n">
        <f aca="false">SUM(AL83:AL103)</f>
        <v>54478.0987651513</v>
      </c>
    </row>
    <row r="105" customFormat="false" ht="15" hidden="false" customHeight="false" outlineLevel="0" collapsed="false">
      <c r="A105" s="9" t="s">
        <v>647</v>
      </c>
      <c r="B105" s="2" t="s">
        <v>105</v>
      </c>
      <c r="C105" s="37" t="n">
        <f aca="false">C85+C88+C92+C95</f>
        <v>2000</v>
      </c>
      <c r="D105" s="37" t="n">
        <f aca="false">D85+D88+D92+D95</f>
        <v>2000</v>
      </c>
      <c r="E105" s="37" t="n">
        <f aca="false">E85+E88+E92+E95</f>
        <v>2000</v>
      </c>
      <c r="F105" s="37" t="n">
        <f aca="false">F85+F88+F92+F95</f>
        <v>2000</v>
      </c>
      <c r="G105" s="37" t="n">
        <f aca="false">G85+G88+G92+G95</f>
        <v>2000</v>
      </c>
      <c r="H105" s="37" t="n">
        <f aca="false">H85+H88+H92+H95</f>
        <v>2000</v>
      </c>
      <c r="I105" s="37" t="n">
        <f aca="false">I85+I88+I92+I95</f>
        <v>2000</v>
      </c>
      <c r="J105" s="37" t="n">
        <f aca="false">J85+J88+J92+J95</f>
        <v>2000</v>
      </c>
      <c r="K105" s="37" t="n">
        <f aca="false">K85+K88+K92+K95</f>
        <v>2000</v>
      </c>
      <c r="L105" s="37" t="n">
        <f aca="false">L85+L88+L92+L95</f>
        <v>2000</v>
      </c>
      <c r="M105" s="37" t="n">
        <f aca="false">M85+M88+M92+M95</f>
        <v>2000</v>
      </c>
      <c r="N105" s="37" t="n">
        <f aca="false">N85+N88+N92+N95</f>
        <v>2000</v>
      </c>
      <c r="O105" s="37" t="n">
        <f aca="false">O85+O88+O92+O95</f>
        <v>2000</v>
      </c>
      <c r="P105" s="37" t="n">
        <f aca="false">P85+P88+P92+P95</f>
        <v>2000</v>
      </c>
      <c r="Q105" s="37" t="n">
        <f aca="false">Q85+Q88+Q92+Q95</f>
        <v>2000</v>
      </c>
      <c r="R105" s="37" t="n">
        <f aca="false">R85+R88+R92+R95</f>
        <v>2000</v>
      </c>
      <c r="S105" s="37" t="n">
        <f aca="false">S85+S88+S92+S95</f>
        <v>2000</v>
      </c>
      <c r="T105" s="37" t="n">
        <f aca="false">T85+T88+T92+T95</f>
        <v>2000</v>
      </c>
      <c r="U105" s="37" t="n">
        <f aca="false">U85+U88+U92+U95</f>
        <v>8500</v>
      </c>
      <c r="V105" s="37" t="n">
        <f aca="false">V85+V88+V92+V95</f>
        <v>8500</v>
      </c>
      <c r="W105" s="37" t="n">
        <f aca="false">W85+W88+W92+W95</f>
        <v>8500</v>
      </c>
      <c r="X105" s="37" t="n">
        <f aca="false">X85+X88+X92+X95</f>
        <v>8500</v>
      </c>
      <c r="Y105" s="37" t="n">
        <f aca="false">Y85+Y88+Y92+Y95</f>
        <v>8500</v>
      </c>
      <c r="Z105" s="37" t="n">
        <f aca="false">Z85+Z88+Z92+Z95</f>
        <v>8500</v>
      </c>
      <c r="AA105" s="37" t="n">
        <f aca="false">AA85+AA88+AA92+AA95</f>
        <v>8500</v>
      </c>
      <c r="AB105" s="37" t="n">
        <f aca="false">AB85+AB88+AB92+AB95</f>
        <v>8500</v>
      </c>
      <c r="AC105" s="37" t="n">
        <f aca="false">AC85+AC88+AC92+AC95</f>
        <v>8500</v>
      </c>
      <c r="AD105" s="37" t="n">
        <f aca="false">AD85+AD88+AD92+AD95</f>
        <v>8500</v>
      </c>
      <c r="AE105" s="37" t="n">
        <f aca="false">AE85+AE88+AE92+AE95</f>
        <v>8500</v>
      </c>
      <c r="AF105" s="37" t="n">
        <f aca="false">AF85+AF88+AF92+AF95</f>
        <v>17000</v>
      </c>
      <c r="AG105" s="37" t="n">
        <f aca="false">AG85+AG88+AG92+AG95</f>
        <v>17000</v>
      </c>
      <c r="AH105" s="37" t="n">
        <f aca="false">AH85+AH88+AH92+AH95</f>
        <v>17000</v>
      </c>
      <c r="AI105" s="37" t="n">
        <f aca="false">AI85+AI88+AI92+AI95</f>
        <v>17000</v>
      </c>
      <c r="AJ105" s="37" t="n">
        <f aca="false">AJ85+AJ88+AJ92+AJ95</f>
        <v>17000</v>
      </c>
      <c r="AK105" s="37" t="n">
        <f aca="false">AK85+AK88+AK92+AK95</f>
        <v>17000</v>
      </c>
      <c r="AL105" s="37" t="n">
        <f aca="false">AL85+AL88+AL92+AL95</f>
        <v>17000</v>
      </c>
    </row>
    <row r="106" customFormat="false" ht="15" hidden="false" customHeight="false" outlineLevel="0" collapsed="false">
      <c r="A106" s="9" t="s">
        <v>648</v>
      </c>
      <c r="B106" s="2" t="s">
        <v>105</v>
      </c>
      <c r="C106" s="37" t="n">
        <f aca="false">C86+C91+C90+C96+C97+C98+C99</f>
        <v>2375</v>
      </c>
      <c r="D106" s="37" t="n">
        <f aca="false">D86+D91+D90+D96+D97+D98+D99</f>
        <v>2375</v>
      </c>
      <c r="E106" s="37" t="n">
        <f aca="false">E86+E91+E90+E96+E97+E98+E99</f>
        <v>2375</v>
      </c>
      <c r="F106" s="37" t="n">
        <f aca="false">F86+F91+F90+F96+F97+F98+F99</f>
        <v>2375</v>
      </c>
      <c r="G106" s="37" t="n">
        <f aca="false">G86+G91+G90+G96+G97+G98+G99</f>
        <v>2375</v>
      </c>
      <c r="H106" s="37" t="n">
        <f aca="false">H86+H91+H90+H96+H97+H98+H99</f>
        <v>2385.8375</v>
      </c>
      <c r="I106" s="37" t="n">
        <f aca="false">I86+I91+I90+I96+I97+I98+I99</f>
        <v>2410.644098475</v>
      </c>
      <c r="J106" s="37" t="n">
        <f aca="false">J86+J91+J90+J96+J97+J98+J99</f>
        <v>2434.42198868868</v>
      </c>
      <c r="K106" s="37" t="n">
        <f aca="false">K86+K91+K90+K96+K97+K98+K99</f>
        <v>2821.7052676974</v>
      </c>
      <c r="L106" s="37" t="n">
        <f aca="false">L86+L91+L90+L96+L97+L98+L99</f>
        <v>2871.36261970856</v>
      </c>
      <c r="M106" s="37" t="n">
        <f aca="false">M86+M91+M90+M96+M97+M98+M99</f>
        <v>2926.205559372</v>
      </c>
      <c r="N106" s="37" t="n">
        <f aca="false">N86+N91+N90+N96+N97+N98+N99</f>
        <v>3029.58893881537</v>
      </c>
      <c r="O106" s="37" t="n">
        <f aca="false">O86+O91+O90+O96+O97+O98+O99</f>
        <v>3119.91259653502</v>
      </c>
      <c r="P106" s="37" t="n">
        <f aca="false">P86+P91+P90+P96+P97+P98+P99</f>
        <v>3217.35620284746</v>
      </c>
      <c r="Q106" s="37" t="n">
        <f aca="false">Q86+Q91+Q90+Q96+Q97+Q98+Q99</f>
        <v>3321.85145260485</v>
      </c>
      <c r="R106" s="37" t="n">
        <f aca="false">R86+R91+R90+R96+R97+R98+R99</f>
        <v>3433.33200835471</v>
      </c>
      <c r="S106" s="37" t="n">
        <f aca="false">S86+S91+S90+S96+S97+S98+S99</f>
        <v>3551.73344521859</v>
      </c>
      <c r="T106" s="37" t="n">
        <f aca="false">T86+T91+T90+T96+T97+T98+T99</f>
        <v>3676.99319743566</v>
      </c>
      <c r="U106" s="37" t="n">
        <f aca="false">U86+U91+U90+U96+U97+U98+U99</f>
        <v>3809.0505065197</v>
      </c>
      <c r="V106" s="37" t="n">
        <f aca="false">V86+V91+V90+V96+V97+V98+V99</f>
        <v>3947.84637097897</v>
      </c>
      <c r="W106" s="37" t="n">
        <f aca="false">W86+W91+W90+W96+W97+W98+W99</f>
        <v>4093.32349755052</v>
      </c>
      <c r="X106" s="37" t="n">
        <f aca="false">X86+X91+X90+X96+X97+X98+X99</f>
        <v>4245.42625390166</v>
      </c>
      <c r="Y106" s="37" t="n">
        <f aca="false">Y86+Y91+Y90+Y96+Y97+Y98+Y99</f>
        <v>12415.8310227531</v>
      </c>
      <c r="Z106" s="37" t="n">
        <f aca="false">Z86+Z91+Z90+Z96+Z97+Z98+Z99</f>
        <v>12677.5921573798</v>
      </c>
      <c r="AA106" s="37" t="n">
        <f aca="false">AA86+AA91+AA90+AA96+AA97+AA98+AA99</f>
        <v>12945.8215384463</v>
      </c>
      <c r="AB106" s="37" t="n">
        <f aca="false">AB86+AB91+AB90+AB96+AB97+AB98+AB99</f>
        <v>14074.0293571354</v>
      </c>
      <c r="AC106" s="37" t="n">
        <f aca="false">AC86+AC91+AC90+AC96+AC97+AC98+AC99</f>
        <v>14391.9619038608</v>
      </c>
      <c r="AD106" s="37" t="n">
        <f aca="false">AD86+AD91+AD90+AD96+AD97+AD98+AD99</f>
        <v>14716.1867602824</v>
      </c>
      <c r="AE106" s="37" t="n">
        <f aca="false">AE86+AE91+AE90+AE96+AE97+AE98+AE99</f>
        <v>15046.659372163</v>
      </c>
      <c r="AF106" s="37" t="n">
        <f aca="false">AF86+AF91+AF90+AF96+AF97+AF98+AF99</f>
        <v>15383.3365123234</v>
      </c>
      <c r="AG106" s="37" t="n">
        <f aca="false">AG86+AG91+AG90+AG96+AG97+AG98+AG99</f>
        <v>15726.1762447022</v>
      </c>
      <c r="AH106" s="37" t="n">
        <f aca="false">AH86+AH91+AH90+AH96+AH97+AH98+AH99</f>
        <v>16075.1378894864</v>
      </c>
      <c r="AI106" s="37" t="n">
        <f aca="false">AI86+AI91+AI90+AI96+AI97+AI98+AI99</f>
        <v>21430.1819892802</v>
      </c>
      <c r="AJ106" s="37" t="n">
        <f aca="false">AJ86+AJ91+AJ90+AJ96+AJ97+AJ98+AJ99</f>
        <v>21791.2702762798</v>
      </c>
      <c r="AK106" s="37" t="n">
        <f aca="false">AK86+AK91+AK90+AK96+AK97+AK98+AK99</f>
        <v>22158.3656404232</v>
      </c>
      <c r="AL106" s="37" t="n">
        <f aca="false">AL86+AL91+AL90+AL96+AL97+AL98+AL99</f>
        <v>22531.4320984846</v>
      </c>
    </row>
    <row r="107" customFormat="false" ht="15" hidden="false" customHeight="false" outlineLevel="0" collapsed="false">
      <c r="A107" s="9" t="s">
        <v>649</v>
      </c>
      <c r="B107" s="2" t="s">
        <v>105</v>
      </c>
      <c r="C107" s="37" t="n">
        <f aca="false">C84+C89+C93</f>
        <v>0</v>
      </c>
      <c r="D107" s="37" t="n">
        <f aca="false">D84+D89+D93</f>
        <v>0</v>
      </c>
      <c r="E107" s="37" t="n">
        <f aca="false">E84+E89+E93</f>
        <v>0</v>
      </c>
      <c r="F107" s="37" t="n">
        <f aca="false">F84+F89+F93</f>
        <v>0</v>
      </c>
      <c r="G107" s="37" t="n">
        <f aca="false">G84+G89+G93</f>
        <v>0</v>
      </c>
      <c r="H107" s="37" t="n">
        <f aca="false">H84+H89+H93</f>
        <v>0</v>
      </c>
      <c r="I107" s="37" t="n">
        <f aca="false">I84+I89+I93</f>
        <v>0</v>
      </c>
      <c r="J107" s="37" t="n">
        <f aca="false">J84+J89+J93</f>
        <v>0</v>
      </c>
      <c r="K107" s="37" t="n">
        <f aca="false">K84+K89+K93</f>
        <v>0</v>
      </c>
      <c r="L107" s="37" t="n">
        <f aca="false">L84+L89+L93</f>
        <v>0</v>
      </c>
      <c r="M107" s="37" t="n">
        <f aca="false">M84+M89+M93</f>
        <v>0</v>
      </c>
      <c r="N107" s="37" t="n">
        <f aca="false">N84+N89+N93</f>
        <v>0</v>
      </c>
      <c r="O107" s="37" t="n">
        <f aca="false">O84+O89+O93</f>
        <v>0</v>
      </c>
      <c r="P107" s="37" t="n">
        <f aca="false">P84+P89+P93</f>
        <v>3200</v>
      </c>
      <c r="Q107" s="37" t="n">
        <f aca="false">Q84+Q89+Q93</f>
        <v>3200</v>
      </c>
      <c r="R107" s="37" t="n">
        <f aca="false">R84+R89+R93</f>
        <v>3200</v>
      </c>
      <c r="S107" s="37" t="n">
        <f aca="false">S84+S89+S93</f>
        <v>3200</v>
      </c>
      <c r="T107" s="37" t="n">
        <f aca="false">T84+T89+T93</f>
        <v>3200</v>
      </c>
      <c r="U107" s="37" t="n">
        <f aca="false">U84+U89+U93</f>
        <v>3200</v>
      </c>
      <c r="V107" s="37" t="n">
        <f aca="false">V84+V89+V93</f>
        <v>3200</v>
      </c>
      <c r="W107" s="37" t="n">
        <f aca="false">W84+W89+W93</f>
        <v>3200</v>
      </c>
      <c r="X107" s="37" t="n">
        <f aca="false">X84+X89+X93</f>
        <v>3200</v>
      </c>
      <c r="Y107" s="37" t="n">
        <f aca="false">Y84+Y89+Y93</f>
        <v>3200</v>
      </c>
      <c r="Z107" s="37" t="n">
        <f aca="false">Z84+Z89+Z93</f>
        <v>3200</v>
      </c>
      <c r="AA107" s="37" t="n">
        <f aca="false">AA84+AA89+AA93</f>
        <v>3200</v>
      </c>
      <c r="AB107" s="37" t="n">
        <f aca="false">AB84+AB89+AB93</f>
        <v>3200</v>
      </c>
      <c r="AC107" s="37" t="n">
        <f aca="false">AC84+AC89+AC93</f>
        <v>3200</v>
      </c>
      <c r="AD107" s="37" t="n">
        <f aca="false">AD84+AD89+AD93</f>
        <v>3200</v>
      </c>
      <c r="AE107" s="37" t="n">
        <f aca="false">AE84+AE89+AE93</f>
        <v>3200</v>
      </c>
      <c r="AF107" s="37" t="n">
        <f aca="false">AF84+AF89+AF93</f>
        <v>3200</v>
      </c>
      <c r="AG107" s="37" t="n">
        <f aca="false">AG84+AG89+AG93</f>
        <v>3200</v>
      </c>
      <c r="AH107" s="37" t="n">
        <f aca="false">AH84+AH89+AH93</f>
        <v>3200</v>
      </c>
      <c r="AI107" s="37" t="n">
        <f aca="false">AI84+AI89+AI93</f>
        <v>3200</v>
      </c>
      <c r="AJ107" s="37" t="n">
        <f aca="false">AJ84+AJ89+AJ93</f>
        <v>3200</v>
      </c>
      <c r="AK107" s="37" t="n">
        <f aca="false">AK84+AK89+AK93</f>
        <v>6700</v>
      </c>
      <c r="AL107" s="37" t="n">
        <f aca="false">AL84+AL89+AL93</f>
        <v>6700</v>
      </c>
    </row>
    <row r="108" customFormat="false" ht="1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ustomFormat="false" ht="15" hidden="false" customHeight="false" outlineLevel="0" collapsed="false">
      <c r="A109" s="5" t="s">
        <v>650</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row>
    <row r="110" customFormat="false" ht="15" hidden="false" customHeight="false" outlineLevel="0" collapsed="false">
      <c r="A110" s="9" t="s">
        <v>651</v>
      </c>
      <c r="B110" s="2" t="s">
        <v>105</v>
      </c>
      <c r="C110" s="37" t="n">
        <f aca="false">C79-C96-C97-C98-C99</f>
        <v>-2675</v>
      </c>
      <c r="D110" s="37" t="n">
        <f aca="false">D79-D96-D97-D98-D99</f>
        <v>-2675</v>
      </c>
      <c r="E110" s="37" t="n">
        <f aca="false">E79-E96-E97-E98-E99</f>
        <v>-2675</v>
      </c>
      <c r="F110" s="37" t="n">
        <f aca="false">F79-F96-F97-F98-F99</f>
        <v>-2675</v>
      </c>
      <c r="G110" s="37" t="n">
        <f aca="false">G79-G96-G97-G98-G99</f>
        <v>-2675</v>
      </c>
      <c r="H110" s="37" t="n">
        <f aca="false">H79-H96-H97-H98-H99</f>
        <v>-2566.14104325</v>
      </c>
      <c r="I110" s="37" t="n">
        <f aca="false">I79-I96-I97-I98-I99</f>
        <v>-2264.2665030378</v>
      </c>
      <c r="J110" s="37" t="n">
        <f aca="false">J79-J96-J97-J98-J99</f>
        <v>-7640.85848099236</v>
      </c>
      <c r="K110" s="37" t="n">
        <f aca="false">K79-K96-K97-K98-K99</f>
        <v>-1608.1637122642</v>
      </c>
      <c r="L110" s="37" t="n">
        <f aca="false">L79-L96-L97-L98-L99</f>
        <v>-967.335206836848</v>
      </c>
      <c r="M110" s="37" t="n">
        <f aca="false">M79-M96-M97-M98-M99</f>
        <v>-258.138269219877</v>
      </c>
      <c r="N110" s="37" t="n">
        <f aca="false">N79-N96-N97-N98-N99</f>
        <v>1148.54706773385</v>
      </c>
      <c r="O110" s="37" t="n">
        <f aca="false">O79-O96-O97-O98-O99</f>
        <v>2348.27320030827</v>
      </c>
      <c r="P110" s="37" t="n">
        <f aca="false">P79-P96-P97-P98-P99</f>
        <v>3645.08724580033</v>
      </c>
      <c r="Q110" s="37" t="n">
        <f aca="false">Q79-Q96-Q97-Q98-Q99</f>
        <v>5038.36259863522</v>
      </c>
      <c r="R110" s="37" t="n">
        <f aca="false">R79-R96-R97-R98-R99</f>
        <v>6527.49334784219</v>
      </c>
      <c r="S110" s="37" t="n">
        <f aca="false">S79-S96-S97-S98-S99</f>
        <v>8111.89371179662</v>
      </c>
      <c r="T110" s="37" t="n">
        <f aca="false">T79-T96-T97-T98-T99</f>
        <v>9790.99748970295</v>
      </c>
      <c r="U110" s="37" t="n">
        <f aca="false">U79-U96-U97-U98-U99</f>
        <v>11564.2575293091</v>
      </c>
      <c r="V110" s="37" t="n">
        <f aca="false">V79-V96-V97-V98-V99</f>
        <v>10033.6452103593</v>
      </c>
      <c r="W110" s="37" t="n">
        <f aca="false">W79-W96-W97-W98-W99</f>
        <v>15391.1499433067</v>
      </c>
      <c r="X110" s="37" t="n">
        <f aca="false">X79-X96-X97-X98-X99</f>
        <v>17443.7786828236</v>
      </c>
      <c r="Y110" s="37" t="n">
        <f aca="false">Y79-Y96-Y97-Y98-Y99</f>
        <v>17576.825055659</v>
      </c>
      <c r="Z110" s="37" t="n">
        <f aca="false">Z79-Z96-Z97-Z98-Z99</f>
        <v>19716.7229024108</v>
      </c>
      <c r="AA110" s="37" t="n">
        <f aca="false">AA79-AA96-AA97-AA98-AA99</f>
        <v>21947.8662327885</v>
      </c>
      <c r="AB110" s="37" t="n">
        <f aca="false">AB79-AB96-AB97-AB98-AB99</f>
        <v>24449.4862808778</v>
      </c>
      <c r="AC110" s="37" t="n">
        <f aca="false">AC79-AC96-AC97-AC98-AC99</f>
        <v>27383.5456916573</v>
      </c>
      <c r="AD110" s="37" t="n">
        <f aca="false">AD79-AD96-AD97-AD98-AD99</f>
        <v>30408.4767501833</v>
      </c>
      <c r="AE110" s="37" t="n">
        <f aca="false">AE79-AE96-AE97-AE98-AE99</f>
        <v>33523.8960722939</v>
      </c>
      <c r="AF110" s="37" t="n">
        <f aca="false">AF79-AF96-AF97-AF98-AF99</f>
        <v>36729.4344710367</v>
      </c>
      <c r="AG110" s="37" t="n">
        <f aca="false">AG79-AG96-AG97-AG98-AG99</f>
        <v>40024.736584327</v>
      </c>
      <c r="AH110" s="37" t="n">
        <f aca="false">AH79-AH96-AH97-AH98-AH99</f>
        <v>40011.9605134956</v>
      </c>
      <c r="AI110" s="37" t="n">
        <f aca="false">AI79-AI96-AI97-AI98-AI99</f>
        <v>46883.2774724014</v>
      </c>
      <c r="AJ110" s="37" t="n">
        <f aca="false">AJ79-AJ96-AJ97-AJ98-AJ99</f>
        <v>50445.8714467887</v>
      </c>
      <c r="AK110" s="37" t="n">
        <f aca="false">AK79-AK96-AK97-AK98-AK99</f>
        <v>54096.938863584</v>
      </c>
      <c r="AL110" s="37" t="n">
        <f aca="false">AL79-AL96-AL97-AL98-AL99</f>
        <v>57836.1882698319</v>
      </c>
    </row>
    <row r="111" customFormat="false" ht="15" hidden="false" customHeight="false" outlineLevel="0" collapsed="false">
      <c r="A111" s="9" t="s">
        <v>652</v>
      </c>
      <c r="B111" s="2" t="s">
        <v>165</v>
      </c>
      <c r="C111" s="32" t="n">
        <f aca="false">IF(C63=0,0,C110/C63)</f>
        <v>0</v>
      </c>
      <c r="D111" s="32" t="n">
        <f aca="false">IF(D63=0,0,D110/D63)</f>
        <v>0</v>
      </c>
      <c r="E111" s="32" t="n">
        <f aca="false">IF(E63=0,0,E110/E63)</f>
        <v>0</v>
      </c>
      <c r="F111" s="32" t="n">
        <f aca="false">IF(F63=0,0,F110/F63)</f>
        <v>0</v>
      </c>
      <c r="G111" s="32" t="n">
        <f aca="false">IF(G63=0,0,G110/G63)</f>
        <v>0</v>
      </c>
      <c r="H111" s="32" t="n">
        <f aca="false">IF(H63=0,0,H110/H63)</f>
        <v>-11.8391743633218</v>
      </c>
      <c r="I111" s="32" t="n">
        <f aca="false">IF(I63=0,0,I110/I63)</f>
        <v>-3.17621513786624</v>
      </c>
      <c r="J111" s="32" t="n">
        <f aca="false">IF(J63=0,0,J110/J63)</f>
        <v>-6.42931905310646</v>
      </c>
      <c r="K111" s="32" t="n">
        <f aca="false">IF(K63=0,0,K110/K63)</f>
        <v>-0.709242424628646</v>
      </c>
      <c r="L111" s="32" t="n">
        <f aca="false">IF(L63=0,0,L110/L63)</f>
        <v>-0.296675287104694</v>
      </c>
      <c r="M111" s="32" t="n">
        <f aca="false">IF(M63=0,0,M110/M63)</f>
        <v>-0.0592407471831812</v>
      </c>
      <c r="N111" s="32" t="n">
        <f aca="false">IF(N63=0,0,N110/N63)</f>
        <v>0.178759070368665</v>
      </c>
      <c r="O111" s="32" t="n">
        <f aca="false">IF(O63=0,0,O110/O63)</f>
        <v>0.285275937135534</v>
      </c>
      <c r="P111" s="32" t="n">
        <f aca="false">IF(P63=0,0,P110/P63)</f>
        <v>0.358047492962311</v>
      </c>
      <c r="Q111" s="32" t="n">
        <f aca="false">IF(Q63=0,0,Q110/Q63)</f>
        <v>0.410612371531729</v>
      </c>
      <c r="R111" s="32" t="n">
        <f aca="false">IF(R63=0,0,R110/R63)</f>
        <v>0.450172777739884</v>
      </c>
      <c r="S111" s="32" t="n">
        <f aca="false">IF(S63=0,0,S110/S63)</f>
        <v>0.480904234981904</v>
      </c>
      <c r="T111" s="32" t="n">
        <f aca="false">IF(T63=0,0,T110/T63)</f>
        <v>0.505388829069347</v>
      </c>
      <c r="U111" s="32" t="n">
        <f aca="false">IF(U63=0,0,U110/U63)</f>
        <v>0.525305583078751</v>
      </c>
      <c r="V111" s="32" t="n">
        <f aca="false">IF(V63=0,0,V110/V63)</f>
        <v>0.404741414798567</v>
      </c>
      <c r="W111" s="32" t="n">
        <f aca="false">IF(W63=0,0,W110/W63)</f>
        <v>0.555641128036673</v>
      </c>
      <c r="X111" s="32" t="n">
        <f aca="false">IF(X63=0,0,X110/X63)</f>
        <v>0.567427591702585</v>
      </c>
      <c r="Y111" s="32" t="n">
        <f aca="false">IF(Y63=0,0,Y110/Y63)</f>
        <v>0.518255811552799</v>
      </c>
      <c r="Z111" s="32" t="n">
        <f aca="false">IF(Z63=0,0,Z110/Z63)</f>
        <v>0.529745780986897</v>
      </c>
      <c r="AA111" s="32" t="n">
        <f aca="false">IF(AA63=0,0,AA110/AA63)</f>
        <v>0.539890341118417</v>
      </c>
      <c r="AB111" s="32" t="n">
        <f aca="false">IF(AB63=0,0,AB110/AB63)</f>
        <v>0.536505478428104</v>
      </c>
      <c r="AC111" s="32" t="n">
        <f aca="false">IF(AC63=0,0,AC110/AC63)</f>
        <v>0.547681479588691</v>
      </c>
      <c r="AD111" s="32" t="n">
        <f aca="false">IF(AD63=0,0,AD110/AD63)</f>
        <v>0.557420005025363</v>
      </c>
      <c r="AE111" s="32" t="n">
        <f aca="false">IF(AE63=0,0,AE110/AE63)</f>
        <v>0.565992523296329</v>
      </c>
      <c r="AF111" s="32" t="n">
        <f aca="false">IF(AF63=0,0,AF110/AF63)</f>
        <v>0.57360638383702</v>
      </c>
      <c r="AG111" s="32" t="n">
        <f aca="false">IF(AG63=0,0,AG110/AG63)</f>
        <v>0.58042266841703</v>
      </c>
      <c r="AH111" s="32" t="n">
        <f aca="false">IF(AH63=0,0,AH110/AH63)</f>
        <v>0.540659828692627</v>
      </c>
      <c r="AI111" s="32" t="n">
        <f aca="false">IF(AI63=0,0,AI110/AI63)</f>
        <v>0.592145057844393</v>
      </c>
      <c r="AJ111" s="32" t="n">
        <f aca="false">IF(AJ63=0,0,AJ110/AJ63)</f>
        <v>0.597234714669827</v>
      </c>
      <c r="AK111" s="32" t="n">
        <f aca="false">IF(AK63=0,0,AK110/AK63)</f>
        <v>0.601904421851619</v>
      </c>
      <c r="AL111" s="32" t="n">
        <f aca="false">IF(AL63=0,0,AL110/AL63)</f>
        <v>0.606209502582226</v>
      </c>
    </row>
    <row r="112" customFormat="false" ht="15" hidden="false" customHeight="false" outlineLevel="0" collapsed="false">
      <c r="A112" s="3" t="s">
        <v>653</v>
      </c>
      <c r="B112" s="2" t="s">
        <v>105</v>
      </c>
      <c r="C112" s="45" t="n">
        <f aca="false">C79-C104</f>
        <v>-13848.3333333333</v>
      </c>
      <c r="D112" s="45" t="n">
        <f aca="false">D79-D104</f>
        <v>-8848.33333333333</v>
      </c>
      <c r="E112" s="45" t="n">
        <f aca="false">E79-E104</f>
        <v>-8848.33333333333</v>
      </c>
      <c r="F112" s="45" t="n">
        <f aca="false">F79-F104</f>
        <v>-8848.33333333333</v>
      </c>
      <c r="G112" s="45" t="n">
        <f aca="false">G79-G104</f>
        <v>-8848.33333333333</v>
      </c>
      <c r="H112" s="45" t="n">
        <f aca="false">H79-H104</f>
        <v>-8739.47437658333</v>
      </c>
      <c r="I112" s="45" t="n">
        <f aca="false">I79-I104</f>
        <v>-8437.59983637113</v>
      </c>
      <c r="J112" s="45" t="n">
        <f aca="false">J79-J104</f>
        <v>-13814.1918143257</v>
      </c>
      <c r="K112" s="45" t="n">
        <f aca="false">K79-K104</f>
        <v>-7781.49704559753</v>
      </c>
      <c r="L112" s="45" t="n">
        <f aca="false">L79-L104</f>
        <v>-8807.33520683685</v>
      </c>
      <c r="M112" s="45" t="n">
        <f aca="false">M79-M104</f>
        <v>-8098.13826921988</v>
      </c>
      <c r="N112" s="45" t="n">
        <f aca="false">N79-N104</f>
        <v>-6691.45293226615</v>
      </c>
      <c r="O112" s="45" t="n">
        <f aca="false">O79-O104</f>
        <v>-5491.72679969173</v>
      </c>
      <c r="P112" s="45" t="n">
        <f aca="false">P79-P104</f>
        <v>-7434.91275419968</v>
      </c>
      <c r="Q112" s="45" t="n">
        <f aca="false">Q79-Q104</f>
        <v>-6041.63740136478</v>
      </c>
      <c r="R112" s="45" t="n">
        <f aca="false">R79-R104</f>
        <v>-4552.50665215781</v>
      </c>
      <c r="S112" s="45" t="n">
        <f aca="false">S79-S104</f>
        <v>-2968.10628820338</v>
      </c>
      <c r="T112" s="45" t="n">
        <f aca="false">T79-T104</f>
        <v>-1289.00251029705</v>
      </c>
      <c r="U112" s="45" t="n">
        <f aca="false">U79-U104</f>
        <v>-18805.7424706909</v>
      </c>
      <c r="V112" s="45" t="n">
        <f aca="false">V79-V104</f>
        <v>-7586.35478964069</v>
      </c>
      <c r="W112" s="45" t="n">
        <f aca="false">W79-W104</f>
        <v>-2228.85005669327</v>
      </c>
      <c r="X112" s="45" t="n">
        <f aca="false">X79-X104</f>
        <v>657.112016156887</v>
      </c>
      <c r="Y112" s="45" t="n">
        <f aca="false">Y79-Y104</f>
        <v>-14249.8416110077</v>
      </c>
      <c r="Z112" s="45" t="n">
        <f aca="false">Z79-Z104</f>
        <v>-3109.94376425591</v>
      </c>
      <c r="AA112" s="45" t="n">
        <f aca="false">AA79-AA104</f>
        <v>-878.800433878128</v>
      </c>
      <c r="AB112" s="45" t="n">
        <f aca="false">AB79-AB104</f>
        <v>1622.81961421116</v>
      </c>
      <c r="AC112" s="45" t="n">
        <f aca="false">AC79-AC104</f>
        <v>4556.87902499062</v>
      </c>
      <c r="AD112" s="45" t="n">
        <f aca="false">AD79-AD104</f>
        <v>7581.81008351664</v>
      </c>
      <c r="AE112" s="45" t="n">
        <f aca="false">AE79-AE104</f>
        <v>10697.2294056272</v>
      </c>
      <c r="AF112" s="45" t="n">
        <f aca="false">AF79-AF104</f>
        <v>-10387.23219563</v>
      </c>
      <c r="AG112" s="45" t="n">
        <f aca="false">AG79-AG104</f>
        <v>5658.0699176603</v>
      </c>
      <c r="AH112" s="45" t="n">
        <f aca="false">AH79-AH104</f>
        <v>5645.29384682894</v>
      </c>
      <c r="AI112" s="45" t="n">
        <f aca="false">AI79-AI104</f>
        <v>-23.3891942653136</v>
      </c>
      <c r="AJ112" s="45" t="n">
        <f aca="false">AJ79-AJ104</f>
        <v>11039.204780122</v>
      </c>
      <c r="AK112" s="45" t="n">
        <f aca="false">AK79-AK104</f>
        <v>11150.2721969173</v>
      </c>
      <c r="AL112" s="45" t="n">
        <f aca="false">AL79-AL104</f>
        <v>14889.5216031652</v>
      </c>
    </row>
    <row r="113" customFormat="false" ht="15" hidden="false" customHeight="false" outlineLevel="0" collapsed="false">
      <c r="A113" s="9" t="s">
        <v>654</v>
      </c>
      <c r="B113" s="2" t="s">
        <v>165</v>
      </c>
      <c r="C113" s="32" t="n">
        <f aca="false">IF(C63=0,0,C112/C63)</f>
        <v>0</v>
      </c>
      <c r="D113" s="32" t="n">
        <f aca="false">IF(D63=0,0,D112/D63)</f>
        <v>0</v>
      </c>
      <c r="E113" s="32" t="n">
        <f aca="false">IF(E63=0,0,E112/E63)</f>
        <v>0</v>
      </c>
      <c r="F113" s="32" t="n">
        <f aca="false">IF(F63=0,0,F112/F63)</f>
        <v>0</v>
      </c>
      <c r="G113" s="32" t="n">
        <f aca="false">IF(G63=0,0,G112/G63)</f>
        <v>0</v>
      </c>
      <c r="H113" s="32" t="n">
        <f aca="false">IF(H63=0,0,H112/H63)</f>
        <v>-40.3205276889658</v>
      </c>
      <c r="I113" s="32" t="n">
        <f aca="false">IF(I63=0,0,I112/I63)</f>
        <v>-11.8359001873607</v>
      </c>
      <c r="J113" s="32" t="n">
        <f aca="false">IF(J63=0,0,J112/J63)</f>
        <v>-11.623804688446</v>
      </c>
      <c r="K113" s="32" t="n">
        <f aca="false">IF(K63=0,0,K112/K63)</f>
        <v>-3.43184452538719</v>
      </c>
      <c r="L113" s="32" t="n">
        <f aca="false">IF(L63=0,0,L112/L63)</f>
        <v>-2.70115124793168</v>
      </c>
      <c r="M113" s="32" t="n">
        <f aca="false">IF(M63=0,0,M112/M63)</f>
        <v>-1.85846044180558</v>
      </c>
      <c r="N113" s="32" t="n">
        <f aca="false">IF(N63=0,0,N112/N63)</f>
        <v>-1.04145310121915</v>
      </c>
      <c r="O113" s="32" t="n">
        <f aca="false">IF(O63=0,0,O112/O63)</f>
        <v>-0.667152999518421</v>
      </c>
      <c r="P113" s="32" t="n">
        <f aca="false">IF(P63=0,0,P112/P63)</f>
        <v>-0.730312251126988</v>
      </c>
      <c r="Q113" s="32" t="n">
        <f aca="false">IF(Q63=0,0,Q112/Q63)</f>
        <v>-0.492376444279966</v>
      </c>
      <c r="R113" s="32" t="n">
        <f aca="false">IF(R63=0,0,R112/R63)</f>
        <v>-0.313966549802561</v>
      </c>
      <c r="S113" s="32" t="n">
        <f aca="false">IF(S63=0,0,S112/S63)</f>
        <v>-0.175960747833479</v>
      </c>
      <c r="T113" s="32" t="n">
        <f aca="false">IF(T63=0,0,T112/T63)</f>
        <v>-0.0665353525043382</v>
      </c>
      <c r="U113" s="32" t="n">
        <f aca="false">IF(U63=0,0,U112/U63)</f>
        <v>-0.854249526072711</v>
      </c>
      <c r="V113" s="32" t="n">
        <f aca="false">IF(V63=0,0,V112/V63)</f>
        <v>-0.306021581025497</v>
      </c>
      <c r="W113" s="32" t="n">
        <f aca="false">IF(W63=0,0,W112/W63)</f>
        <v>-0.0804644723940345</v>
      </c>
      <c r="X113" s="32" t="n">
        <f aca="false">IF(X63=0,0,X112/X63)</f>
        <v>0.0213751558986403</v>
      </c>
      <c r="Y113" s="32" t="n">
        <f aca="false">IF(Y63=0,0,Y112/Y63)</f>
        <v>-0.420159113220163</v>
      </c>
      <c r="Z113" s="32" t="n">
        <f aca="false">IF(Z63=0,0,Z112/Z63)</f>
        <v>-0.0835574753662355</v>
      </c>
      <c r="AA113" s="32" t="n">
        <f aca="false">IF(AA63=0,0,AA112/AA63)</f>
        <v>-0.0216174028486046</v>
      </c>
      <c r="AB113" s="32" t="n">
        <f aca="false">IF(AB63=0,0,AB112/AB63)</f>
        <v>0.0356102211524097</v>
      </c>
      <c r="AC113" s="32" t="n">
        <f aca="false">IF(AC63=0,0,AC112/AC63)</f>
        <v>0.0911393387407052</v>
      </c>
      <c r="AD113" s="32" t="n">
        <f aca="false">IF(AD63=0,0,AD112/AD63)</f>
        <v>0.13898271358922</v>
      </c>
      <c r="AE113" s="32" t="n">
        <f aca="false">IF(AE63=0,0,AE112/AE63)</f>
        <v>0.18060406375542</v>
      </c>
      <c r="AF113" s="32" t="n">
        <f aca="false">IF(AF63=0,0,AF112/AF63)</f>
        <v>-0.162218198663232</v>
      </c>
      <c r="AG113" s="32" t="n">
        <f aca="false">IF(AG63=0,0,AG112/AG63)</f>
        <v>0.0820510594187023</v>
      </c>
      <c r="AH113" s="32" t="n">
        <f aca="false">IF(AH63=0,0,AH112/AH63)</f>
        <v>0.0762817808719122</v>
      </c>
      <c r="AI113" s="32" t="n">
        <f aca="false">IF(AI63=0,0,AI112/AI63)</f>
        <v>-0.000295410144892724</v>
      </c>
      <c r="AJ113" s="32" t="n">
        <f aca="false">IF(AJ63=0,0,AJ112/AJ63)</f>
        <v>0.130694467712633</v>
      </c>
      <c r="AK113" s="32" t="n">
        <f aca="false">IF(AK63=0,0,AK112/AK63)</f>
        <v>0.124062438303539</v>
      </c>
      <c r="AL113" s="32" t="n">
        <f aca="false">IF(AL63=0,0,AL112/AL63)</f>
        <v>0.156064390734585</v>
      </c>
    </row>
    <row r="114" customFormat="false" ht="15" hidden="false" customHeight="false" outlineLevel="0" collapsed="false">
      <c r="A114" s="9" t="s">
        <v>655</v>
      </c>
      <c r="B114" s="2" t="s">
        <v>105</v>
      </c>
      <c r="C114" s="37" t="n">
        <f aca="false">C112</f>
        <v>-13848.3333333333</v>
      </c>
      <c r="D114" s="37" t="n">
        <f aca="false">C114+D112</f>
        <v>-22696.6666666667</v>
      </c>
      <c r="E114" s="37" t="n">
        <f aca="false">D114+E112</f>
        <v>-31545</v>
      </c>
      <c r="F114" s="37" t="n">
        <f aca="false">E114+F112</f>
        <v>-40393.3333333333</v>
      </c>
      <c r="G114" s="37" t="n">
        <f aca="false">F114+G112</f>
        <v>-49241.6666666667</v>
      </c>
      <c r="H114" s="37" t="n">
        <f aca="false">G114+H112</f>
        <v>-57981.14104325</v>
      </c>
      <c r="I114" s="37" t="n">
        <f aca="false">H114+I112</f>
        <v>-66418.7408796211</v>
      </c>
      <c r="J114" s="37" t="n">
        <f aca="false">I114+J112</f>
        <v>-80232.9326939468</v>
      </c>
      <c r="K114" s="37" t="n">
        <f aca="false">J114+K112</f>
        <v>-88014.4297395443</v>
      </c>
      <c r="L114" s="37" t="n">
        <f aca="false">K114+L112</f>
        <v>-96821.7649463812</v>
      </c>
      <c r="M114" s="37" t="n">
        <f aca="false">L114+M112</f>
        <v>-104919.903215601</v>
      </c>
      <c r="N114" s="37" t="n">
        <f aca="false">M114+N112</f>
        <v>-111611.356147867</v>
      </c>
      <c r="O114" s="37" t="n">
        <f aca="false">N114+O112</f>
        <v>-117103.082947559</v>
      </c>
      <c r="P114" s="37" t="n">
        <f aca="false">O114+P112</f>
        <v>-124537.995701759</v>
      </c>
      <c r="Q114" s="37" t="n">
        <f aca="false">P114+Q112</f>
        <v>-130579.633103123</v>
      </c>
      <c r="R114" s="37" t="n">
        <f aca="false">Q114+R112</f>
        <v>-135132.139755281</v>
      </c>
      <c r="S114" s="37" t="n">
        <f aca="false">R114+S112</f>
        <v>-138100.246043485</v>
      </c>
      <c r="T114" s="37" t="n">
        <f aca="false">S114+T112</f>
        <v>-139389.248553782</v>
      </c>
      <c r="U114" s="37" t="n">
        <f aca="false">T114+U112</f>
        <v>-158194.991024473</v>
      </c>
      <c r="V114" s="37" t="n">
        <f aca="false">U114+V112</f>
        <v>-165781.345814113</v>
      </c>
      <c r="W114" s="37" t="n">
        <f aca="false">V114+W112</f>
        <v>-168010.195870807</v>
      </c>
      <c r="X114" s="37" t="n">
        <f aca="false">W114+X112</f>
        <v>-167353.08385465</v>
      </c>
      <c r="Y114" s="37" t="n">
        <f aca="false">X114+Y112</f>
        <v>-181602.925465657</v>
      </c>
      <c r="Z114" s="37" t="n">
        <f aca="false">Y114+Z112</f>
        <v>-184712.869229913</v>
      </c>
      <c r="AA114" s="37" t="n">
        <f aca="false">Z114+AA112</f>
        <v>-185591.669663791</v>
      </c>
      <c r="AB114" s="37" t="n">
        <f aca="false">AA114+AB112</f>
        <v>-183968.85004958</v>
      </c>
      <c r="AC114" s="37" t="n">
        <f aca="false">AB114+AC112</f>
        <v>-179411.97102459</v>
      </c>
      <c r="AD114" s="37" t="n">
        <f aca="false">AC114+AD112</f>
        <v>-171830.160941073</v>
      </c>
      <c r="AE114" s="37" t="n">
        <f aca="false">AD114+AE112</f>
        <v>-161132.931535446</v>
      </c>
      <c r="AF114" s="37" t="n">
        <f aca="false">AE114+AF112</f>
        <v>-171520.163731076</v>
      </c>
      <c r="AG114" s="37" t="n">
        <f aca="false">AF114+AG112</f>
        <v>-165862.093813415</v>
      </c>
      <c r="AH114" s="37" t="n">
        <f aca="false">AG114+AH112</f>
        <v>-160216.799966586</v>
      </c>
      <c r="AI114" s="37" t="n">
        <f aca="false">AH114+AI112</f>
        <v>-160240.189160852</v>
      </c>
      <c r="AJ114" s="37" t="n">
        <f aca="false">AI114+AJ112</f>
        <v>-149200.98438073</v>
      </c>
      <c r="AK114" s="37" t="n">
        <f aca="false">AJ114+AK112</f>
        <v>-138050.712183812</v>
      </c>
      <c r="AL114" s="37" t="n">
        <f aca="false">AK114+AL112</f>
        <v>-123161.190580647</v>
      </c>
    </row>
    <row r="115" customFormat="false" ht="15" hidden="false" customHeight="false" outlineLevel="0" collapsed="false">
      <c r="A115" s="9" t="s">
        <v>656</v>
      </c>
      <c r="B115" s="2" t="s">
        <v>105</v>
      </c>
      <c r="C115" s="37" t="n">
        <f aca="false">Assumptions!$D$7</f>
        <v>50000</v>
      </c>
      <c r="D115" s="37" t="n">
        <f aca="false">C116</f>
        <v>36151.6666666667</v>
      </c>
      <c r="E115" s="37" t="n">
        <f aca="false">D116</f>
        <v>27303.3333333333</v>
      </c>
      <c r="F115" s="37" t="n">
        <f aca="false">E116</f>
        <v>18455</v>
      </c>
      <c r="G115" s="37" t="n">
        <f aca="false">F116</f>
        <v>9606.66666666668</v>
      </c>
      <c r="H115" s="37" t="n">
        <f aca="false">G116</f>
        <v>758.333333333343</v>
      </c>
      <c r="I115" s="37" t="n">
        <f aca="false">H116</f>
        <v>-7981.14104324999</v>
      </c>
      <c r="J115" s="37" t="n">
        <f aca="false">I116</f>
        <v>-16418.7408796211</v>
      </c>
      <c r="K115" s="37" t="n">
        <f aca="false">J116</f>
        <v>-30232.9326939468</v>
      </c>
      <c r="L115" s="37" t="n">
        <f aca="false">K116</f>
        <v>-38014.4297395444</v>
      </c>
      <c r="M115" s="37" t="n">
        <f aca="false">L116</f>
        <v>-46821.7649463812</v>
      </c>
      <c r="N115" s="37" t="n">
        <f aca="false">M116</f>
        <v>-54919.9032156011</v>
      </c>
      <c r="O115" s="37" t="n">
        <f aca="false">N116</f>
        <v>-61611.3561478672</v>
      </c>
      <c r="P115" s="37" t="n">
        <f aca="false">O116</f>
        <v>-67103.082947559</v>
      </c>
      <c r="Q115" s="37" t="n">
        <f aca="false">P116</f>
        <v>-74537.9957017586</v>
      </c>
      <c r="R115" s="37" t="n">
        <f aca="false">Q116</f>
        <v>-80579.6331031234</v>
      </c>
      <c r="S115" s="37" t="n">
        <f aca="false">R116</f>
        <v>-85132.1397552812</v>
      </c>
      <c r="T115" s="37" t="n">
        <f aca="false">S116</f>
        <v>-88100.2460434846</v>
      </c>
      <c r="U115" s="37" t="n">
        <f aca="false">T116</f>
        <v>-89389.2485537817</v>
      </c>
      <c r="V115" s="37" t="n">
        <f aca="false">U116</f>
        <v>-108194.991024473</v>
      </c>
      <c r="W115" s="37" t="n">
        <f aca="false">V116</f>
        <v>-115781.345814113</v>
      </c>
      <c r="X115" s="37" t="n">
        <f aca="false">W116</f>
        <v>-118010.195870806</v>
      </c>
      <c r="Y115" s="37" t="n">
        <f aca="false">X116</f>
        <v>-117353.08385465</v>
      </c>
      <c r="Z115" s="37" t="n">
        <f aca="false">Y116</f>
        <v>-131602.925465657</v>
      </c>
      <c r="AA115" s="37" t="n">
        <f aca="false">Z116</f>
        <v>-134712.869229913</v>
      </c>
      <c r="AB115" s="37" t="n">
        <f aca="false">AA116</f>
        <v>-135591.669663791</v>
      </c>
      <c r="AC115" s="37" t="n">
        <f aca="false">AB116</f>
        <v>-133968.85004958</v>
      </c>
      <c r="AD115" s="37" t="n">
        <f aca="false">AC116</f>
        <v>-129411.97102459</v>
      </c>
      <c r="AE115" s="37" t="n">
        <f aca="false">AD116</f>
        <v>-121830.160941073</v>
      </c>
      <c r="AF115" s="37" t="n">
        <f aca="false">AE116</f>
        <v>-111132.931535446</v>
      </c>
      <c r="AG115" s="37" t="n">
        <f aca="false">AF116</f>
        <v>-121520.163731076</v>
      </c>
      <c r="AH115" s="37" t="n">
        <f aca="false">AG116</f>
        <v>-115862.093813415</v>
      </c>
      <c r="AI115" s="37" t="n">
        <f aca="false">AH116</f>
        <v>-110216.799966586</v>
      </c>
      <c r="AJ115" s="37" t="n">
        <f aca="false">AI116</f>
        <v>-110240.189160852</v>
      </c>
      <c r="AK115" s="37" t="n">
        <f aca="false">AJ116</f>
        <v>-99200.9843807297</v>
      </c>
      <c r="AL115" s="37" t="n">
        <f aca="false">AK116</f>
        <v>-88050.7121838124</v>
      </c>
    </row>
    <row r="116" customFormat="false" ht="15" hidden="false" customHeight="false" outlineLevel="0" collapsed="false">
      <c r="A116" s="3" t="s">
        <v>657</v>
      </c>
      <c r="B116" s="2" t="s">
        <v>105</v>
      </c>
      <c r="C116" s="45" t="n">
        <f aca="false">C115+C112</f>
        <v>36151.6666666667</v>
      </c>
      <c r="D116" s="45" t="n">
        <f aca="false">D115+D112</f>
        <v>27303.3333333333</v>
      </c>
      <c r="E116" s="45" t="n">
        <f aca="false">E115+E112</f>
        <v>18455</v>
      </c>
      <c r="F116" s="45" t="n">
        <f aca="false">F115+F112</f>
        <v>9606.66666666668</v>
      </c>
      <c r="G116" s="45" t="n">
        <f aca="false">G115+G112</f>
        <v>758.333333333343</v>
      </c>
      <c r="H116" s="45" t="n">
        <f aca="false">H115+H112</f>
        <v>-7981.14104324999</v>
      </c>
      <c r="I116" s="45" t="n">
        <f aca="false">I115+I112</f>
        <v>-16418.7408796211</v>
      </c>
      <c r="J116" s="45" t="n">
        <f aca="false">J115+J112</f>
        <v>-30232.9326939468</v>
      </c>
      <c r="K116" s="45" t="n">
        <f aca="false">K115+K112</f>
        <v>-38014.4297395444</v>
      </c>
      <c r="L116" s="45" t="n">
        <f aca="false">L115+L112</f>
        <v>-46821.7649463812</v>
      </c>
      <c r="M116" s="45" t="n">
        <f aca="false">M115+M112</f>
        <v>-54919.9032156011</v>
      </c>
      <c r="N116" s="45" t="n">
        <f aca="false">N115+N112</f>
        <v>-61611.3561478672</v>
      </c>
      <c r="O116" s="45" t="n">
        <f aca="false">O115+O112</f>
        <v>-67103.082947559</v>
      </c>
      <c r="P116" s="45" t="n">
        <f aca="false">P115+P112</f>
        <v>-74537.9957017586</v>
      </c>
      <c r="Q116" s="45" t="n">
        <f aca="false">Q115+Q112</f>
        <v>-80579.6331031234</v>
      </c>
      <c r="R116" s="45" t="n">
        <f aca="false">R115+R112</f>
        <v>-85132.1397552812</v>
      </c>
      <c r="S116" s="45" t="n">
        <f aca="false">S115+S112</f>
        <v>-88100.2460434846</v>
      </c>
      <c r="T116" s="45" t="n">
        <f aca="false">T115+T112</f>
        <v>-89389.2485537817</v>
      </c>
      <c r="U116" s="45" t="n">
        <f aca="false">U115+U112</f>
        <v>-108194.991024473</v>
      </c>
      <c r="V116" s="45" t="n">
        <f aca="false">V115+V112</f>
        <v>-115781.345814113</v>
      </c>
      <c r="W116" s="45" t="n">
        <f aca="false">W115+W112</f>
        <v>-118010.195870806</v>
      </c>
      <c r="X116" s="45" t="n">
        <f aca="false">X115+X112</f>
        <v>-117353.08385465</v>
      </c>
      <c r="Y116" s="45" t="n">
        <f aca="false">Y115+Y112</f>
        <v>-131602.925465657</v>
      </c>
      <c r="Z116" s="45" t="n">
        <f aca="false">Z115+Z112</f>
        <v>-134712.869229913</v>
      </c>
      <c r="AA116" s="45" t="n">
        <f aca="false">AA115+AA112</f>
        <v>-135591.669663791</v>
      </c>
      <c r="AB116" s="45" t="n">
        <f aca="false">AB115+AB112</f>
        <v>-133968.85004958</v>
      </c>
      <c r="AC116" s="45" t="n">
        <f aca="false">AC115+AC112</f>
        <v>-129411.97102459</v>
      </c>
      <c r="AD116" s="45" t="n">
        <f aca="false">AD115+AD112</f>
        <v>-121830.160941073</v>
      </c>
      <c r="AE116" s="45" t="n">
        <f aca="false">AE115+AE112</f>
        <v>-111132.931535446</v>
      </c>
      <c r="AF116" s="45" t="n">
        <f aca="false">AF115+AF112</f>
        <v>-121520.163731076</v>
      </c>
      <c r="AG116" s="45" t="n">
        <f aca="false">AG115+AG112</f>
        <v>-115862.093813415</v>
      </c>
      <c r="AH116" s="45" t="n">
        <f aca="false">AH115+AH112</f>
        <v>-110216.799966586</v>
      </c>
      <c r="AI116" s="45" t="n">
        <f aca="false">AI115+AI112</f>
        <v>-110240.189160852</v>
      </c>
      <c r="AJ116" s="45" t="n">
        <f aca="false">AJ115+AJ112</f>
        <v>-99200.9843807297</v>
      </c>
      <c r="AK116" s="45" t="n">
        <f aca="false">AK115+AK112</f>
        <v>-88050.7121838124</v>
      </c>
      <c r="AL116" s="45" t="n">
        <f aca="false">AL115+AL112</f>
        <v>-73161.1905806472</v>
      </c>
    </row>
    <row r="117" customFormat="false" ht="15" hidden="false" customHeight="false" outlineLevel="0" collapsed="false">
      <c r="A117" s="9" t="s">
        <v>658</v>
      </c>
      <c r="B117" s="2" t="s">
        <v>105</v>
      </c>
      <c r="C117" s="37" t="n">
        <f aca="false">MAX(0,-C112)</f>
        <v>13848.3333333333</v>
      </c>
      <c r="D117" s="37" t="n">
        <f aca="false">MAX(0,-D112)</f>
        <v>8848.33333333333</v>
      </c>
      <c r="E117" s="37" t="n">
        <f aca="false">MAX(0,-E112)</f>
        <v>8848.33333333333</v>
      </c>
      <c r="F117" s="37" t="n">
        <f aca="false">MAX(0,-F112)</f>
        <v>8848.33333333333</v>
      </c>
      <c r="G117" s="37" t="n">
        <f aca="false">MAX(0,-G112)</f>
        <v>8848.33333333333</v>
      </c>
      <c r="H117" s="37" t="n">
        <f aca="false">MAX(0,-H112)</f>
        <v>8739.47437658333</v>
      </c>
      <c r="I117" s="37" t="n">
        <f aca="false">MAX(0,-I112)</f>
        <v>8437.59983637113</v>
      </c>
      <c r="J117" s="37" t="n">
        <f aca="false">MAX(0,-J112)</f>
        <v>13814.1918143257</v>
      </c>
      <c r="K117" s="37" t="n">
        <f aca="false">MAX(0,-K112)</f>
        <v>7781.49704559753</v>
      </c>
      <c r="L117" s="37" t="n">
        <f aca="false">MAX(0,-L112)</f>
        <v>8807.33520683685</v>
      </c>
      <c r="M117" s="37" t="n">
        <f aca="false">MAX(0,-M112)</f>
        <v>8098.13826921988</v>
      </c>
      <c r="N117" s="37" t="n">
        <f aca="false">MAX(0,-N112)</f>
        <v>6691.45293226615</v>
      </c>
      <c r="O117" s="37" t="n">
        <f aca="false">MAX(0,-O112)</f>
        <v>5491.72679969173</v>
      </c>
      <c r="P117" s="37" t="n">
        <f aca="false">MAX(0,-P112)</f>
        <v>7434.91275419968</v>
      </c>
      <c r="Q117" s="37" t="n">
        <f aca="false">MAX(0,-Q112)</f>
        <v>6041.63740136478</v>
      </c>
      <c r="R117" s="37" t="n">
        <f aca="false">MAX(0,-R112)</f>
        <v>4552.50665215781</v>
      </c>
      <c r="S117" s="37" t="n">
        <f aca="false">MAX(0,-S112)</f>
        <v>2968.10628820338</v>
      </c>
      <c r="T117" s="37" t="n">
        <f aca="false">MAX(0,-T112)</f>
        <v>1289.00251029705</v>
      </c>
      <c r="U117" s="37" t="n">
        <f aca="false">MAX(0,-U112)</f>
        <v>18805.7424706909</v>
      </c>
      <c r="V117" s="37" t="n">
        <f aca="false">MAX(0,-V112)</f>
        <v>7586.35478964069</v>
      </c>
      <c r="W117" s="37" t="n">
        <f aca="false">MAX(0,-W112)</f>
        <v>2228.85005669327</v>
      </c>
      <c r="X117" s="37" t="n">
        <f aca="false">MAX(0,-X112)</f>
        <v>0</v>
      </c>
      <c r="Y117" s="37" t="n">
        <f aca="false">MAX(0,-Y112)</f>
        <v>14249.8416110077</v>
      </c>
      <c r="Z117" s="37" t="n">
        <f aca="false">MAX(0,-Z112)</f>
        <v>3109.94376425591</v>
      </c>
      <c r="AA117" s="37" t="n">
        <f aca="false">MAX(0,-AA112)</f>
        <v>878.800433878128</v>
      </c>
      <c r="AB117" s="37" t="n">
        <f aca="false">MAX(0,-AB112)</f>
        <v>0</v>
      </c>
      <c r="AC117" s="37" t="n">
        <f aca="false">MAX(0,-AC112)</f>
        <v>0</v>
      </c>
      <c r="AD117" s="37" t="n">
        <f aca="false">MAX(0,-AD112)</f>
        <v>0</v>
      </c>
      <c r="AE117" s="37" t="n">
        <f aca="false">MAX(0,-AE112)</f>
        <v>0</v>
      </c>
      <c r="AF117" s="37" t="n">
        <f aca="false">MAX(0,-AF112)</f>
        <v>10387.23219563</v>
      </c>
      <c r="AG117" s="37" t="n">
        <f aca="false">MAX(0,-AG112)</f>
        <v>0</v>
      </c>
      <c r="AH117" s="37" t="n">
        <f aca="false">MAX(0,-AH112)</f>
        <v>0</v>
      </c>
      <c r="AI117" s="37" t="n">
        <f aca="false">MAX(0,-AI112)</f>
        <v>23.3891942653136</v>
      </c>
      <c r="AJ117" s="37" t="n">
        <f aca="false">MAX(0,-AJ112)</f>
        <v>0</v>
      </c>
      <c r="AK117" s="37" t="n">
        <f aca="false">MAX(0,-AK112)</f>
        <v>0</v>
      </c>
      <c r="AL117" s="37" t="n">
        <f aca="false">MAX(0,-AL112)</f>
        <v>0</v>
      </c>
    </row>
    <row r="118" customFormat="false" ht="15" hidden="false" customHeight="false" outlineLevel="0" collapsed="false">
      <c r="A118" s="9" t="s">
        <v>659</v>
      </c>
      <c r="B118" s="2" t="s">
        <v>109</v>
      </c>
      <c r="C118" s="42" t="n">
        <f aca="false">IF(C117=0,"cash+",IF(C116&lt;=0,0,C116/C117))</f>
        <v>2.610542784932</v>
      </c>
      <c r="D118" s="42" t="n">
        <f aca="false">IF(D117=0,"cash+",IF(D116&lt;=0,0,D116/D117))</f>
        <v>3.08570352232059</v>
      </c>
      <c r="E118" s="42" t="n">
        <f aca="false">IF(E117=0,"cash+",IF(E116&lt;=0,0,E116/E117))</f>
        <v>2.08570352232059</v>
      </c>
      <c r="F118" s="42" t="n">
        <f aca="false">IF(F117=0,"cash+",IF(F116&lt;=0,0,F116/F117))</f>
        <v>1.08570352232059</v>
      </c>
      <c r="G118" s="42" t="n">
        <f aca="false">IF(G117=0,"cash+",IF(G116&lt;=0,0,G116/G117))</f>
        <v>0.0857035223205888</v>
      </c>
      <c r="H118" s="42" t="n">
        <f aca="false">IF(H117=0,"cash+",IF(H116&lt;=0,0,H116/H117))</f>
        <v>0</v>
      </c>
      <c r="I118" s="42" t="n">
        <f aca="false">IF(I117=0,"cash+",IF(I116&lt;=0,0,I116/I117))</f>
        <v>0</v>
      </c>
      <c r="J118" s="42" t="n">
        <f aca="false">IF(J117=0,"cash+",IF(J116&lt;=0,0,J116/J117))</f>
        <v>0</v>
      </c>
      <c r="K118" s="42" t="n">
        <f aca="false">IF(K117=0,"cash+",IF(K116&lt;=0,0,K116/K117))</f>
        <v>0</v>
      </c>
      <c r="L118" s="42" t="n">
        <f aca="false">IF(L117=0,"cash+",IF(L116&lt;=0,0,L116/L117))</f>
        <v>0</v>
      </c>
      <c r="M118" s="42" t="n">
        <f aca="false">IF(M117=0,"cash+",IF(M116&lt;=0,0,M116/M117))</f>
        <v>0</v>
      </c>
      <c r="N118" s="42" t="n">
        <f aca="false">IF(N117=0,"cash+",IF(N116&lt;=0,0,N116/N117))</f>
        <v>0</v>
      </c>
      <c r="O118" s="42" t="n">
        <f aca="false">IF(O117=0,"cash+",IF(O116&lt;=0,0,O116/O117))</f>
        <v>0</v>
      </c>
      <c r="P118" s="42" t="n">
        <f aca="false">IF(P117=0,"cash+",IF(P116&lt;=0,0,P116/P117))</f>
        <v>0</v>
      </c>
      <c r="Q118" s="42" t="n">
        <f aca="false">IF(Q117=0,"cash+",IF(Q116&lt;=0,0,Q116/Q117))</f>
        <v>0</v>
      </c>
      <c r="R118" s="42" t="n">
        <f aca="false">IF(R117=0,"cash+",IF(R116&lt;=0,0,R116/R117))</f>
        <v>0</v>
      </c>
      <c r="S118" s="42" t="n">
        <f aca="false">IF(S117=0,"cash+",IF(S116&lt;=0,0,S116/S117))</f>
        <v>0</v>
      </c>
      <c r="T118" s="42" t="n">
        <f aca="false">IF(T117=0,"cash+",IF(T116&lt;=0,0,T116/T117))</f>
        <v>0</v>
      </c>
      <c r="U118" s="42" t="n">
        <f aca="false">IF(U117=0,"cash+",IF(U116&lt;=0,0,U116/U117))</f>
        <v>0</v>
      </c>
      <c r="V118" s="42" t="n">
        <f aca="false">IF(V117=0,"cash+",IF(V116&lt;=0,0,V116/V117))</f>
        <v>0</v>
      </c>
      <c r="W118" s="42" t="n">
        <f aca="false">IF(W117=0,"cash+",IF(W116&lt;=0,0,W116/W117))</f>
        <v>0</v>
      </c>
      <c r="X118" s="42" t="str">
        <f aca="false">IF(X117=0,"cash+",IF(X116&lt;=0,0,X116/X117))</f>
        <v>cash+</v>
      </c>
      <c r="Y118" s="42" t="n">
        <f aca="false">IF(Y117=0,"cash+",IF(Y116&lt;=0,0,Y116/Y117))</f>
        <v>0</v>
      </c>
      <c r="Z118" s="42" t="n">
        <f aca="false">IF(Z117=0,"cash+",IF(Z116&lt;=0,0,Z116/Z117))</f>
        <v>0</v>
      </c>
      <c r="AA118" s="42" t="n">
        <f aca="false">IF(AA117=0,"cash+",IF(AA116&lt;=0,0,AA116/AA117))</f>
        <v>0</v>
      </c>
      <c r="AB118" s="42" t="str">
        <f aca="false">IF(AB117=0,"cash+",IF(AB116&lt;=0,0,AB116/AB117))</f>
        <v>cash+</v>
      </c>
      <c r="AC118" s="42" t="str">
        <f aca="false">IF(AC117=0,"cash+",IF(AC116&lt;=0,0,AC116/AC117))</f>
        <v>cash+</v>
      </c>
      <c r="AD118" s="42" t="str">
        <f aca="false">IF(AD117=0,"cash+",IF(AD116&lt;=0,0,AD116/AD117))</f>
        <v>cash+</v>
      </c>
      <c r="AE118" s="42" t="str">
        <f aca="false">IF(AE117=0,"cash+",IF(AE116&lt;=0,0,AE116/AE117))</f>
        <v>cash+</v>
      </c>
      <c r="AF118" s="42" t="n">
        <f aca="false">IF(AF117=0,"cash+",IF(AF116&lt;=0,0,AF116/AF117))</f>
        <v>0</v>
      </c>
      <c r="AG118" s="42" t="str">
        <f aca="false">IF(AG117=0,"cash+",IF(AG116&lt;=0,0,AG116/AG117))</f>
        <v>cash+</v>
      </c>
      <c r="AH118" s="42" t="str">
        <f aca="false">IF(AH117=0,"cash+",IF(AH116&lt;=0,0,AH116/AH117))</f>
        <v>cash+</v>
      </c>
      <c r="AI118" s="42" t="n">
        <f aca="false">IF(AI117=0,"cash+",IF(AI116&lt;=0,0,AI116/AI117))</f>
        <v>0</v>
      </c>
      <c r="AJ118" s="42" t="str">
        <f aca="false">IF(AJ117=0,"cash+",IF(AJ116&lt;=0,0,AJ116/AJ117))</f>
        <v>cash+</v>
      </c>
      <c r="AK118" s="42" t="str">
        <f aca="false">IF(AK117=0,"cash+",IF(AK116&lt;=0,0,AK116/AK117))</f>
        <v>cash+</v>
      </c>
      <c r="AL118" s="42" t="str">
        <f aca="false">IF(AL117=0,"cash+",IF(AL116&lt;=0,0,AL116/AL117))</f>
        <v>cash+</v>
      </c>
    </row>
    <row r="119" customFormat="false" ht="1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ustomFormat="false" ht="15" hidden="false" customHeight="false" outlineLevel="0" collapsed="false">
      <c r="A120" s="5" t="s">
        <v>660</v>
      </c>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row>
    <row r="121" customFormat="false" ht="15" hidden="false" customHeight="false" outlineLevel="0" collapsed="false">
      <c r="A121" s="9" t="s">
        <v>661</v>
      </c>
      <c r="B121" s="2" t="s">
        <v>105</v>
      </c>
      <c r="C121" s="37" t="n">
        <f aca="false">C43</f>
        <v>0</v>
      </c>
      <c r="D121" s="37" t="n">
        <f aca="false">MAX(C121,D43)</f>
        <v>0</v>
      </c>
      <c r="E121" s="37" t="n">
        <f aca="false">MAX(D121,E43)</f>
        <v>0</v>
      </c>
      <c r="F121" s="37" t="n">
        <f aca="false">MAX(E121,F43)</f>
        <v>0</v>
      </c>
      <c r="G121" s="37" t="n">
        <f aca="false">MAX(F121,G43)</f>
        <v>0</v>
      </c>
      <c r="H121" s="37" t="n">
        <f aca="false">MAX(G121,H43)</f>
        <v>201.15</v>
      </c>
      <c r="I121" s="37" t="n">
        <f aca="false">MAX(H121,I43)</f>
        <v>556.4179695</v>
      </c>
      <c r="J121" s="37" t="n">
        <f aca="false">MAX(I121,J43)</f>
        <v>969.041413773635</v>
      </c>
      <c r="K121" s="37" t="n">
        <f aca="false">MAX(J121,K43)</f>
        <v>1707.34968738133</v>
      </c>
      <c r="L121" s="37" t="n">
        <f aca="false">MAX(K121,L43)</f>
        <v>2539.98504216344</v>
      </c>
      <c r="M121" s="37" t="n">
        <f aca="false">MAX(L121,M43)</f>
        <v>3465.4548664928</v>
      </c>
      <c r="N121" s="37" t="n">
        <f aca="false">MAX(M121,N43)</f>
        <v>4882.30548960662</v>
      </c>
      <c r="O121" s="37" t="n">
        <f aca="false">MAX(N121,O43)</f>
        <v>6430.69705710665</v>
      </c>
      <c r="P121" s="37" t="n">
        <f aca="false">MAX(O121,P43)</f>
        <v>8109.4142498971</v>
      </c>
      <c r="Q121" s="37" t="n">
        <f aca="false">MAX(P121,Q43)</f>
        <v>9917.27806258941</v>
      </c>
      <c r="R121" s="37" t="n">
        <f aca="false">MAX(Q121,R43)</f>
        <v>11853.1447803916</v>
      </c>
      <c r="S121" s="37" t="n">
        <f aca="false">MAX(R121,S43)</f>
        <v>13915.9049869251</v>
      </c>
      <c r="T121" s="37" t="n">
        <f aca="false">MAX(S121,T43)</f>
        <v>16104.482602006</v>
      </c>
      <c r="U121" s="37" t="n">
        <f aca="false">MAX(T121,U43)</f>
        <v>18417.8339484601</v>
      </c>
      <c r="V121" s="37" t="n">
        <f aca="false">MAX(U121,V43)</f>
        <v>20854.9468470696</v>
      </c>
      <c r="W121" s="37" t="n">
        <f aca="false">MAX(V121,W43)</f>
        <v>23414.8397387773</v>
      </c>
      <c r="X121" s="37" t="n">
        <f aca="false">MAX(W121,X43)</f>
        <v>26096.5608333036</v>
      </c>
      <c r="Y121" s="37" t="n">
        <f aca="false">MAX(X121,Y43)</f>
        <v>28899.187283358</v>
      </c>
      <c r="Z121" s="37" t="n">
        <f aca="false">MAX(Y121,Z43)</f>
        <v>31821.8243836509</v>
      </c>
      <c r="AA121" s="37" t="n">
        <f aca="false">MAX(Z121,AA43)</f>
        <v>34863.6047939393</v>
      </c>
      <c r="AB121" s="37" t="n">
        <f aca="false">MAX(AA121,AB43)</f>
        <v>38678.4177853633</v>
      </c>
      <c r="AC121" s="37" t="n">
        <f aca="false">MAX(AB121,AC43)</f>
        <v>42610.8616709523</v>
      </c>
      <c r="AD121" s="37" t="n">
        <f aca="false">MAX(AC121,AD43)</f>
        <v>46660.1524051299</v>
      </c>
      <c r="AE121" s="37" t="n">
        <f aca="false">MAX(AD121,AE43)</f>
        <v>50825.5304370179</v>
      </c>
      <c r="AF121" s="37" t="n">
        <f aca="false">MAX(AE121,AF43)</f>
        <v>55106.2600430288</v>
      </c>
      <c r="AG121" s="37" t="n">
        <f aca="false">MAX(AF121,AG43)</f>
        <v>59501.6286793716</v>
      </c>
      <c r="AH121" s="37" t="n">
        <f aca="false">MAX(AG121,AH43)</f>
        <v>64010.9463538575</v>
      </c>
      <c r="AI121" s="37" t="n">
        <f aca="false">MAX(AH121,AI43)</f>
        <v>68633.5450164113</v>
      </c>
      <c r="AJ121" s="37" t="n">
        <f aca="false">MAX(AI121,AJ43)</f>
        <v>73368.7779677161</v>
      </c>
      <c r="AK121" s="37" t="n">
        <f aca="false">MAX(AJ121,AK43)</f>
        <v>78216.0192854317</v>
      </c>
      <c r="AL121" s="37" t="n">
        <f aca="false">MAX(AK121,AL43)</f>
        <v>83174.6632674504</v>
      </c>
    </row>
    <row r="122" customFormat="false" ht="15" hidden="false" customHeight="false" outlineLevel="0" collapsed="false">
      <c r="A122" s="9" t="s">
        <v>662</v>
      </c>
      <c r="B122" s="2" t="s">
        <v>552</v>
      </c>
      <c r="C122" s="40" t="n">
        <f aca="false">IF(C112&gt;=0,1,0)</f>
        <v>0</v>
      </c>
      <c r="D122" s="40" t="n">
        <f aca="false">IF(D112&gt;=0,1,0)</f>
        <v>0</v>
      </c>
      <c r="E122" s="40" t="n">
        <f aca="false">IF(E112&gt;=0,1,0)</f>
        <v>0</v>
      </c>
      <c r="F122" s="40" t="n">
        <f aca="false">IF(F112&gt;=0,1,0)</f>
        <v>0</v>
      </c>
      <c r="G122" s="40" t="n">
        <f aca="false">IF(G112&gt;=0,1,0)</f>
        <v>0</v>
      </c>
      <c r="H122" s="40" t="n">
        <f aca="false">IF(H112&gt;=0,1,0)</f>
        <v>0</v>
      </c>
      <c r="I122" s="40" t="n">
        <f aca="false">IF(I112&gt;=0,1,0)</f>
        <v>0</v>
      </c>
      <c r="J122" s="40" t="n">
        <f aca="false">IF(J112&gt;=0,1,0)</f>
        <v>0</v>
      </c>
      <c r="K122" s="40" t="n">
        <f aca="false">IF(K112&gt;=0,1,0)</f>
        <v>0</v>
      </c>
      <c r="L122" s="40" t="n">
        <f aca="false">IF(L112&gt;=0,1,0)</f>
        <v>0</v>
      </c>
      <c r="M122" s="40" t="n">
        <f aca="false">IF(M112&gt;=0,1,0)</f>
        <v>0</v>
      </c>
      <c r="N122" s="40" t="n">
        <f aca="false">IF(N112&gt;=0,1,0)</f>
        <v>0</v>
      </c>
      <c r="O122" s="40" t="n">
        <f aca="false">IF(O112&gt;=0,1,0)</f>
        <v>0</v>
      </c>
      <c r="P122" s="40" t="n">
        <f aca="false">IF(P112&gt;=0,1,0)</f>
        <v>0</v>
      </c>
      <c r="Q122" s="40" t="n">
        <f aca="false">IF(Q112&gt;=0,1,0)</f>
        <v>0</v>
      </c>
      <c r="R122" s="40" t="n">
        <f aca="false">IF(R112&gt;=0,1,0)</f>
        <v>0</v>
      </c>
      <c r="S122" s="40" t="n">
        <f aca="false">IF(S112&gt;=0,1,0)</f>
        <v>0</v>
      </c>
      <c r="T122" s="40" t="n">
        <f aca="false">IF(T112&gt;=0,1,0)</f>
        <v>0</v>
      </c>
      <c r="U122" s="40" t="n">
        <f aca="false">IF(U112&gt;=0,1,0)</f>
        <v>0</v>
      </c>
      <c r="V122" s="40" t="n">
        <f aca="false">IF(V112&gt;=0,1,0)</f>
        <v>0</v>
      </c>
      <c r="W122" s="40" t="n">
        <f aca="false">IF(W112&gt;=0,1,0)</f>
        <v>0</v>
      </c>
      <c r="X122" s="40" t="n">
        <f aca="false">IF(X112&gt;=0,1,0)</f>
        <v>1</v>
      </c>
      <c r="Y122" s="40" t="n">
        <f aca="false">IF(Y112&gt;=0,1,0)</f>
        <v>0</v>
      </c>
      <c r="Z122" s="40" t="n">
        <f aca="false">IF(Z112&gt;=0,1,0)</f>
        <v>0</v>
      </c>
      <c r="AA122" s="40" t="n">
        <f aca="false">IF(AA112&gt;=0,1,0)</f>
        <v>0</v>
      </c>
      <c r="AB122" s="40" t="n">
        <f aca="false">IF(AB112&gt;=0,1,0)</f>
        <v>1</v>
      </c>
      <c r="AC122" s="40" t="n">
        <f aca="false">IF(AC112&gt;=0,1,0)</f>
        <v>1</v>
      </c>
      <c r="AD122" s="40" t="n">
        <f aca="false">IF(AD112&gt;=0,1,0)</f>
        <v>1</v>
      </c>
      <c r="AE122" s="40" t="n">
        <f aca="false">IF(AE112&gt;=0,1,0)</f>
        <v>1</v>
      </c>
      <c r="AF122" s="40" t="n">
        <f aca="false">IF(AF112&gt;=0,1,0)</f>
        <v>0</v>
      </c>
      <c r="AG122" s="40" t="n">
        <f aca="false">IF(AG112&gt;=0,1,0)</f>
        <v>1</v>
      </c>
      <c r="AH122" s="40" t="n">
        <f aca="false">IF(AH112&gt;=0,1,0)</f>
        <v>1</v>
      </c>
      <c r="AI122" s="40" t="n">
        <f aca="false">IF(AI112&gt;=0,1,0)</f>
        <v>0</v>
      </c>
      <c r="AJ122" s="40" t="n">
        <f aca="false">IF(AJ112&gt;=0,1,0)</f>
        <v>1</v>
      </c>
      <c r="AK122" s="40" t="n">
        <f aca="false">IF(AK112&gt;=0,1,0)</f>
        <v>1</v>
      </c>
      <c r="AL122" s="40" t="n">
        <f aca="false">IF(AL112&gt;=0,1,0)</f>
        <v>1</v>
      </c>
    </row>
    <row r="123" customFormat="false" ht="15" hidden="false" customHeight="false" outlineLevel="0" collapsed="false">
      <c r="A123" s="2" t="s">
        <v>663</v>
      </c>
      <c r="B123" s="2" t="s">
        <v>552</v>
      </c>
      <c r="C123" s="40" t="n">
        <f aca="false">IF(AND(C122=1,D123=1),1,0)</f>
        <v>0</v>
      </c>
      <c r="D123" s="40" t="n">
        <f aca="false">IF(AND(D122=1,E123=1),1,0)</f>
        <v>0</v>
      </c>
      <c r="E123" s="40" t="n">
        <f aca="false">IF(AND(E122=1,F123=1),1,0)</f>
        <v>0</v>
      </c>
      <c r="F123" s="40" t="n">
        <f aca="false">IF(AND(F122=1,G123=1),1,0)</f>
        <v>0</v>
      </c>
      <c r="G123" s="40" t="n">
        <f aca="false">IF(AND(G122=1,H123=1),1,0)</f>
        <v>0</v>
      </c>
      <c r="H123" s="40" t="n">
        <f aca="false">IF(AND(H122=1,I123=1),1,0)</f>
        <v>0</v>
      </c>
      <c r="I123" s="40" t="n">
        <f aca="false">IF(AND(I122=1,J123=1),1,0)</f>
        <v>0</v>
      </c>
      <c r="J123" s="40" t="n">
        <f aca="false">IF(AND(J122=1,K123=1),1,0)</f>
        <v>0</v>
      </c>
      <c r="K123" s="40" t="n">
        <f aca="false">IF(AND(K122=1,L123=1),1,0)</f>
        <v>0</v>
      </c>
      <c r="L123" s="40" t="n">
        <f aca="false">IF(AND(L122=1,M123=1),1,0)</f>
        <v>0</v>
      </c>
      <c r="M123" s="40" t="n">
        <f aca="false">IF(AND(M122=1,N123=1),1,0)</f>
        <v>0</v>
      </c>
      <c r="N123" s="40" t="n">
        <f aca="false">IF(AND(N122=1,O123=1),1,0)</f>
        <v>0</v>
      </c>
      <c r="O123" s="40" t="n">
        <f aca="false">IF(AND(O122=1,P123=1),1,0)</f>
        <v>0</v>
      </c>
      <c r="P123" s="40" t="n">
        <f aca="false">IF(AND(P122=1,Q123=1),1,0)</f>
        <v>0</v>
      </c>
      <c r="Q123" s="40" t="n">
        <f aca="false">IF(AND(Q122=1,R123=1),1,0)</f>
        <v>0</v>
      </c>
      <c r="R123" s="40" t="n">
        <f aca="false">IF(AND(R122=1,S123=1),1,0)</f>
        <v>0</v>
      </c>
      <c r="S123" s="40" t="n">
        <f aca="false">IF(AND(S122=1,T123=1),1,0)</f>
        <v>0</v>
      </c>
      <c r="T123" s="40" t="n">
        <f aca="false">IF(AND(T122=1,U123=1),1,0)</f>
        <v>0</v>
      </c>
      <c r="U123" s="40" t="n">
        <f aca="false">IF(AND(U122=1,V123=1),1,0)</f>
        <v>0</v>
      </c>
      <c r="V123" s="40" t="n">
        <f aca="false">IF(AND(V122=1,W123=1),1,0)</f>
        <v>0</v>
      </c>
      <c r="W123" s="40" t="n">
        <f aca="false">IF(AND(W122=1,X123=1),1,0)</f>
        <v>0</v>
      </c>
      <c r="X123" s="40" t="n">
        <f aca="false">IF(AND(X122=1,Y123=1),1,0)</f>
        <v>0</v>
      </c>
      <c r="Y123" s="40" t="n">
        <f aca="false">IF(AND(Y122=1,Z123=1),1,0)</f>
        <v>0</v>
      </c>
      <c r="Z123" s="40" t="n">
        <f aca="false">IF(AND(Z122=1,AA123=1),1,0)</f>
        <v>0</v>
      </c>
      <c r="AA123" s="40" t="n">
        <f aca="false">IF(AND(AA122=1,AB123=1),1,0)</f>
        <v>0</v>
      </c>
      <c r="AB123" s="40" t="n">
        <f aca="false">IF(AND(AB122=1,AC123=1),1,0)</f>
        <v>0</v>
      </c>
      <c r="AC123" s="40" t="n">
        <f aca="false">IF(AND(AC122=1,AD123=1),1,0)</f>
        <v>0</v>
      </c>
      <c r="AD123" s="40" t="n">
        <f aca="false">IF(AND(AD122=1,AE123=1),1,0)</f>
        <v>0</v>
      </c>
      <c r="AE123" s="40" t="n">
        <f aca="false">IF(AND(AE122=1,AF123=1),1,0)</f>
        <v>0</v>
      </c>
      <c r="AF123" s="40" t="n">
        <f aca="false">IF(AND(AF122=1,AG123=1),1,0)</f>
        <v>0</v>
      </c>
      <c r="AG123" s="40" t="n">
        <f aca="false">IF(AND(AG122=1,AH123=1),1,0)</f>
        <v>0</v>
      </c>
      <c r="AH123" s="40" t="n">
        <f aca="false">IF(AND(AH122=1,AI123=1),1,0)</f>
        <v>0</v>
      </c>
      <c r="AI123" s="40" t="n">
        <f aca="false">IF(AND(AI122=1,AJ123=1),1,0)</f>
        <v>0</v>
      </c>
      <c r="AJ123" s="40" t="n">
        <f aca="false">IF(AND(AJ122=1,AK123=1),1,0)</f>
        <v>1</v>
      </c>
      <c r="AK123" s="40" t="n">
        <f aca="false">IF(AND(AK122=1,AL123=1),1,0)</f>
        <v>1</v>
      </c>
      <c r="AL123" s="40" t="n">
        <f aca="false">AL122</f>
        <v>1</v>
      </c>
    </row>
    <row r="124" customFormat="false" ht="15" hidden="false" customHeight="false" outlineLevel="0" collapsed="false">
      <c r="A124" s="9" t="s">
        <v>664</v>
      </c>
      <c r="B124" s="2" t="s">
        <v>146</v>
      </c>
      <c r="C124" s="42" t="n">
        <f aca="false">(C30*Pricing!$B$6*(Assumptions!$D$153+Assumptions!$D$154)*CHOOSE(Assumptions!$D$121,Pricing!$B$23,Pricing!$B$33,Pricing!$B$43)+C31*Pricing!$C$6*(Assumptions!$D$153+Assumptions!$D$154)*CHOOSE(Assumptions!$D$121,Pricing!$C$23,Pricing!$C$33,Pricing!$C$43)+C32*Pricing!$D$6*(Assumptions!$D$153+Assumptions!$D$154)*CHOOSE(Assumptions!$D$121,Pricing!$D$23,Pricing!$D$33,Pricing!$D$43)+C33*Pricing!$E$6*(Assumptions!$D$153+Assumptions!$D$154)*CHOOSE(Assumptions!$D$121,Pricing!$E$23,Pricing!$E$33,Pricing!$E$43))/60+(C22*Assumptions!$D$105+C23*Assumptions!$D$106+C24*Assumptions!$D$107+C25*Assumptions!$D$108)</f>
        <v>0</v>
      </c>
      <c r="D124" s="42" t="n">
        <f aca="false">(D30*Pricing!$B$6*(Assumptions!$D$153+Assumptions!$D$154)*CHOOSE(Assumptions!$D$121,Pricing!$B$23,Pricing!$B$33,Pricing!$B$43)+D31*Pricing!$C$6*(Assumptions!$D$153+Assumptions!$D$154)*CHOOSE(Assumptions!$D$121,Pricing!$C$23,Pricing!$C$33,Pricing!$C$43)+D32*Pricing!$D$6*(Assumptions!$D$153+Assumptions!$D$154)*CHOOSE(Assumptions!$D$121,Pricing!$D$23,Pricing!$D$33,Pricing!$D$43)+D33*Pricing!$E$6*(Assumptions!$D$153+Assumptions!$D$154)*CHOOSE(Assumptions!$D$121,Pricing!$E$23,Pricing!$E$33,Pricing!$E$43))/60+(D22*Assumptions!$D$105+D23*Assumptions!$D$106+D24*Assumptions!$D$107+D25*Assumptions!$D$108)</f>
        <v>0</v>
      </c>
      <c r="E124" s="42" t="n">
        <f aca="false">(E30*Pricing!$B$6*(Assumptions!$D$153+Assumptions!$D$154)*CHOOSE(Assumptions!$D$121,Pricing!$B$23,Pricing!$B$33,Pricing!$B$43)+E31*Pricing!$C$6*(Assumptions!$D$153+Assumptions!$D$154)*CHOOSE(Assumptions!$D$121,Pricing!$C$23,Pricing!$C$33,Pricing!$C$43)+E32*Pricing!$D$6*(Assumptions!$D$153+Assumptions!$D$154)*CHOOSE(Assumptions!$D$121,Pricing!$D$23,Pricing!$D$33,Pricing!$D$43)+E33*Pricing!$E$6*(Assumptions!$D$153+Assumptions!$D$154)*CHOOSE(Assumptions!$D$121,Pricing!$E$23,Pricing!$E$33,Pricing!$E$43))/60+(E22*Assumptions!$D$105+E23*Assumptions!$D$106+E24*Assumptions!$D$107+E25*Assumptions!$D$108)</f>
        <v>0</v>
      </c>
      <c r="F124" s="42" t="n">
        <f aca="false">(F30*Pricing!$B$6*(Assumptions!$D$153+Assumptions!$D$154)*CHOOSE(Assumptions!$D$121,Pricing!$B$23,Pricing!$B$33,Pricing!$B$43)+F31*Pricing!$C$6*(Assumptions!$D$153+Assumptions!$D$154)*CHOOSE(Assumptions!$D$121,Pricing!$C$23,Pricing!$C$33,Pricing!$C$43)+F32*Pricing!$D$6*(Assumptions!$D$153+Assumptions!$D$154)*CHOOSE(Assumptions!$D$121,Pricing!$D$23,Pricing!$D$33,Pricing!$D$43)+F33*Pricing!$E$6*(Assumptions!$D$153+Assumptions!$D$154)*CHOOSE(Assumptions!$D$121,Pricing!$E$23,Pricing!$E$33,Pricing!$E$43))/60+(F22*Assumptions!$D$105+F23*Assumptions!$D$106+F24*Assumptions!$D$107+F25*Assumptions!$D$108)</f>
        <v>0</v>
      </c>
      <c r="G124" s="42" t="n">
        <f aca="false">(G30*Pricing!$B$6*(Assumptions!$D$153+Assumptions!$D$154)*CHOOSE(Assumptions!$D$121,Pricing!$B$23,Pricing!$B$33,Pricing!$B$43)+G31*Pricing!$C$6*(Assumptions!$D$153+Assumptions!$D$154)*CHOOSE(Assumptions!$D$121,Pricing!$C$23,Pricing!$C$33,Pricing!$C$43)+G32*Pricing!$D$6*(Assumptions!$D$153+Assumptions!$D$154)*CHOOSE(Assumptions!$D$121,Pricing!$D$23,Pricing!$D$33,Pricing!$D$43)+G33*Pricing!$E$6*(Assumptions!$D$153+Assumptions!$D$154)*CHOOSE(Assumptions!$D$121,Pricing!$E$23,Pricing!$E$33,Pricing!$E$43))/60+(G22*Assumptions!$D$105+G23*Assumptions!$D$106+G24*Assumptions!$D$107+G25*Assumptions!$D$108)</f>
        <v>0</v>
      </c>
      <c r="H124" s="42" t="n">
        <f aca="false">(H30*Pricing!$B$6*(Assumptions!$D$153+Assumptions!$D$154)*CHOOSE(Assumptions!$D$121,Pricing!$B$23,Pricing!$B$33,Pricing!$B$43)+H31*Pricing!$C$6*(Assumptions!$D$153+Assumptions!$D$154)*CHOOSE(Assumptions!$D$121,Pricing!$C$23,Pricing!$C$33,Pricing!$C$43)+H32*Pricing!$D$6*(Assumptions!$D$153+Assumptions!$D$154)*CHOOSE(Assumptions!$D$121,Pricing!$D$23,Pricing!$D$33,Pricing!$D$43)+H33*Pricing!$E$6*(Assumptions!$D$153+Assumptions!$D$154)*CHOOSE(Assumptions!$D$121,Pricing!$E$23,Pricing!$E$33,Pricing!$E$43))/60+(H22*Assumptions!$D$105+H23*Assumptions!$D$106+H24*Assumptions!$D$107+H25*Assumptions!$D$108)</f>
        <v>2.59779411764706</v>
      </c>
      <c r="I124" s="42" t="n">
        <f aca="false">(I30*Pricing!$B$6*(Assumptions!$D$153+Assumptions!$D$154)*CHOOSE(Assumptions!$D$121,Pricing!$B$23,Pricing!$B$33,Pricing!$B$43)+I31*Pricing!$C$6*(Assumptions!$D$153+Assumptions!$D$154)*CHOOSE(Assumptions!$D$121,Pricing!$C$23,Pricing!$C$33,Pricing!$C$43)+I32*Pricing!$D$6*(Assumptions!$D$153+Assumptions!$D$154)*CHOOSE(Assumptions!$D$121,Pricing!$D$23,Pricing!$D$33,Pricing!$D$43)+I33*Pricing!$E$6*(Assumptions!$D$153+Assumptions!$D$154)*CHOOSE(Assumptions!$D$121,Pricing!$E$23,Pricing!$E$33,Pricing!$E$43))/60+(I22*Assumptions!$D$105+I23*Assumptions!$D$106+I24*Assumptions!$D$107+I25*Assumptions!$D$108)</f>
        <v>7.04058700980392</v>
      </c>
      <c r="J124" s="42" t="n">
        <f aca="false">(J30*Pricing!$B$6*(Assumptions!$D$153+Assumptions!$D$154)*CHOOSE(Assumptions!$D$121,Pricing!$B$23,Pricing!$B$33,Pricing!$B$43)+J31*Pricing!$C$6*(Assumptions!$D$153+Assumptions!$D$154)*CHOOSE(Assumptions!$D$121,Pricing!$C$23,Pricing!$C$33,Pricing!$C$43)+J32*Pricing!$D$6*(Assumptions!$D$153+Assumptions!$D$154)*CHOOSE(Assumptions!$D$121,Pricing!$D$23,Pricing!$D$33,Pricing!$D$43)+J33*Pricing!$E$6*(Assumptions!$D$153+Assumptions!$D$154)*CHOOSE(Assumptions!$D$121,Pricing!$E$23,Pricing!$E$33,Pricing!$E$43))/60+(J22*Assumptions!$D$105+J23*Assumptions!$D$106+J24*Assumptions!$D$107+J25*Assumptions!$D$108)</f>
        <v>11.3787781311275</v>
      </c>
      <c r="K124" s="42" t="n">
        <f aca="false">(K30*Pricing!$B$6*(Assumptions!$D$153+Assumptions!$D$154)*CHOOSE(Assumptions!$D$121,Pricing!$B$23,Pricing!$B$33,Pricing!$B$43)+K31*Pricing!$C$6*(Assumptions!$D$153+Assumptions!$D$154)*CHOOSE(Assumptions!$D$121,Pricing!$C$23,Pricing!$C$33,Pricing!$C$43)+K32*Pricing!$D$6*(Assumptions!$D$153+Assumptions!$D$154)*CHOOSE(Assumptions!$D$121,Pricing!$D$23,Pricing!$D$33,Pricing!$D$43)+K33*Pricing!$E$6*(Assumptions!$D$153+Assumptions!$D$154)*CHOOSE(Assumptions!$D$121,Pricing!$E$23,Pricing!$E$33,Pricing!$E$43))/60+(K22*Assumptions!$D$105+K23*Assumptions!$D$106+K24*Assumptions!$D$107+K25*Assumptions!$D$108)</f>
        <v>19.0381739651654</v>
      </c>
      <c r="L124" s="42" t="n">
        <f aca="false">(L30*Pricing!$B$6*(Assumptions!$D$153+Assumptions!$D$154)*CHOOSE(Assumptions!$D$121,Pricing!$B$23,Pricing!$B$33,Pricing!$B$43)+L31*Pricing!$C$6*(Assumptions!$D$153+Assumptions!$D$154)*CHOOSE(Assumptions!$D$121,Pricing!$C$23,Pricing!$C$33,Pricing!$C$43)+L32*Pricing!$D$6*(Assumptions!$D$153+Assumptions!$D$154)*CHOOSE(Assumptions!$D$121,Pricing!$D$23,Pricing!$D$33,Pricing!$D$43)+L33*Pricing!$E$6*(Assumptions!$D$153+Assumptions!$D$154)*CHOOSE(Assumptions!$D$121,Pricing!$E$23,Pricing!$E$33,Pricing!$E$43))/60+(L22*Assumptions!$D$105+L23*Assumptions!$D$106+L24*Assumptions!$D$107+L25*Assumptions!$D$108)</f>
        <v>26.026476044767</v>
      </c>
      <c r="M124" s="42" t="n">
        <f aca="false">(M30*Pricing!$B$6*(Assumptions!$D$153+Assumptions!$D$154)*CHOOSE(Assumptions!$D$121,Pricing!$B$23,Pricing!$B$33,Pricing!$B$43)+M31*Pricing!$C$6*(Assumptions!$D$153+Assumptions!$D$154)*CHOOSE(Assumptions!$D$121,Pricing!$C$23,Pricing!$C$33,Pricing!$C$43)+M32*Pricing!$D$6*(Assumptions!$D$153+Assumptions!$D$154)*CHOOSE(Assumptions!$D$121,Pricing!$D$23,Pricing!$D$33,Pricing!$D$43)+M33*Pricing!$E$6*(Assumptions!$D$153+Assumptions!$D$154)*CHOOSE(Assumptions!$D$121,Pricing!$E$23,Pricing!$E$33,Pricing!$E$43))/60+(M22*Assumptions!$D$105+M23*Assumptions!$D$106+M24*Assumptions!$D$107+M25*Assumptions!$D$108)</f>
        <v>33.6867576880592</v>
      </c>
      <c r="N124" s="42" t="n">
        <f aca="false">(N30*Pricing!$B$6*(Assumptions!$D$153+Assumptions!$D$154)*CHOOSE(Assumptions!$D$121,Pricing!$B$23,Pricing!$B$33,Pricing!$B$43)+N31*Pricing!$C$6*(Assumptions!$D$153+Assumptions!$D$154)*CHOOSE(Assumptions!$D$121,Pricing!$C$23,Pricing!$C$33,Pricing!$C$43)+N32*Pricing!$D$6*(Assumptions!$D$153+Assumptions!$D$154)*CHOOSE(Assumptions!$D$121,Pricing!$D$23,Pricing!$D$33,Pricing!$D$43)+N33*Pricing!$E$6*(Assumptions!$D$153+Assumptions!$D$154)*CHOOSE(Assumptions!$D$121,Pricing!$E$23,Pricing!$E$33,Pricing!$E$43))/60+(N22*Assumptions!$D$105+N23*Assumptions!$D$106+N24*Assumptions!$D$107+N25*Assumptions!$D$108)</f>
        <v>46.1955553134697</v>
      </c>
      <c r="O124" s="42" t="n">
        <f aca="false">(O30*Pricing!$B$6*(Assumptions!$D$153+Assumptions!$D$154)*CHOOSE(Assumptions!$D$121,Pricing!$B$23,Pricing!$B$33,Pricing!$B$43)+O31*Pricing!$C$6*(Assumptions!$D$153+Assumptions!$D$154)*CHOOSE(Assumptions!$D$121,Pricing!$C$23,Pricing!$C$33,Pricing!$C$43)+O32*Pricing!$D$6*(Assumptions!$D$153+Assumptions!$D$154)*CHOOSE(Assumptions!$D$121,Pricing!$D$23,Pricing!$D$33,Pricing!$D$43)+O33*Pricing!$E$6*(Assumptions!$D$153+Assumptions!$D$154)*CHOOSE(Assumptions!$D$121,Pricing!$E$23,Pricing!$E$33,Pricing!$E$43))/60+(O22*Assumptions!$D$105+O23*Assumptions!$D$106+O24*Assumptions!$D$107+O25*Assumptions!$D$108)</f>
        <v>57.3524303263372</v>
      </c>
      <c r="P124" s="42" t="n">
        <f aca="false">(P30*Pricing!$B$6*(Assumptions!$D$153+Assumptions!$D$154)*CHOOSE(Assumptions!$D$121,Pricing!$B$23,Pricing!$B$33,Pricing!$B$43)+P31*Pricing!$C$6*(Assumptions!$D$153+Assumptions!$D$154)*CHOOSE(Assumptions!$D$121,Pricing!$C$23,Pricing!$C$33,Pricing!$C$43)+P32*Pricing!$D$6*(Assumptions!$D$153+Assumptions!$D$154)*CHOOSE(Assumptions!$D$121,Pricing!$D$23,Pricing!$D$33,Pricing!$D$43)+P33*Pricing!$E$6*(Assumptions!$D$153+Assumptions!$D$154)*CHOOSE(Assumptions!$D$121,Pricing!$E$23,Pricing!$E$33,Pricing!$E$43))/60+(P22*Assumptions!$D$105+P23*Assumptions!$D$106+P24*Assumptions!$D$107+P25*Assumptions!$D$108)</f>
        <v>69.3008269383666</v>
      </c>
      <c r="Q124" s="42" t="n">
        <f aca="false">(Q30*Pricing!$B$6*(Assumptions!$D$153+Assumptions!$D$154)*CHOOSE(Assumptions!$D$121,Pricing!$B$23,Pricing!$B$33,Pricing!$B$43)+Q31*Pricing!$C$6*(Assumptions!$D$153+Assumptions!$D$154)*CHOOSE(Assumptions!$D$121,Pricing!$C$23,Pricing!$C$33,Pricing!$C$43)+Q32*Pricing!$D$6*(Assumptions!$D$153+Assumptions!$D$154)*CHOOSE(Assumptions!$D$121,Pricing!$D$23,Pricing!$D$33,Pricing!$D$43)+Q33*Pricing!$E$6*(Assumptions!$D$153+Assumptions!$D$154)*CHOOSE(Assumptions!$D$121,Pricing!$E$23,Pricing!$E$33,Pricing!$E$43))/60+(Q22*Assumptions!$D$105+Q23*Assumptions!$D$106+Q24*Assumptions!$D$107+Q25*Assumptions!$D$108)</f>
        <v>82.024628720781</v>
      </c>
      <c r="R124" s="42" t="n">
        <f aca="false">(R30*Pricing!$B$6*(Assumptions!$D$153+Assumptions!$D$154)*CHOOSE(Assumptions!$D$121,Pricing!$B$23,Pricing!$B$33,Pricing!$B$43)+R31*Pricing!$C$6*(Assumptions!$D$153+Assumptions!$D$154)*CHOOSE(Assumptions!$D$121,Pricing!$C$23,Pricing!$C$33,Pricing!$C$43)+R32*Pricing!$D$6*(Assumptions!$D$153+Assumptions!$D$154)*CHOOSE(Assumptions!$D$121,Pricing!$D$23,Pricing!$D$33,Pricing!$D$43)+R33*Pricing!$E$6*(Assumptions!$D$153+Assumptions!$D$154)*CHOOSE(Assumptions!$D$121,Pricing!$E$23,Pricing!$E$33,Pricing!$E$43))/60+(R22*Assumptions!$D$105+R23*Assumptions!$D$106+R24*Assumptions!$D$107+R25*Assumptions!$D$108)</f>
        <v>95.5081455697303</v>
      </c>
      <c r="S124" s="42" t="n">
        <f aca="false">(S30*Pricing!$B$6*(Assumptions!$D$153+Assumptions!$D$154)*CHOOSE(Assumptions!$D$121,Pricing!$B$23,Pricing!$B$33,Pricing!$B$43)+S31*Pricing!$C$6*(Assumptions!$D$153+Assumptions!$D$154)*CHOOSE(Assumptions!$D$121,Pricing!$C$23,Pricing!$C$33,Pricing!$C$43)+S32*Pricing!$D$6*(Assumptions!$D$153+Assumptions!$D$154)*CHOOSE(Assumptions!$D$121,Pricing!$D$23,Pricing!$D$33,Pricing!$D$43)+S33*Pricing!$E$6*(Assumptions!$D$153+Assumptions!$D$154)*CHOOSE(Assumptions!$D$121,Pricing!$E$23,Pricing!$E$33,Pricing!$E$43))/60+(S22*Assumptions!$D$105+S23*Assumptions!$D$106+S24*Assumptions!$D$107+S25*Assumptions!$D$108)</f>
        <v>109.736101078701</v>
      </c>
      <c r="T124" s="42" t="n">
        <f aca="false">(T30*Pricing!$B$6*(Assumptions!$D$153+Assumptions!$D$154)*CHOOSE(Assumptions!$D$121,Pricing!$B$23,Pricing!$B$33,Pricing!$B$43)+T31*Pricing!$C$6*(Assumptions!$D$153+Assumptions!$D$154)*CHOOSE(Assumptions!$D$121,Pricing!$C$23,Pricing!$C$33,Pricing!$C$43)+T32*Pricing!$D$6*(Assumptions!$D$153+Assumptions!$D$154)*CHOOSE(Assumptions!$D$121,Pricing!$D$23,Pricing!$D$33,Pricing!$D$43)+T33*Pricing!$E$6*(Assumptions!$D$153+Assumptions!$D$154)*CHOOSE(Assumptions!$D$121,Pricing!$E$23,Pricing!$E$33,Pricing!$E$43))/60+(T22*Assumptions!$D$105+T23*Assumptions!$D$106+T24*Assumptions!$D$107+T25*Assumptions!$D$108)</f>
        <v>124.693620304828</v>
      </c>
      <c r="U124" s="42" t="n">
        <f aca="false">(U30*Pricing!$B$6*(Assumptions!$D$153+Assumptions!$D$154)*CHOOSE(Assumptions!$D$121,Pricing!$B$23,Pricing!$B$33,Pricing!$B$43)+U31*Pricing!$C$6*(Assumptions!$D$153+Assumptions!$D$154)*CHOOSE(Assumptions!$D$121,Pricing!$C$23,Pricing!$C$33,Pricing!$C$43)+U32*Pricing!$D$6*(Assumptions!$D$153+Assumptions!$D$154)*CHOOSE(Assumptions!$D$121,Pricing!$D$23,Pricing!$D$33,Pricing!$D$43)+U33*Pricing!$E$6*(Assumptions!$D$153+Assumptions!$D$154)*CHOOSE(Assumptions!$D$121,Pricing!$E$23,Pricing!$E$33,Pricing!$E$43))/60+(U22*Assumptions!$D$105+U23*Assumptions!$D$106+U24*Assumptions!$D$107+U25*Assumptions!$D$108)</f>
        <v>140.366217916453</v>
      </c>
      <c r="V124" s="42" t="n">
        <f aca="false">(V30*Pricing!$B$6*(Assumptions!$D$153+Assumptions!$D$154)*CHOOSE(Assumptions!$D$121,Pricing!$B$23,Pricing!$B$33,Pricing!$B$43)+V31*Pricing!$C$6*(Assumptions!$D$153+Assumptions!$D$154)*CHOOSE(Assumptions!$D$121,Pricing!$C$23,Pricing!$C$33,Pricing!$C$43)+V32*Pricing!$D$6*(Assumptions!$D$153+Assumptions!$D$154)*CHOOSE(Assumptions!$D$121,Pricing!$D$23,Pricing!$D$33,Pricing!$D$43)+V33*Pricing!$E$6*(Assumptions!$D$153+Assumptions!$D$154)*CHOOSE(Assumptions!$D$121,Pricing!$E$23,Pricing!$E$33,Pricing!$E$43))/60+(V22*Assumptions!$D$105+V23*Assumptions!$D$106+V24*Assumptions!$D$107+V25*Assumptions!$D$108)</f>
        <v>156.73978670967</v>
      </c>
      <c r="W124" s="42" t="n">
        <f aca="false">(W30*Pricing!$B$6*(Assumptions!$D$153+Assumptions!$D$154)*CHOOSE(Assumptions!$D$121,Pricing!$B$23,Pricing!$B$33,Pricing!$B$43)+W31*Pricing!$C$6*(Assumptions!$D$153+Assumptions!$D$154)*CHOOSE(Assumptions!$D$121,Pricing!$C$23,Pricing!$C$33,Pricing!$C$43)+W32*Pricing!$D$6*(Assumptions!$D$153+Assumptions!$D$154)*CHOOSE(Assumptions!$D$121,Pricing!$D$23,Pricing!$D$33,Pricing!$D$43)+W33*Pricing!$E$6*(Assumptions!$D$153+Assumptions!$D$154)*CHOOSE(Assumptions!$D$121,Pricing!$E$23,Pricing!$E$33,Pricing!$E$43))/60+(W22*Assumptions!$D$105+W23*Assumptions!$D$106+W24*Assumptions!$D$107+W25*Assumptions!$D$108)</f>
        <v>173.800586482017</v>
      </c>
      <c r="X124" s="42" t="n">
        <f aca="false">(X30*Pricing!$B$6*(Assumptions!$D$153+Assumptions!$D$154)*CHOOSE(Assumptions!$D$121,Pricing!$B$23,Pricing!$B$33,Pricing!$B$43)+X31*Pricing!$C$6*(Assumptions!$D$153+Assumptions!$D$154)*CHOOSE(Assumptions!$D$121,Pricing!$C$23,Pricing!$C$33,Pricing!$C$43)+X32*Pricing!$D$6*(Assumptions!$D$153+Assumptions!$D$154)*CHOOSE(Assumptions!$D$121,Pricing!$D$23,Pricing!$D$33,Pricing!$D$43)+X33*Pricing!$E$6*(Assumptions!$D$153+Assumptions!$D$154)*CHOOSE(Assumptions!$D$121,Pricing!$E$23,Pricing!$E$33,Pricing!$E$43))/60+(X22*Assumptions!$D$105+X23*Assumptions!$D$106+X24*Assumptions!$D$107+X25*Assumptions!$D$108)</f>
        <v>191.535233251856</v>
      </c>
      <c r="Y124" s="42" t="n">
        <f aca="false">(Y30*Pricing!$B$6*(Assumptions!$D$153+Assumptions!$D$154)*CHOOSE(Assumptions!$D$121,Pricing!$B$23,Pricing!$B$33,Pricing!$B$43)+Y31*Pricing!$C$6*(Assumptions!$D$153+Assumptions!$D$154)*CHOOSE(Assumptions!$D$121,Pricing!$C$23,Pricing!$C$33,Pricing!$C$43)+Y32*Pricing!$D$6*(Assumptions!$D$153+Assumptions!$D$154)*CHOOSE(Assumptions!$D$121,Pricing!$D$23,Pricing!$D$33,Pricing!$D$43)+Y33*Pricing!$E$6*(Assumptions!$D$153+Assumptions!$D$154)*CHOOSE(Assumptions!$D$121,Pricing!$E$23,Pricing!$E$33,Pricing!$E$43))/60+(Y22*Assumptions!$D$105+Y23*Assumptions!$D$106+Y24*Assumptions!$D$107+Y25*Assumptions!$D$108)</f>
        <v>209.930688812355</v>
      </c>
      <c r="Z124" s="42" t="n">
        <f aca="false">(Z30*Pricing!$B$6*(Assumptions!$D$153+Assumptions!$D$154)*CHOOSE(Assumptions!$D$121,Pricing!$B$23,Pricing!$B$33,Pricing!$B$43)+Z31*Pricing!$C$6*(Assumptions!$D$153+Assumptions!$D$154)*CHOOSE(Assumptions!$D$121,Pricing!$C$23,Pricing!$C$33,Pricing!$C$43)+Z32*Pricing!$D$6*(Assumptions!$D$153+Assumptions!$D$154)*CHOOSE(Assumptions!$D$121,Pricing!$D$23,Pricing!$D$33,Pricing!$D$43)+Z33*Pricing!$E$6*(Assumptions!$D$153+Assumptions!$D$154)*CHOOSE(Assumptions!$D$121,Pricing!$E$23,Pricing!$E$33,Pricing!$E$43))/60+(Z22*Assumptions!$D$105+Z23*Assumptions!$D$106+Z24*Assumptions!$D$107+Z25*Assumptions!$D$108)</f>
        <v>228.974250609359</v>
      </c>
      <c r="AA124" s="42" t="n">
        <f aca="false">(AA30*Pricing!$B$6*(Assumptions!$D$153+Assumptions!$D$154)*CHOOSE(Assumptions!$D$121,Pricing!$B$23,Pricing!$B$33,Pricing!$B$43)+AA31*Pricing!$C$6*(Assumptions!$D$153+Assumptions!$D$154)*CHOOSE(Assumptions!$D$121,Pricing!$C$23,Pricing!$C$33,Pricing!$C$43)+AA32*Pricing!$D$6*(Assumptions!$D$153+Assumptions!$D$154)*CHOOSE(Assumptions!$D$121,Pricing!$D$23,Pricing!$D$33,Pricing!$D$43)+AA33*Pricing!$E$6*(Assumptions!$D$153+Assumptions!$D$154)*CHOOSE(Assumptions!$D$121,Pricing!$E$23,Pricing!$E$33,Pricing!$E$43))/60+(AA22*Assumptions!$D$105+AA23*Assumptions!$D$106+AA24*Assumptions!$D$107+AA25*Assumptions!$D$108)</f>
        <v>248.653541932778</v>
      </c>
      <c r="AB124" s="42" t="n">
        <f aca="false">(AB30*Pricing!$B$6*(Assumptions!$D$153+Assumptions!$D$154)*CHOOSE(Assumptions!$D$121,Pricing!$B$23,Pricing!$B$33,Pricing!$B$43)+AB31*Pricing!$C$6*(Assumptions!$D$153+Assumptions!$D$154)*CHOOSE(Assumptions!$D$121,Pricing!$C$23,Pricing!$C$33,Pricing!$C$43)+AB32*Pricing!$D$6*(Assumptions!$D$153+Assumptions!$D$154)*CHOOSE(Assumptions!$D$121,Pricing!$D$23,Pricing!$D$33,Pricing!$D$43)+AB33*Pricing!$E$6*(Assumptions!$D$153+Assumptions!$D$154)*CHOOSE(Assumptions!$D$121,Pricing!$E$23,Pricing!$E$33,Pricing!$E$43))/60+(AB22*Assumptions!$D$105+AB23*Assumptions!$D$106+AB24*Assumptions!$D$107+AB25*Assumptions!$D$108)</f>
        <v>275.750178882045</v>
      </c>
      <c r="AC124" s="42" t="n">
        <f aca="false">(AC30*Pricing!$B$6*(Assumptions!$D$153+Assumptions!$D$154)*CHOOSE(Assumptions!$D$121,Pricing!$B$23,Pricing!$B$33,Pricing!$B$43)+AC31*Pricing!$C$6*(Assumptions!$D$153+Assumptions!$D$154)*CHOOSE(Assumptions!$D$121,Pricing!$C$23,Pricing!$C$33,Pricing!$C$43)+AC32*Pricing!$D$6*(Assumptions!$D$153+Assumptions!$D$154)*CHOOSE(Assumptions!$D$121,Pricing!$D$23,Pricing!$D$33,Pricing!$D$43)+AC33*Pricing!$E$6*(Assumptions!$D$153+Assumptions!$D$154)*CHOOSE(Assumptions!$D$121,Pricing!$E$23,Pricing!$E$33,Pricing!$E$43))/60+(AC22*Assumptions!$D$105+AC23*Assumptions!$D$106+AC24*Assumptions!$D$107+AC25*Assumptions!$D$108)</f>
        <v>299.5342774489</v>
      </c>
      <c r="AD124" s="42" t="n">
        <f aca="false">(AD30*Pricing!$B$6*(Assumptions!$D$153+Assumptions!$D$154)*CHOOSE(Assumptions!$D$121,Pricing!$B$23,Pricing!$B$33,Pricing!$B$43)+AD31*Pricing!$C$6*(Assumptions!$D$153+Assumptions!$D$154)*CHOOSE(Assumptions!$D$121,Pricing!$C$23,Pricing!$C$33,Pricing!$C$43)+AD32*Pricing!$D$6*(Assumptions!$D$153+Assumptions!$D$154)*CHOOSE(Assumptions!$D$121,Pricing!$D$23,Pricing!$D$33,Pricing!$D$43)+AD33*Pricing!$E$6*(Assumptions!$D$153+Assumptions!$D$154)*CHOOSE(Assumptions!$D$121,Pricing!$E$23,Pricing!$E$33,Pricing!$E$43))/60+(AD22*Assumptions!$D$105+AD23*Assumptions!$D$106+AD24*Assumptions!$D$107+AD25*Assumptions!$D$108)</f>
        <v>323.894600238572</v>
      </c>
      <c r="AE124" s="42" t="n">
        <f aca="false">(AE30*Pricing!$B$6*(Assumptions!$D$153+Assumptions!$D$154)*CHOOSE(Assumptions!$D$121,Pricing!$B$23,Pricing!$B$33,Pricing!$B$43)+AE31*Pricing!$C$6*(Assumptions!$D$153+Assumptions!$D$154)*CHOOSE(Assumptions!$D$121,Pricing!$C$23,Pricing!$C$33,Pricing!$C$43)+AE32*Pricing!$D$6*(Assumptions!$D$153+Assumptions!$D$154)*CHOOSE(Assumptions!$D$121,Pricing!$D$23,Pricing!$D$33,Pricing!$D$43)+AE33*Pricing!$E$6*(Assumptions!$D$153+Assumptions!$D$154)*CHOOSE(Assumptions!$D$121,Pricing!$E$23,Pricing!$E$33,Pricing!$E$43))/60+(AE22*Assumptions!$D$105+AE23*Assumptions!$D$106+AE24*Assumptions!$D$107+AE25*Assumptions!$D$108)</f>
        <v>348.820197390235</v>
      </c>
      <c r="AF124" s="42" t="n">
        <f aca="false">(AF30*Pricing!$B$6*(Assumptions!$D$153+Assumptions!$D$154)*CHOOSE(Assumptions!$D$121,Pricing!$B$23,Pricing!$B$33,Pricing!$B$43)+AF31*Pricing!$C$6*(Assumptions!$D$153+Assumptions!$D$154)*CHOOSE(Assumptions!$D$121,Pricing!$C$23,Pricing!$C$33,Pricing!$C$43)+AF32*Pricing!$D$6*(Assumptions!$D$153+Assumptions!$D$154)*CHOOSE(Assumptions!$D$121,Pricing!$D$23,Pricing!$D$33,Pricing!$D$43)+AF33*Pricing!$E$6*(Assumptions!$D$153+Assumptions!$D$154)*CHOOSE(Assumptions!$D$121,Pricing!$E$23,Pricing!$E$33,Pricing!$E$43))/60+(AF22*Assumptions!$D$105+AF23*Assumptions!$D$106+AF24*Assumptions!$D$107+AF25*Assumptions!$D$108)</f>
        <v>374.300398211133</v>
      </c>
      <c r="AG124" s="42" t="n">
        <f aca="false">(AG30*Pricing!$B$6*(Assumptions!$D$153+Assumptions!$D$154)*CHOOSE(Assumptions!$D$121,Pricing!$B$23,Pricing!$B$33,Pricing!$B$43)+AG31*Pricing!$C$6*(Assumptions!$D$153+Assumptions!$D$154)*CHOOSE(Assumptions!$D$121,Pricing!$C$23,Pricing!$C$33,Pricing!$C$43)+AG32*Pricing!$D$6*(Assumptions!$D$153+Assumptions!$D$154)*CHOOSE(Assumptions!$D$121,Pricing!$D$23,Pricing!$D$33,Pricing!$D$43)+AG33*Pricing!$E$6*(Assumptions!$D$153+Assumptions!$D$154)*CHOOSE(Assumptions!$D$121,Pricing!$E$23,Pricing!$E$33,Pricing!$E$43))/60+(AG22*Assumptions!$D$105+AG23*Assumptions!$D$106+AG24*Assumptions!$D$107+AG25*Assumptions!$D$108)</f>
        <v>400.324803068566</v>
      </c>
      <c r="AH124" s="42" t="n">
        <f aca="false">(AH30*Pricing!$B$6*(Assumptions!$D$153+Assumptions!$D$154)*CHOOSE(Assumptions!$D$121,Pricing!$B$23,Pricing!$B$33,Pricing!$B$43)+AH31*Pricing!$C$6*(Assumptions!$D$153+Assumptions!$D$154)*CHOOSE(Assumptions!$D$121,Pricing!$C$23,Pricing!$C$33,Pricing!$C$43)+AH32*Pricing!$D$6*(Assumptions!$D$153+Assumptions!$D$154)*CHOOSE(Assumptions!$D$121,Pricing!$D$23,Pricing!$D$33,Pricing!$D$43)+AH33*Pricing!$E$6*(Assumptions!$D$153+Assumptions!$D$154)*CHOOSE(Assumptions!$D$121,Pricing!$E$23,Pricing!$E$33,Pricing!$E$43))/60+(AH22*Assumptions!$D$105+AH23*Assumptions!$D$106+AH24*Assumptions!$D$107+AH25*Assumptions!$D$108)</f>
        <v>426.883275531531</v>
      </c>
      <c r="AI124" s="42" t="n">
        <f aca="false">(AI30*Pricing!$B$6*(Assumptions!$D$153+Assumptions!$D$154)*CHOOSE(Assumptions!$D$121,Pricing!$B$23,Pricing!$B$33,Pricing!$B$43)+AI31*Pricing!$C$6*(Assumptions!$D$153+Assumptions!$D$154)*CHOOSE(Assumptions!$D$121,Pricing!$C$23,Pricing!$C$33,Pricing!$C$43)+AI32*Pricing!$D$6*(Assumptions!$D$153+Assumptions!$D$154)*CHOOSE(Assumptions!$D$121,Pricing!$D$23,Pricing!$D$33,Pricing!$D$43)+AI33*Pricing!$E$6*(Assumptions!$D$153+Assumptions!$D$154)*CHOOSE(Assumptions!$D$121,Pricing!$E$23,Pricing!$E$33,Pricing!$E$43))/60+(AI22*Assumptions!$D$105+AI23*Assumptions!$D$106+AI24*Assumptions!$D$107+AI25*Assumptions!$D$108)</f>
        <v>453.965934754065</v>
      </c>
      <c r="AJ124" s="42" t="n">
        <f aca="false">(AJ30*Pricing!$B$6*(Assumptions!$D$153+Assumptions!$D$154)*CHOOSE(Assumptions!$D$121,Pricing!$B$23,Pricing!$B$33,Pricing!$B$43)+AJ31*Pricing!$C$6*(Assumptions!$D$153+Assumptions!$D$154)*CHOOSE(Assumptions!$D$121,Pricing!$C$23,Pricing!$C$33,Pricing!$C$43)+AJ32*Pricing!$D$6*(Assumptions!$D$153+Assumptions!$D$154)*CHOOSE(Assumptions!$D$121,Pricing!$D$23,Pricing!$D$33,Pricing!$D$43)+AJ33*Pricing!$E$6*(Assumptions!$D$153+Assumptions!$D$154)*CHOOSE(Assumptions!$D$121,Pricing!$E$23,Pricing!$E$33,Pricing!$E$43))/60+(AJ22*Assumptions!$D$105+AJ23*Assumptions!$D$106+AJ24*Assumptions!$D$107+AJ25*Assumptions!$D$108)</f>
        <v>481.563148092603</v>
      </c>
      <c r="AK124" s="42" t="n">
        <f aca="false">(AK30*Pricing!$B$6*(Assumptions!$D$153+Assumptions!$D$154)*CHOOSE(Assumptions!$D$121,Pricing!$B$23,Pricing!$B$33,Pricing!$B$43)+AK31*Pricing!$C$6*(Assumptions!$D$153+Assumptions!$D$154)*CHOOSE(Assumptions!$D$121,Pricing!$C$23,Pricing!$C$33,Pricing!$C$43)+AK32*Pricing!$D$6*(Assumptions!$D$153+Assumptions!$D$154)*CHOOSE(Assumptions!$D$121,Pricing!$D$23,Pricing!$D$33,Pricing!$D$43)+AK33*Pricing!$E$6*(Assumptions!$D$153+Assumptions!$D$154)*CHOOSE(Assumptions!$D$121,Pricing!$E$23,Pricing!$E$33,Pricing!$E$43))/60+(AK22*Assumptions!$D$105+AK23*Assumptions!$D$106+AK24*Assumptions!$D$107+AK25*Assumptions!$D$108)</f>
        <v>509.665523949919</v>
      </c>
      <c r="AL124" s="42" t="n">
        <f aca="false">(AL30*Pricing!$B$6*(Assumptions!$D$153+Assumptions!$D$154)*CHOOSE(Assumptions!$D$121,Pricing!$B$23,Pricing!$B$33,Pricing!$B$43)+AL31*Pricing!$C$6*(Assumptions!$D$153+Assumptions!$D$154)*CHOOSE(Assumptions!$D$121,Pricing!$C$23,Pricing!$C$33,Pricing!$C$43)+AL32*Pricing!$D$6*(Assumptions!$D$153+Assumptions!$D$154)*CHOOSE(Assumptions!$D$121,Pricing!$D$23,Pricing!$D$33,Pricing!$D$43)+AL33*Pricing!$E$6*(Assumptions!$D$153+Assumptions!$D$154)*CHOOSE(Assumptions!$D$121,Pricing!$E$23,Pricing!$E$33,Pricing!$E$43))/60+(AL22*Assumptions!$D$105+AL23*Assumptions!$D$106+AL24*Assumptions!$D$107+AL25*Assumptions!$D$108)</f>
        <v>538.263904838437</v>
      </c>
    </row>
    <row r="125" customFormat="false" ht="15" hidden="false" customHeight="false" outlineLevel="0" collapsed="false">
      <c r="A125" s="9" t="s">
        <v>665</v>
      </c>
      <c r="B125" s="2" t="s">
        <v>165</v>
      </c>
      <c r="C125" s="32" t="n">
        <f aca="false">IF(C63=0,0,(C79-C107)/C63)</f>
        <v>0</v>
      </c>
      <c r="D125" s="32" t="n">
        <f aca="false">IF(D63=0,0,(D79-D107)/D63)</f>
        <v>0</v>
      </c>
      <c r="E125" s="32" t="n">
        <f aca="false">IF(E63=0,0,(E79-E107)/E63)</f>
        <v>0</v>
      </c>
      <c r="F125" s="32" t="n">
        <f aca="false">IF(F63=0,0,(F79-F107)/F63)</f>
        <v>0</v>
      </c>
      <c r="G125" s="32" t="n">
        <f aca="false">IF(G63=0,0,(G79-G107)/G63)</f>
        <v>0</v>
      </c>
      <c r="H125" s="32" t="n">
        <f aca="false">IF(H63=0,0,(H79-H107)/H63)</f>
        <v>-0.831850257208766</v>
      </c>
      <c r="I125" s="32" t="n">
        <f aca="false">IF(I63=0,0,(I79-I107)/I63)</f>
        <v>0.205332161142843</v>
      </c>
      <c r="J125" s="32" t="n">
        <f aca="false">IF(J63=0,0,(J79-J107)/J63)</f>
        <v>-4.38090057838754</v>
      </c>
      <c r="K125" s="32" t="n">
        <f aca="false">IF(K63=0,0,(K79-K107)/K63)</f>
        <v>0.535203691389884</v>
      </c>
      <c r="L125" s="32" t="n">
        <f aca="false">IF(L63=0,0,(L79-L107)/L63)</f>
        <v>0.583952569260921</v>
      </c>
      <c r="M125" s="32" t="n">
        <f aca="false">IF(M63=0,0,(M79-M107)/M63)</f>
        <v>0.612300920283102</v>
      </c>
      <c r="N125" s="32" t="n">
        <f aca="false">IF(N63=0,0,(N79-N107)/N63)</f>
        <v>0.650282195119983</v>
      </c>
      <c r="O125" s="32" t="n">
        <f aca="false">IF(O63=0,0,(O79-O107)/O63)</f>
        <v>0.664293161213484</v>
      </c>
      <c r="P125" s="32" t="n">
        <f aca="false">IF(P63=0,0,(P79-P107)/P63)</f>
        <v>0.35975234788013</v>
      </c>
      <c r="Q125" s="32" t="n">
        <f aca="false">IF(Q63=0,0,(Q79-Q107)/Q63)</f>
        <v>0.420542921973297</v>
      </c>
      <c r="R125" s="32" t="n">
        <f aca="false">IF(R63=0,0,(R79-R107)/R63)</f>
        <v>0.466264669793882</v>
      </c>
      <c r="S125" s="32" t="n">
        <f aca="false">IF(S63=0,0,(S79-S107)/S63)</f>
        <v>0.501756345401498</v>
      </c>
      <c r="T125" s="32" t="n">
        <f aca="false">IF(T63=0,0,(T79-T107)/T63)</f>
        <v>0.530010123659564</v>
      </c>
      <c r="U125" s="32" t="n">
        <f aca="false">IF(U63=0,0,(U79-U107)/U63)</f>
        <v>0.552971659404089</v>
      </c>
      <c r="V125" s="32" t="n">
        <f aca="false">IF(V63=0,0,(V79-V107)/V63)</f>
        <v>0.434908357310098</v>
      </c>
      <c r="W125" s="32" t="n">
        <f aca="false">IF(W63=0,0,(W79-W107)/W63)</f>
        <v>0.587891302826017</v>
      </c>
      <c r="X125" s="32" t="n">
        <f aca="false">IF(X63=0,0,(X79-X107)/X63)</f>
        <v>0.601434197286166</v>
      </c>
      <c r="Y125" s="32" t="n">
        <f aca="false">IF(Y63=0,0,(Y79-Y107)/Y63)</f>
        <v>0.613075160965224</v>
      </c>
      <c r="Z125" s="32" t="n">
        <f aca="false">IF(Z63=0,0,(Z79-Z107)/Z63)</f>
        <v>0.623181175016797</v>
      </c>
      <c r="AA125" s="32" t="n">
        <f aca="false">IF(AA63=0,0,(AA79-AA107)/AA63)</f>
        <v>0.632032914191841</v>
      </c>
      <c r="AB125" s="32" t="n">
        <f aca="false">IF(AB63=0,0,(AB79-AB107)/AB63)</f>
        <v>0.643458378054781</v>
      </c>
      <c r="AC125" s="32" t="n">
        <f aca="false">IF(AC63=0,0,(AC79-AC107)/AC63)</f>
        <v>0.651522720949226</v>
      </c>
      <c r="AD125" s="32" t="n">
        <f aca="false">IF(AD63=0,0,(AD79-AD107)/AD63)</f>
        <v>0.658537626828596</v>
      </c>
      <c r="AE125" s="32" t="n">
        <f aca="false">IF(AE63=0,0,(AE79-AE107)/AE63)</f>
        <v>0.664703170882411</v>
      </c>
      <c r="AF125" s="32" t="n">
        <f aca="false">IF(AF63=0,0,(AF79-AF107)/AF63)</f>
        <v>0.670172022485176</v>
      </c>
      <c r="AG125" s="32" t="n">
        <f aca="false">IF(AG63=0,0,(AG79-AG107)/AG63)</f>
        <v>0.675062657428055</v>
      </c>
      <c r="AH125" s="32" t="n">
        <f aca="false">IF(AH63=0,0,(AH79-AH107)/AH63)</f>
        <v>0.63355982224116</v>
      </c>
      <c r="AI125" s="32" t="n">
        <f aca="false">IF(AI63=0,0,(AI79-AI107)/AI63)</f>
        <v>0.683463684934576</v>
      </c>
      <c r="AJ125" s="32" t="n">
        <f aca="false">IF(AJ63=0,0,(AJ79-AJ107)/AJ63)</f>
        <v>0.687108672783878</v>
      </c>
      <c r="AK125" s="32" t="n">
        <f aca="false">IF(AK63=0,0,(AK79-AK107)/AK63)</f>
        <v>0.651510001198152</v>
      </c>
      <c r="AL125" s="32" t="n">
        <f aca="false">IF(AL63=0,0,(AL79-AL107)/AL63)</f>
        <v>0.656850115955944</v>
      </c>
    </row>
    <row r="126" customFormat="false" ht="15" hidden="false" customHeight="false" outlineLevel="0" collapsed="false">
      <c r="A126" s="9" t="s">
        <v>666</v>
      </c>
      <c r="B126" s="2" t="s">
        <v>552</v>
      </c>
      <c r="C126" s="40" t="n">
        <f aca="false">IF(C116&lt;0,1,0)</f>
        <v>0</v>
      </c>
      <c r="D126" s="40" t="n">
        <f aca="false">IF(D116&lt;0,1,0)</f>
        <v>0</v>
      </c>
      <c r="E126" s="40" t="n">
        <f aca="false">IF(E116&lt;0,1,0)</f>
        <v>0</v>
      </c>
      <c r="F126" s="40" t="n">
        <f aca="false">IF(F116&lt;0,1,0)</f>
        <v>0</v>
      </c>
      <c r="G126" s="40" t="n">
        <f aca="false">IF(G116&lt;0,1,0)</f>
        <v>0</v>
      </c>
      <c r="H126" s="40" t="n">
        <f aca="false">IF(H116&lt;0,1,0)</f>
        <v>1</v>
      </c>
      <c r="I126" s="40" t="n">
        <f aca="false">IF(I116&lt;0,1,0)</f>
        <v>1</v>
      </c>
      <c r="J126" s="40" t="n">
        <f aca="false">IF(J116&lt;0,1,0)</f>
        <v>1</v>
      </c>
      <c r="K126" s="40" t="n">
        <f aca="false">IF(K116&lt;0,1,0)</f>
        <v>1</v>
      </c>
      <c r="L126" s="40" t="n">
        <f aca="false">IF(L116&lt;0,1,0)</f>
        <v>1</v>
      </c>
      <c r="M126" s="40" t="n">
        <f aca="false">IF(M116&lt;0,1,0)</f>
        <v>1</v>
      </c>
      <c r="N126" s="40" t="n">
        <f aca="false">IF(N116&lt;0,1,0)</f>
        <v>1</v>
      </c>
      <c r="O126" s="40" t="n">
        <f aca="false">IF(O116&lt;0,1,0)</f>
        <v>1</v>
      </c>
      <c r="P126" s="40" t="n">
        <f aca="false">IF(P116&lt;0,1,0)</f>
        <v>1</v>
      </c>
      <c r="Q126" s="40" t="n">
        <f aca="false">IF(Q116&lt;0,1,0)</f>
        <v>1</v>
      </c>
      <c r="R126" s="40" t="n">
        <f aca="false">IF(R116&lt;0,1,0)</f>
        <v>1</v>
      </c>
      <c r="S126" s="40" t="n">
        <f aca="false">IF(S116&lt;0,1,0)</f>
        <v>1</v>
      </c>
      <c r="T126" s="40" t="n">
        <f aca="false">IF(T116&lt;0,1,0)</f>
        <v>1</v>
      </c>
      <c r="U126" s="40" t="n">
        <f aca="false">IF(U116&lt;0,1,0)</f>
        <v>1</v>
      </c>
      <c r="V126" s="40" t="n">
        <f aca="false">IF(V116&lt;0,1,0)</f>
        <v>1</v>
      </c>
      <c r="W126" s="40" t="n">
        <f aca="false">IF(W116&lt;0,1,0)</f>
        <v>1</v>
      </c>
      <c r="X126" s="40" t="n">
        <f aca="false">IF(X116&lt;0,1,0)</f>
        <v>1</v>
      </c>
      <c r="Y126" s="40" t="n">
        <f aca="false">IF(Y116&lt;0,1,0)</f>
        <v>1</v>
      </c>
      <c r="Z126" s="40" t="n">
        <f aca="false">IF(Z116&lt;0,1,0)</f>
        <v>1</v>
      </c>
      <c r="AA126" s="40" t="n">
        <f aca="false">IF(AA116&lt;0,1,0)</f>
        <v>1</v>
      </c>
      <c r="AB126" s="40" t="n">
        <f aca="false">IF(AB116&lt;0,1,0)</f>
        <v>1</v>
      </c>
      <c r="AC126" s="40" t="n">
        <f aca="false">IF(AC116&lt;0,1,0)</f>
        <v>1</v>
      </c>
      <c r="AD126" s="40" t="n">
        <f aca="false">IF(AD116&lt;0,1,0)</f>
        <v>1</v>
      </c>
      <c r="AE126" s="40" t="n">
        <f aca="false">IF(AE116&lt;0,1,0)</f>
        <v>1</v>
      </c>
      <c r="AF126" s="40" t="n">
        <f aca="false">IF(AF116&lt;0,1,0)</f>
        <v>1</v>
      </c>
      <c r="AG126" s="40" t="n">
        <f aca="false">IF(AG116&lt;0,1,0)</f>
        <v>1</v>
      </c>
      <c r="AH126" s="40" t="n">
        <f aca="false">IF(AH116&lt;0,1,0)</f>
        <v>1</v>
      </c>
      <c r="AI126" s="40" t="n">
        <f aca="false">IF(AI116&lt;0,1,0)</f>
        <v>1</v>
      </c>
      <c r="AJ126" s="40" t="n">
        <f aca="false">IF(AJ116&lt;0,1,0)</f>
        <v>1</v>
      </c>
      <c r="AK126" s="40" t="n">
        <f aca="false">IF(AK116&lt;0,1,0)</f>
        <v>1</v>
      </c>
      <c r="AL126" s="40" t="n">
        <f aca="false">IF(AL116&lt;0,1,0)</f>
        <v>1</v>
      </c>
    </row>
    <row r="127" customFormat="false" ht="15" hidden="false" customHeight="false" outlineLevel="0" collapsed="false">
      <c r="A127" s="9" t="s">
        <v>667</v>
      </c>
      <c r="B127" s="2" t="s">
        <v>552</v>
      </c>
      <c r="C127" s="40" t="n">
        <f aca="false">IF(C25&gt;0,1,0)</f>
        <v>0</v>
      </c>
      <c r="D127" s="40" t="n">
        <f aca="false">IF(D25&gt;0,1,0)</f>
        <v>0</v>
      </c>
      <c r="E127" s="40" t="n">
        <f aca="false">IF(E25&gt;0,1,0)</f>
        <v>0</v>
      </c>
      <c r="F127" s="40" t="n">
        <f aca="false">IF(F25&gt;0,1,0)</f>
        <v>0</v>
      </c>
      <c r="G127" s="40" t="n">
        <f aca="false">IF(G25&gt;0,1,0)</f>
        <v>0</v>
      </c>
      <c r="H127" s="40" t="n">
        <f aca="false">IF(H25&gt;0,1,0)</f>
        <v>0</v>
      </c>
      <c r="I127" s="40" t="n">
        <f aca="false">IF(I25&gt;0,1,0)</f>
        <v>0</v>
      </c>
      <c r="J127" s="40" t="n">
        <f aca="false">IF(J25&gt;0,1,0)</f>
        <v>0</v>
      </c>
      <c r="K127" s="40" t="n">
        <f aca="false">IF(K25&gt;0,1,0)</f>
        <v>0</v>
      </c>
      <c r="L127" s="40" t="n">
        <f aca="false">IF(L25&gt;0,1,0)</f>
        <v>0</v>
      </c>
      <c r="M127" s="40" t="n">
        <f aca="false">IF(M25&gt;0,1,0)</f>
        <v>0</v>
      </c>
      <c r="N127" s="40" t="n">
        <f aca="false">IF(N25&gt;0,1,0)</f>
        <v>1</v>
      </c>
      <c r="O127" s="40" t="n">
        <f aca="false">IF(O25&gt;0,1,0)</f>
        <v>1</v>
      </c>
      <c r="P127" s="40" t="n">
        <f aca="false">IF(P25&gt;0,1,0)</f>
        <v>1</v>
      </c>
      <c r="Q127" s="40" t="n">
        <f aca="false">IF(Q25&gt;0,1,0)</f>
        <v>1</v>
      </c>
      <c r="R127" s="40" t="n">
        <f aca="false">IF(R25&gt;0,1,0)</f>
        <v>1</v>
      </c>
      <c r="S127" s="40" t="n">
        <f aca="false">IF(S25&gt;0,1,0)</f>
        <v>1</v>
      </c>
      <c r="T127" s="40" t="n">
        <f aca="false">IF(T25&gt;0,1,0)</f>
        <v>1</v>
      </c>
      <c r="U127" s="40" t="n">
        <f aca="false">IF(U25&gt;0,1,0)</f>
        <v>1</v>
      </c>
      <c r="V127" s="40" t="n">
        <f aca="false">IF(V25&gt;0,1,0)</f>
        <v>1</v>
      </c>
      <c r="W127" s="40" t="n">
        <f aca="false">IF(W25&gt;0,1,0)</f>
        <v>1</v>
      </c>
      <c r="X127" s="40" t="n">
        <f aca="false">IF(X25&gt;0,1,0)</f>
        <v>1</v>
      </c>
      <c r="Y127" s="40" t="n">
        <f aca="false">IF(Y25&gt;0,1,0)</f>
        <v>1</v>
      </c>
      <c r="Z127" s="40" t="n">
        <f aca="false">IF(Z25&gt;0,1,0)</f>
        <v>1</v>
      </c>
      <c r="AA127" s="40" t="n">
        <f aca="false">IF(AA25&gt;0,1,0)</f>
        <v>1</v>
      </c>
      <c r="AB127" s="40" t="n">
        <f aca="false">IF(AB25&gt;0,1,0)</f>
        <v>1</v>
      </c>
      <c r="AC127" s="40" t="n">
        <f aca="false">IF(AC25&gt;0,1,0)</f>
        <v>1</v>
      </c>
      <c r="AD127" s="40" t="n">
        <f aca="false">IF(AD25&gt;0,1,0)</f>
        <v>1</v>
      </c>
      <c r="AE127" s="40" t="n">
        <f aca="false">IF(AE25&gt;0,1,0)</f>
        <v>1</v>
      </c>
      <c r="AF127" s="40" t="n">
        <f aca="false">IF(AF25&gt;0,1,0)</f>
        <v>1</v>
      </c>
      <c r="AG127" s="40" t="n">
        <f aca="false">IF(AG25&gt;0,1,0)</f>
        <v>1</v>
      </c>
      <c r="AH127" s="40" t="n">
        <f aca="false">IF(AH25&gt;0,1,0)</f>
        <v>1</v>
      </c>
      <c r="AI127" s="40" t="n">
        <f aca="false">IF(AI25&gt;0,1,0)</f>
        <v>1</v>
      </c>
      <c r="AJ127" s="40" t="n">
        <f aca="false">IF(AJ25&gt;0,1,0)</f>
        <v>1</v>
      </c>
      <c r="AK127" s="40" t="n">
        <f aca="false">IF(AK25&gt;0,1,0)</f>
        <v>1</v>
      </c>
      <c r="AL127" s="40" t="n">
        <f aca="false">IF(AL25&gt;0,1,0)</f>
        <v>1</v>
      </c>
    </row>
    <row r="128" customFormat="false" ht="15" hidden="false" customHeight="false" outlineLevel="0" collapsed="false">
      <c r="A128" s="9" t="s">
        <v>668</v>
      </c>
      <c r="B128" s="2" t="s">
        <v>146</v>
      </c>
      <c r="C128" s="42" t="n">
        <f aca="false">Assumptions!$D$182*Assumptions!$D$183</f>
        <v>63</v>
      </c>
      <c r="D128" s="42" t="n">
        <f aca="false">Assumptions!$D$182*Assumptions!$D$183</f>
        <v>63</v>
      </c>
      <c r="E128" s="42" t="n">
        <f aca="false">Assumptions!$D$182*Assumptions!$D$183</f>
        <v>63</v>
      </c>
      <c r="F128" s="42" t="n">
        <f aca="false">Assumptions!$D$182*Assumptions!$D$183</f>
        <v>63</v>
      </c>
      <c r="G128" s="42" t="n">
        <f aca="false">Assumptions!$D$182*Assumptions!$D$183</f>
        <v>63</v>
      </c>
      <c r="H128" s="42" t="n">
        <f aca="false">Assumptions!$D$182*Assumptions!$D$183</f>
        <v>63</v>
      </c>
      <c r="I128" s="42" t="n">
        <f aca="false">Assumptions!$D$182*Assumptions!$D$183</f>
        <v>63</v>
      </c>
      <c r="J128" s="42" t="n">
        <f aca="false">Assumptions!$D$182*Assumptions!$D$183</f>
        <v>63</v>
      </c>
      <c r="K128" s="42" t="n">
        <f aca="false">Assumptions!$D$182*Assumptions!$D$183</f>
        <v>63</v>
      </c>
      <c r="L128" s="42" t="n">
        <f aca="false">Assumptions!$D$182*Assumptions!$D$183</f>
        <v>63</v>
      </c>
      <c r="M128" s="42" t="n">
        <f aca="false">Assumptions!$D$182*Assumptions!$D$183</f>
        <v>63</v>
      </c>
      <c r="N128" s="42" t="n">
        <f aca="false">Assumptions!$D$182*Assumptions!$D$183</f>
        <v>63</v>
      </c>
      <c r="O128" s="42" t="n">
        <f aca="false">Assumptions!$D$182*Assumptions!$D$183</f>
        <v>63</v>
      </c>
      <c r="P128" s="42" t="n">
        <f aca="false">Assumptions!$D$182*Assumptions!$D$183</f>
        <v>63</v>
      </c>
      <c r="Q128" s="42" t="n">
        <f aca="false">Assumptions!$D$182*Assumptions!$D$183</f>
        <v>63</v>
      </c>
      <c r="R128" s="42" t="n">
        <f aca="false">Assumptions!$D$182*Assumptions!$D$183</f>
        <v>63</v>
      </c>
      <c r="S128" s="42" t="n">
        <f aca="false">Assumptions!$D$182*Assumptions!$D$183</f>
        <v>63</v>
      </c>
      <c r="T128" s="42" t="n">
        <f aca="false">Assumptions!$D$182*Assumptions!$D$183</f>
        <v>63</v>
      </c>
      <c r="U128" s="42" t="n">
        <f aca="false">Assumptions!$D$182*Assumptions!$D$183</f>
        <v>63</v>
      </c>
      <c r="V128" s="42" t="n">
        <f aca="false">Assumptions!$D$182*Assumptions!$D$183</f>
        <v>63</v>
      </c>
      <c r="W128" s="42" t="n">
        <f aca="false">Assumptions!$D$182*Assumptions!$D$183</f>
        <v>63</v>
      </c>
      <c r="X128" s="42" t="n">
        <f aca="false">Assumptions!$D$182*Assumptions!$D$183</f>
        <v>63</v>
      </c>
      <c r="Y128" s="42" t="n">
        <f aca="false">Assumptions!$D$182*Assumptions!$D$183</f>
        <v>63</v>
      </c>
      <c r="Z128" s="42" t="n">
        <f aca="false">Assumptions!$D$182*Assumptions!$D$183</f>
        <v>63</v>
      </c>
      <c r="AA128" s="42" t="n">
        <f aca="false">Assumptions!$D$182*Assumptions!$D$183</f>
        <v>63</v>
      </c>
      <c r="AB128" s="42" t="n">
        <f aca="false">Assumptions!$D$182*Assumptions!$D$183</f>
        <v>63</v>
      </c>
      <c r="AC128" s="42" t="n">
        <f aca="false">Assumptions!$D$182*Assumptions!$D$183</f>
        <v>63</v>
      </c>
      <c r="AD128" s="42" t="n">
        <f aca="false">Assumptions!$D$182*Assumptions!$D$183</f>
        <v>63</v>
      </c>
      <c r="AE128" s="42" t="n">
        <f aca="false">Assumptions!$D$182*Assumptions!$D$183</f>
        <v>63</v>
      </c>
      <c r="AF128" s="42" t="n">
        <f aca="false">Assumptions!$D$182*Assumptions!$D$183</f>
        <v>63</v>
      </c>
      <c r="AG128" s="42" t="n">
        <f aca="false">Assumptions!$D$182*Assumptions!$D$183</f>
        <v>63</v>
      </c>
      <c r="AH128" s="42" t="n">
        <f aca="false">Assumptions!$D$182*Assumptions!$D$183</f>
        <v>63</v>
      </c>
      <c r="AI128" s="42" t="n">
        <f aca="false">Assumptions!$D$182*Assumptions!$D$183</f>
        <v>63</v>
      </c>
      <c r="AJ128" s="42" t="n">
        <f aca="false">Assumptions!$D$182*Assumptions!$D$183</f>
        <v>63</v>
      </c>
      <c r="AK128" s="42" t="n">
        <f aca="false">Assumptions!$D$182*Assumptions!$D$183</f>
        <v>63</v>
      </c>
      <c r="AL128" s="42" t="n">
        <f aca="false">Assumptions!$D$182*Assumptions!$D$183</f>
        <v>63</v>
      </c>
    </row>
    <row r="129" customFormat="false" ht="15" hidden="false" customHeight="false" outlineLevel="0" collapsed="false">
      <c r="A129" s="9" t="s">
        <v>669</v>
      </c>
      <c r="B129" s="2" t="s">
        <v>552</v>
      </c>
      <c r="C129" s="40" t="n">
        <f aca="false">IF(C124&gt;C128,1,0)</f>
        <v>0</v>
      </c>
      <c r="D129" s="40" t="n">
        <f aca="false">IF(D124&gt;D128,1,0)</f>
        <v>0</v>
      </c>
      <c r="E129" s="40" t="n">
        <f aca="false">IF(E124&gt;E128,1,0)</f>
        <v>0</v>
      </c>
      <c r="F129" s="40" t="n">
        <f aca="false">IF(F124&gt;F128,1,0)</f>
        <v>0</v>
      </c>
      <c r="G129" s="40" t="n">
        <f aca="false">IF(G124&gt;G128,1,0)</f>
        <v>0</v>
      </c>
      <c r="H129" s="40" t="n">
        <f aca="false">IF(H124&gt;H128,1,0)</f>
        <v>0</v>
      </c>
      <c r="I129" s="40" t="n">
        <f aca="false">IF(I124&gt;I128,1,0)</f>
        <v>0</v>
      </c>
      <c r="J129" s="40" t="n">
        <f aca="false">IF(J124&gt;J128,1,0)</f>
        <v>0</v>
      </c>
      <c r="K129" s="40" t="n">
        <f aca="false">IF(K124&gt;K128,1,0)</f>
        <v>0</v>
      </c>
      <c r="L129" s="40" t="n">
        <f aca="false">IF(L124&gt;L128,1,0)</f>
        <v>0</v>
      </c>
      <c r="M129" s="40" t="n">
        <f aca="false">IF(M124&gt;M128,1,0)</f>
        <v>0</v>
      </c>
      <c r="N129" s="40" t="n">
        <f aca="false">IF(N124&gt;N128,1,0)</f>
        <v>0</v>
      </c>
      <c r="O129" s="40" t="n">
        <f aca="false">IF(O124&gt;O128,1,0)</f>
        <v>0</v>
      </c>
      <c r="P129" s="40" t="n">
        <f aca="false">IF(P124&gt;P128,1,0)</f>
        <v>1</v>
      </c>
      <c r="Q129" s="40" t="n">
        <f aca="false">IF(Q124&gt;Q128,1,0)</f>
        <v>1</v>
      </c>
      <c r="R129" s="40" t="n">
        <f aca="false">IF(R124&gt;R128,1,0)</f>
        <v>1</v>
      </c>
      <c r="S129" s="40" t="n">
        <f aca="false">IF(S124&gt;S128,1,0)</f>
        <v>1</v>
      </c>
      <c r="T129" s="40" t="n">
        <f aca="false">IF(T124&gt;T128,1,0)</f>
        <v>1</v>
      </c>
      <c r="U129" s="40" t="n">
        <f aca="false">IF(U124&gt;U128,1,0)</f>
        <v>1</v>
      </c>
      <c r="V129" s="40" t="n">
        <f aca="false">IF(V124&gt;V128,1,0)</f>
        <v>1</v>
      </c>
      <c r="W129" s="40" t="n">
        <f aca="false">IF(W124&gt;W128,1,0)</f>
        <v>1</v>
      </c>
      <c r="X129" s="40" t="n">
        <f aca="false">IF(X124&gt;X128,1,0)</f>
        <v>1</v>
      </c>
      <c r="Y129" s="40" t="n">
        <f aca="false">IF(Y124&gt;Y128,1,0)</f>
        <v>1</v>
      </c>
      <c r="Z129" s="40" t="n">
        <f aca="false">IF(Z124&gt;Z128,1,0)</f>
        <v>1</v>
      </c>
      <c r="AA129" s="40" t="n">
        <f aca="false">IF(AA124&gt;AA128,1,0)</f>
        <v>1</v>
      </c>
      <c r="AB129" s="40" t="n">
        <f aca="false">IF(AB124&gt;AB128,1,0)</f>
        <v>1</v>
      </c>
      <c r="AC129" s="40" t="n">
        <f aca="false">IF(AC124&gt;AC128,1,0)</f>
        <v>1</v>
      </c>
      <c r="AD129" s="40" t="n">
        <f aca="false">IF(AD124&gt;AD128,1,0)</f>
        <v>1</v>
      </c>
      <c r="AE129" s="40" t="n">
        <f aca="false">IF(AE124&gt;AE128,1,0)</f>
        <v>1</v>
      </c>
      <c r="AF129" s="40" t="n">
        <f aca="false">IF(AF124&gt;AF128,1,0)</f>
        <v>1</v>
      </c>
      <c r="AG129" s="40" t="n">
        <f aca="false">IF(AG124&gt;AG128,1,0)</f>
        <v>1</v>
      </c>
      <c r="AH129" s="40" t="n">
        <f aca="false">IF(AH124&gt;AH128,1,0)</f>
        <v>1</v>
      </c>
      <c r="AI129" s="40" t="n">
        <f aca="false">IF(AI124&gt;AI128,1,0)</f>
        <v>1</v>
      </c>
      <c r="AJ129" s="40" t="n">
        <f aca="false">IF(AJ124&gt;AJ128,1,0)</f>
        <v>1</v>
      </c>
      <c r="AK129" s="40" t="n">
        <f aca="false">IF(AK124&gt;AK128,1,0)</f>
        <v>1</v>
      </c>
      <c r="AL129" s="40" t="n">
        <f aca="false">IF(AL124&gt;AL128,1,0)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38" min="3" style="0" width="10.51"/>
  </cols>
  <sheetData>
    <row r="1" customFormat="false" ht="17.35" hidden="false" customHeight="false" outlineLevel="0" collapsed="false">
      <c r="A1" s="1" t="s">
        <v>671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15" hidden="false" customHeight="false" outlineLevel="0" collapsed="false">
      <c r="A3" s="3" t="s">
        <v>548</v>
      </c>
      <c r="B3" s="3" t="s">
        <v>94</v>
      </c>
      <c r="C3" s="38" t="n">
        <v>1</v>
      </c>
      <c r="D3" s="38" t="n">
        <v>2</v>
      </c>
      <c r="E3" s="38" t="n">
        <v>3</v>
      </c>
      <c r="F3" s="38" t="n">
        <v>4</v>
      </c>
      <c r="G3" s="38" t="n">
        <v>5</v>
      </c>
      <c r="H3" s="38" t="n">
        <v>6</v>
      </c>
      <c r="I3" s="38" t="n">
        <v>7</v>
      </c>
      <c r="J3" s="38" t="n">
        <v>8</v>
      </c>
      <c r="K3" s="38" t="n">
        <v>9</v>
      </c>
      <c r="L3" s="38" t="n">
        <v>10</v>
      </c>
      <c r="M3" s="38" t="n">
        <v>11</v>
      </c>
      <c r="N3" s="38" t="n">
        <v>12</v>
      </c>
      <c r="O3" s="38" t="n">
        <v>13</v>
      </c>
      <c r="P3" s="38" t="n">
        <v>14</v>
      </c>
      <c r="Q3" s="38" t="n">
        <v>15</v>
      </c>
      <c r="R3" s="38" t="n">
        <v>16</v>
      </c>
      <c r="S3" s="38" t="n">
        <v>17</v>
      </c>
      <c r="T3" s="38" t="n">
        <v>18</v>
      </c>
      <c r="U3" s="38" t="n">
        <v>19</v>
      </c>
      <c r="V3" s="38" t="n">
        <v>20</v>
      </c>
      <c r="W3" s="38" t="n">
        <v>21</v>
      </c>
      <c r="X3" s="38" t="n">
        <v>22</v>
      </c>
      <c r="Y3" s="38" t="n">
        <v>23</v>
      </c>
      <c r="Z3" s="38" t="n">
        <v>24</v>
      </c>
      <c r="AA3" s="38" t="n">
        <v>25</v>
      </c>
      <c r="AB3" s="38" t="n">
        <v>26</v>
      </c>
      <c r="AC3" s="38" t="n">
        <v>27</v>
      </c>
      <c r="AD3" s="38" t="n">
        <v>28</v>
      </c>
      <c r="AE3" s="38" t="n">
        <v>29</v>
      </c>
      <c r="AF3" s="38" t="n">
        <v>30</v>
      </c>
      <c r="AG3" s="38" t="n">
        <v>31</v>
      </c>
      <c r="AH3" s="38" t="n">
        <v>32</v>
      </c>
      <c r="AI3" s="38" t="n">
        <v>33</v>
      </c>
      <c r="AJ3" s="38" t="n">
        <v>34</v>
      </c>
      <c r="AK3" s="38" t="n">
        <v>35</v>
      </c>
      <c r="AL3" s="38" t="n">
        <v>36</v>
      </c>
    </row>
    <row r="4" customFormat="false" ht="15" hidden="false" customHeight="false" outlineLevel="0" collapsed="false">
      <c r="A4" s="3" t="s">
        <v>549</v>
      </c>
      <c r="B4" s="2"/>
      <c r="C4" s="39" t="str">
        <f aca="false">"Y"&amp;ROUNDUP(C$3/12,0)</f>
        <v>Y1</v>
      </c>
      <c r="D4" s="39" t="str">
        <f aca="false">"Y"&amp;ROUNDUP(D$3/12,0)</f>
        <v>Y1</v>
      </c>
      <c r="E4" s="39" t="str">
        <f aca="false">"Y"&amp;ROUNDUP(E$3/12,0)</f>
        <v>Y1</v>
      </c>
      <c r="F4" s="39" t="str">
        <f aca="false">"Y"&amp;ROUNDUP(F$3/12,0)</f>
        <v>Y1</v>
      </c>
      <c r="G4" s="39" t="str">
        <f aca="false">"Y"&amp;ROUNDUP(G$3/12,0)</f>
        <v>Y1</v>
      </c>
      <c r="H4" s="39" t="str">
        <f aca="false">"Y"&amp;ROUNDUP(H$3/12,0)</f>
        <v>Y1</v>
      </c>
      <c r="I4" s="39" t="str">
        <f aca="false">"Y"&amp;ROUNDUP(I$3/12,0)</f>
        <v>Y1</v>
      </c>
      <c r="J4" s="39" t="str">
        <f aca="false">"Y"&amp;ROUNDUP(J$3/12,0)</f>
        <v>Y1</v>
      </c>
      <c r="K4" s="39" t="str">
        <f aca="false">"Y"&amp;ROUNDUP(K$3/12,0)</f>
        <v>Y1</v>
      </c>
      <c r="L4" s="39" t="str">
        <f aca="false">"Y"&amp;ROUNDUP(L$3/12,0)</f>
        <v>Y1</v>
      </c>
      <c r="M4" s="39" t="str">
        <f aca="false">"Y"&amp;ROUNDUP(M$3/12,0)</f>
        <v>Y1</v>
      </c>
      <c r="N4" s="39" t="str">
        <f aca="false">"Y"&amp;ROUNDUP(N$3/12,0)</f>
        <v>Y1</v>
      </c>
      <c r="O4" s="39" t="str">
        <f aca="false">"Y"&amp;ROUNDUP(O$3/12,0)</f>
        <v>Y2</v>
      </c>
      <c r="P4" s="39" t="str">
        <f aca="false">"Y"&amp;ROUNDUP(P$3/12,0)</f>
        <v>Y2</v>
      </c>
      <c r="Q4" s="39" t="str">
        <f aca="false">"Y"&amp;ROUNDUP(Q$3/12,0)</f>
        <v>Y2</v>
      </c>
      <c r="R4" s="39" t="str">
        <f aca="false">"Y"&amp;ROUNDUP(R$3/12,0)</f>
        <v>Y2</v>
      </c>
      <c r="S4" s="39" t="str">
        <f aca="false">"Y"&amp;ROUNDUP(S$3/12,0)</f>
        <v>Y2</v>
      </c>
      <c r="T4" s="39" t="str">
        <f aca="false">"Y"&amp;ROUNDUP(T$3/12,0)</f>
        <v>Y2</v>
      </c>
      <c r="U4" s="39" t="str">
        <f aca="false">"Y"&amp;ROUNDUP(U$3/12,0)</f>
        <v>Y2</v>
      </c>
      <c r="V4" s="39" t="str">
        <f aca="false">"Y"&amp;ROUNDUP(V$3/12,0)</f>
        <v>Y2</v>
      </c>
      <c r="W4" s="39" t="str">
        <f aca="false">"Y"&amp;ROUNDUP(W$3/12,0)</f>
        <v>Y2</v>
      </c>
      <c r="X4" s="39" t="str">
        <f aca="false">"Y"&amp;ROUNDUP(X$3/12,0)</f>
        <v>Y2</v>
      </c>
      <c r="Y4" s="39" t="str">
        <f aca="false">"Y"&amp;ROUNDUP(Y$3/12,0)</f>
        <v>Y2</v>
      </c>
      <c r="Z4" s="39" t="str">
        <f aca="false">"Y"&amp;ROUNDUP(Z$3/12,0)</f>
        <v>Y2</v>
      </c>
      <c r="AA4" s="39" t="str">
        <f aca="false">"Y"&amp;ROUNDUP(AA$3/12,0)</f>
        <v>Y3</v>
      </c>
      <c r="AB4" s="39" t="str">
        <f aca="false">"Y"&amp;ROUNDUP(AB$3/12,0)</f>
        <v>Y3</v>
      </c>
      <c r="AC4" s="39" t="str">
        <f aca="false">"Y"&amp;ROUNDUP(AC$3/12,0)</f>
        <v>Y3</v>
      </c>
      <c r="AD4" s="39" t="str">
        <f aca="false">"Y"&amp;ROUNDUP(AD$3/12,0)</f>
        <v>Y3</v>
      </c>
      <c r="AE4" s="39" t="str">
        <f aca="false">"Y"&amp;ROUNDUP(AE$3/12,0)</f>
        <v>Y3</v>
      </c>
      <c r="AF4" s="39" t="str">
        <f aca="false">"Y"&amp;ROUNDUP(AF$3/12,0)</f>
        <v>Y3</v>
      </c>
      <c r="AG4" s="39" t="str">
        <f aca="false">"Y"&amp;ROUNDUP(AG$3/12,0)</f>
        <v>Y3</v>
      </c>
      <c r="AH4" s="39" t="str">
        <f aca="false">"Y"&amp;ROUNDUP(AH$3/12,0)</f>
        <v>Y3</v>
      </c>
      <c r="AI4" s="39" t="str">
        <f aca="false">"Y"&amp;ROUNDUP(AI$3/12,0)</f>
        <v>Y3</v>
      </c>
      <c r="AJ4" s="39" t="str">
        <f aca="false">"Y"&amp;ROUNDUP(AJ$3/12,0)</f>
        <v>Y3</v>
      </c>
      <c r="AK4" s="39" t="str">
        <f aca="false">"Y"&amp;ROUNDUP(AK$3/12,0)</f>
        <v>Y3</v>
      </c>
      <c r="AL4" s="39" t="str">
        <f aca="false">"Y"&amp;ROUNDUP(AL$3/12,0)</f>
        <v>Y3</v>
      </c>
    </row>
    <row r="5" customFormat="false" ht="15" hidden="false" customHeight="false" outlineLevel="0" collapsed="false">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row>
    <row r="6" customFormat="false" ht="15" hidden="false" customHeight="false" outlineLevel="0" collapsed="false">
      <c r="A6" s="5" t="s">
        <v>550</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row>
    <row r="7" customFormat="false" ht="15" hidden="false" customHeight="false" outlineLevel="0" collapsed="false">
      <c r="A7" s="2" t="s">
        <v>551</v>
      </c>
      <c r="B7" s="2" t="s">
        <v>552</v>
      </c>
      <c r="C7" s="40" t="n">
        <f aca="false">0</f>
        <v>0</v>
      </c>
      <c r="D7" s="40" t="n">
        <f aca="false">MAX(C7,IF(IF(Assumptions!$B$187="Customers",C36,C43)&gt;=Assumptions!$C$187,1,0))</f>
        <v>0</v>
      </c>
      <c r="E7" s="40" t="n">
        <f aca="false">MAX(D7,IF(IF(Assumptions!$B$187="Customers",D36,D43)&gt;=Assumptions!$C$187,1,0))</f>
        <v>0</v>
      </c>
      <c r="F7" s="40" t="n">
        <f aca="false">MAX(E7,IF(IF(Assumptions!$B$187="Customers",E36,E43)&gt;=Assumptions!$C$187,1,0))</f>
        <v>0</v>
      </c>
      <c r="G7" s="40" t="n">
        <f aca="false">MAX(F7,IF(IF(Assumptions!$B$187="Customers",F36,F43)&gt;=Assumptions!$C$187,1,0))</f>
        <v>0</v>
      </c>
      <c r="H7" s="40" t="n">
        <f aca="false">MAX(G7,IF(IF(Assumptions!$B$187="Customers",G36,G43)&gt;=Assumptions!$C$187,1,0))</f>
        <v>0</v>
      </c>
      <c r="I7" s="40" t="n">
        <f aca="false">MAX(H7,IF(IF(Assumptions!$B$187="Customers",H36,H43)&gt;=Assumptions!$C$187,1,0))</f>
        <v>0</v>
      </c>
      <c r="J7" s="40" t="n">
        <f aca="false">MAX(I7,IF(IF(Assumptions!$B$187="Customers",I36,I43)&gt;=Assumptions!$C$187,1,0))</f>
        <v>0</v>
      </c>
      <c r="K7" s="40" t="n">
        <f aca="false">MAX(J7,IF(IF(Assumptions!$B$187="Customers",J36,J43)&gt;=Assumptions!$C$187,1,0))</f>
        <v>1</v>
      </c>
      <c r="L7" s="40" t="n">
        <f aca="false">MAX(K7,IF(IF(Assumptions!$B$187="Customers",K36,K43)&gt;=Assumptions!$C$187,1,0))</f>
        <v>1</v>
      </c>
      <c r="M7" s="40" t="n">
        <f aca="false">MAX(L7,IF(IF(Assumptions!$B$187="Customers",L36,L43)&gt;=Assumptions!$C$187,1,0))</f>
        <v>1</v>
      </c>
      <c r="N7" s="40" t="n">
        <f aca="false">MAX(M7,IF(IF(Assumptions!$B$187="Customers",M36,M43)&gt;=Assumptions!$C$187,1,0))</f>
        <v>1</v>
      </c>
      <c r="O7" s="40" t="n">
        <f aca="false">MAX(N7,IF(IF(Assumptions!$B$187="Customers",N36,N43)&gt;=Assumptions!$C$187,1,0))</f>
        <v>1</v>
      </c>
      <c r="P7" s="40" t="n">
        <f aca="false">MAX(O7,IF(IF(Assumptions!$B$187="Customers",O36,O43)&gt;=Assumptions!$C$187,1,0))</f>
        <v>1</v>
      </c>
      <c r="Q7" s="40" t="n">
        <f aca="false">MAX(P7,IF(IF(Assumptions!$B$187="Customers",P36,P43)&gt;=Assumptions!$C$187,1,0))</f>
        <v>1</v>
      </c>
      <c r="R7" s="40" t="n">
        <f aca="false">MAX(Q7,IF(IF(Assumptions!$B$187="Customers",Q36,Q43)&gt;=Assumptions!$C$187,1,0))</f>
        <v>1</v>
      </c>
      <c r="S7" s="40" t="n">
        <f aca="false">MAX(R7,IF(IF(Assumptions!$B$187="Customers",R36,R43)&gt;=Assumptions!$C$187,1,0))</f>
        <v>1</v>
      </c>
      <c r="T7" s="40" t="n">
        <f aca="false">MAX(S7,IF(IF(Assumptions!$B$187="Customers",S36,S43)&gt;=Assumptions!$C$187,1,0))</f>
        <v>1</v>
      </c>
      <c r="U7" s="40" t="n">
        <f aca="false">MAX(T7,IF(IF(Assumptions!$B$187="Customers",T36,T43)&gt;=Assumptions!$C$187,1,0))</f>
        <v>1</v>
      </c>
      <c r="V7" s="40" t="n">
        <f aca="false">MAX(U7,IF(IF(Assumptions!$B$187="Customers",U36,U43)&gt;=Assumptions!$C$187,1,0))</f>
        <v>1</v>
      </c>
      <c r="W7" s="40" t="n">
        <f aca="false">MAX(V7,IF(IF(Assumptions!$B$187="Customers",V36,V43)&gt;=Assumptions!$C$187,1,0))</f>
        <v>1</v>
      </c>
      <c r="X7" s="40" t="n">
        <f aca="false">MAX(W7,IF(IF(Assumptions!$B$187="Customers",W36,W43)&gt;=Assumptions!$C$187,1,0))</f>
        <v>1</v>
      </c>
      <c r="Y7" s="40" t="n">
        <f aca="false">MAX(X7,IF(IF(Assumptions!$B$187="Customers",X36,X43)&gt;=Assumptions!$C$187,1,0))</f>
        <v>1</v>
      </c>
      <c r="Z7" s="40" t="n">
        <f aca="false">MAX(Y7,IF(IF(Assumptions!$B$187="Customers",Y36,Y43)&gt;=Assumptions!$C$187,1,0))</f>
        <v>1</v>
      </c>
      <c r="AA7" s="40" t="n">
        <f aca="false">MAX(Z7,IF(IF(Assumptions!$B$187="Customers",Z36,Z43)&gt;=Assumptions!$C$187,1,0))</f>
        <v>1</v>
      </c>
      <c r="AB7" s="40" t="n">
        <f aca="false">MAX(AA7,IF(IF(Assumptions!$B$187="Customers",AA36,AA43)&gt;=Assumptions!$C$187,1,0))</f>
        <v>1</v>
      </c>
      <c r="AC7" s="40" t="n">
        <f aca="false">MAX(AB7,IF(IF(Assumptions!$B$187="Customers",AB36,AB43)&gt;=Assumptions!$C$187,1,0))</f>
        <v>1</v>
      </c>
      <c r="AD7" s="40" t="n">
        <f aca="false">MAX(AC7,IF(IF(Assumptions!$B$187="Customers",AC36,AC43)&gt;=Assumptions!$C$187,1,0))</f>
        <v>1</v>
      </c>
      <c r="AE7" s="40" t="n">
        <f aca="false">MAX(AD7,IF(IF(Assumptions!$B$187="Customers",AD36,AD43)&gt;=Assumptions!$C$187,1,0))</f>
        <v>1</v>
      </c>
      <c r="AF7" s="40" t="n">
        <f aca="false">MAX(AE7,IF(IF(Assumptions!$B$187="Customers",AE36,AE43)&gt;=Assumptions!$C$187,1,0))</f>
        <v>1</v>
      </c>
      <c r="AG7" s="40" t="n">
        <f aca="false">MAX(AF7,IF(IF(Assumptions!$B$187="Customers",AF36,AF43)&gt;=Assumptions!$C$187,1,0))</f>
        <v>1</v>
      </c>
      <c r="AH7" s="40" t="n">
        <f aca="false">MAX(AG7,IF(IF(Assumptions!$B$187="Customers",AG36,AG43)&gt;=Assumptions!$C$187,1,0))</f>
        <v>1</v>
      </c>
      <c r="AI7" s="40" t="n">
        <f aca="false">MAX(AH7,IF(IF(Assumptions!$B$187="Customers",AH36,AH43)&gt;=Assumptions!$C$187,1,0))</f>
        <v>1</v>
      </c>
      <c r="AJ7" s="40" t="n">
        <f aca="false">MAX(AI7,IF(IF(Assumptions!$B$187="Customers",AI36,AI43)&gt;=Assumptions!$C$187,1,0))</f>
        <v>1</v>
      </c>
      <c r="AK7" s="40" t="n">
        <f aca="false">MAX(AJ7,IF(IF(Assumptions!$B$187="Customers",AJ36,AJ43)&gt;=Assumptions!$C$187,1,0))</f>
        <v>1</v>
      </c>
      <c r="AL7" s="40" t="n">
        <f aca="false">MAX(AK7,IF(IF(Assumptions!$B$187="Customers",AK36,AK43)&gt;=Assumptions!$C$187,1,0))</f>
        <v>1</v>
      </c>
    </row>
    <row r="8" customFormat="false" ht="15" hidden="false" customHeight="false" outlineLevel="0" collapsed="false">
      <c r="A8" s="2" t="s">
        <v>553</v>
      </c>
      <c r="B8" s="2" t="s">
        <v>552</v>
      </c>
      <c r="C8" s="40" t="n">
        <f aca="false">0</f>
        <v>0</v>
      </c>
      <c r="D8" s="40" t="n">
        <f aca="false">MAX(C8,IF(IF(Assumptions!$B$188="Customers",C36,C43)&gt;=Assumptions!$C$188,1,0))</f>
        <v>0</v>
      </c>
      <c r="E8" s="40" t="n">
        <f aca="false">MAX(D8,IF(IF(Assumptions!$B$188="Customers",D36,D43)&gt;=Assumptions!$C$188,1,0))</f>
        <v>0</v>
      </c>
      <c r="F8" s="40" t="n">
        <f aca="false">MAX(E8,IF(IF(Assumptions!$B$188="Customers",E36,E43)&gt;=Assumptions!$C$188,1,0))</f>
        <v>0</v>
      </c>
      <c r="G8" s="40" t="n">
        <f aca="false">MAX(F8,IF(IF(Assumptions!$B$188="Customers",F36,F43)&gt;=Assumptions!$C$188,1,0))</f>
        <v>0</v>
      </c>
      <c r="H8" s="40" t="n">
        <f aca="false">MAX(G8,IF(IF(Assumptions!$B$188="Customers",G36,G43)&gt;=Assumptions!$C$188,1,0))</f>
        <v>0</v>
      </c>
      <c r="I8" s="40" t="n">
        <f aca="false">MAX(H8,IF(IF(Assumptions!$B$188="Customers",H36,H43)&gt;=Assumptions!$C$188,1,0))</f>
        <v>0</v>
      </c>
      <c r="J8" s="40" t="n">
        <f aca="false">MAX(I8,IF(IF(Assumptions!$B$188="Customers",I36,I43)&gt;=Assumptions!$C$188,1,0))</f>
        <v>0</v>
      </c>
      <c r="K8" s="40" t="n">
        <f aca="false">MAX(J8,IF(IF(Assumptions!$B$188="Customers",J36,J43)&gt;=Assumptions!$C$188,1,0))</f>
        <v>0</v>
      </c>
      <c r="L8" s="40" t="n">
        <f aca="false">MAX(K8,IF(IF(Assumptions!$B$188="Customers",K36,K43)&gt;=Assumptions!$C$188,1,0))</f>
        <v>0</v>
      </c>
      <c r="M8" s="40" t="n">
        <f aca="false">MAX(L8,IF(IF(Assumptions!$B$188="Customers",L36,L43)&gt;=Assumptions!$C$188,1,0))</f>
        <v>0</v>
      </c>
      <c r="N8" s="40" t="n">
        <f aca="false">MAX(M8,IF(IF(Assumptions!$B$188="Customers",M36,M43)&gt;=Assumptions!$C$188,1,0))</f>
        <v>0</v>
      </c>
      <c r="O8" s="40" t="n">
        <f aca="false">MAX(N8,IF(IF(Assumptions!$B$188="Customers",N36,N43)&gt;=Assumptions!$C$188,1,0))</f>
        <v>1</v>
      </c>
      <c r="P8" s="40" t="n">
        <f aca="false">MAX(O8,IF(IF(Assumptions!$B$188="Customers",O36,O43)&gt;=Assumptions!$C$188,1,0))</f>
        <v>1</v>
      </c>
      <c r="Q8" s="40" t="n">
        <f aca="false">MAX(P8,IF(IF(Assumptions!$B$188="Customers",P36,P43)&gt;=Assumptions!$C$188,1,0))</f>
        <v>1</v>
      </c>
      <c r="R8" s="40" t="n">
        <f aca="false">MAX(Q8,IF(IF(Assumptions!$B$188="Customers",Q36,Q43)&gt;=Assumptions!$C$188,1,0))</f>
        <v>1</v>
      </c>
      <c r="S8" s="40" t="n">
        <f aca="false">MAX(R8,IF(IF(Assumptions!$B$188="Customers",R36,R43)&gt;=Assumptions!$C$188,1,0))</f>
        <v>1</v>
      </c>
      <c r="T8" s="40" t="n">
        <f aca="false">MAX(S8,IF(IF(Assumptions!$B$188="Customers",S36,S43)&gt;=Assumptions!$C$188,1,0))</f>
        <v>1</v>
      </c>
      <c r="U8" s="40" t="n">
        <f aca="false">MAX(T8,IF(IF(Assumptions!$B$188="Customers",T36,T43)&gt;=Assumptions!$C$188,1,0))</f>
        <v>1</v>
      </c>
      <c r="V8" s="40" t="n">
        <f aca="false">MAX(U8,IF(IF(Assumptions!$B$188="Customers",U36,U43)&gt;=Assumptions!$C$188,1,0))</f>
        <v>1</v>
      </c>
      <c r="W8" s="40" t="n">
        <f aca="false">MAX(V8,IF(IF(Assumptions!$B$188="Customers",V36,V43)&gt;=Assumptions!$C$188,1,0))</f>
        <v>1</v>
      </c>
      <c r="X8" s="40" t="n">
        <f aca="false">MAX(W8,IF(IF(Assumptions!$B$188="Customers",W36,W43)&gt;=Assumptions!$C$188,1,0))</f>
        <v>1</v>
      </c>
      <c r="Y8" s="40" t="n">
        <f aca="false">MAX(X8,IF(IF(Assumptions!$B$188="Customers",X36,X43)&gt;=Assumptions!$C$188,1,0))</f>
        <v>1</v>
      </c>
      <c r="Z8" s="40" t="n">
        <f aca="false">MAX(Y8,IF(IF(Assumptions!$B$188="Customers",Y36,Y43)&gt;=Assumptions!$C$188,1,0))</f>
        <v>1</v>
      </c>
      <c r="AA8" s="40" t="n">
        <f aca="false">MAX(Z8,IF(IF(Assumptions!$B$188="Customers",Z36,Z43)&gt;=Assumptions!$C$188,1,0))</f>
        <v>1</v>
      </c>
      <c r="AB8" s="40" t="n">
        <f aca="false">MAX(AA8,IF(IF(Assumptions!$B$188="Customers",AA36,AA43)&gt;=Assumptions!$C$188,1,0))</f>
        <v>1</v>
      </c>
      <c r="AC8" s="40" t="n">
        <f aca="false">MAX(AB8,IF(IF(Assumptions!$B$188="Customers",AB36,AB43)&gt;=Assumptions!$C$188,1,0))</f>
        <v>1</v>
      </c>
      <c r="AD8" s="40" t="n">
        <f aca="false">MAX(AC8,IF(IF(Assumptions!$B$188="Customers",AC36,AC43)&gt;=Assumptions!$C$188,1,0))</f>
        <v>1</v>
      </c>
      <c r="AE8" s="40" t="n">
        <f aca="false">MAX(AD8,IF(IF(Assumptions!$B$188="Customers",AD36,AD43)&gt;=Assumptions!$C$188,1,0))</f>
        <v>1</v>
      </c>
      <c r="AF8" s="40" t="n">
        <f aca="false">MAX(AE8,IF(IF(Assumptions!$B$188="Customers",AE36,AE43)&gt;=Assumptions!$C$188,1,0))</f>
        <v>1</v>
      </c>
      <c r="AG8" s="40" t="n">
        <f aca="false">MAX(AF8,IF(IF(Assumptions!$B$188="Customers",AF36,AF43)&gt;=Assumptions!$C$188,1,0))</f>
        <v>1</v>
      </c>
      <c r="AH8" s="40" t="n">
        <f aca="false">MAX(AG8,IF(IF(Assumptions!$B$188="Customers",AG36,AG43)&gt;=Assumptions!$C$188,1,0))</f>
        <v>1</v>
      </c>
      <c r="AI8" s="40" t="n">
        <f aca="false">MAX(AH8,IF(IF(Assumptions!$B$188="Customers",AH36,AH43)&gt;=Assumptions!$C$188,1,0))</f>
        <v>1</v>
      </c>
      <c r="AJ8" s="40" t="n">
        <f aca="false">MAX(AI8,IF(IF(Assumptions!$B$188="Customers",AI36,AI43)&gt;=Assumptions!$C$188,1,0))</f>
        <v>1</v>
      </c>
      <c r="AK8" s="40" t="n">
        <f aca="false">MAX(AJ8,IF(IF(Assumptions!$B$188="Customers",AJ36,AJ43)&gt;=Assumptions!$C$188,1,0))</f>
        <v>1</v>
      </c>
      <c r="AL8" s="40" t="n">
        <f aca="false">MAX(AK8,IF(IF(Assumptions!$B$188="Customers",AK36,AK43)&gt;=Assumptions!$C$188,1,0))</f>
        <v>1</v>
      </c>
    </row>
    <row r="9" customFormat="false" ht="15" hidden="false" customHeight="false" outlineLevel="0" collapsed="false">
      <c r="A9" s="2" t="s">
        <v>554</v>
      </c>
      <c r="B9" s="2" t="s">
        <v>552</v>
      </c>
      <c r="C9" s="40" t="n">
        <f aca="false">0</f>
        <v>0</v>
      </c>
      <c r="D9" s="40" t="n">
        <f aca="false">MAX(C9,IF(IF(Assumptions!$B$189="Customers",C36,C43)&gt;=Assumptions!$C$189,1,0))</f>
        <v>0</v>
      </c>
      <c r="E9" s="40" t="n">
        <f aca="false">MAX(D9,IF(IF(Assumptions!$B$189="Customers",D36,D43)&gt;=Assumptions!$C$189,1,0))</f>
        <v>0</v>
      </c>
      <c r="F9" s="40" t="n">
        <f aca="false">MAX(E9,IF(IF(Assumptions!$B$189="Customers",E36,E43)&gt;=Assumptions!$C$189,1,0))</f>
        <v>0</v>
      </c>
      <c r="G9" s="40" t="n">
        <f aca="false">MAX(F9,IF(IF(Assumptions!$B$189="Customers",F36,F43)&gt;=Assumptions!$C$189,1,0))</f>
        <v>0</v>
      </c>
      <c r="H9" s="40" t="n">
        <f aca="false">MAX(G9,IF(IF(Assumptions!$B$189="Customers",G36,G43)&gt;=Assumptions!$C$189,1,0))</f>
        <v>0</v>
      </c>
      <c r="I9" s="40" t="n">
        <f aca="false">MAX(H9,IF(IF(Assumptions!$B$189="Customers",H36,H43)&gt;=Assumptions!$C$189,1,0))</f>
        <v>0</v>
      </c>
      <c r="J9" s="40" t="n">
        <f aca="false">MAX(I9,IF(IF(Assumptions!$B$189="Customers",I36,I43)&gt;=Assumptions!$C$189,1,0))</f>
        <v>0</v>
      </c>
      <c r="K9" s="40" t="n">
        <f aca="false">MAX(J9,IF(IF(Assumptions!$B$189="Customers",J36,J43)&gt;=Assumptions!$C$189,1,0))</f>
        <v>0</v>
      </c>
      <c r="L9" s="40" t="n">
        <f aca="false">MAX(K9,IF(IF(Assumptions!$B$189="Customers",K36,K43)&gt;=Assumptions!$C$189,1,0))</f>
        <v>0</v>
      </c>
      <c r="M9" s="40" t="n">
        <f aca="false">MAX(L9,IF(IF(Assumptions!$B$189="Customers",L36,L43)&gt;=Assumptions!$C$189,1,0))</f>
        <v>0</v>
      </c>
      <c r="N9" s="40" t="n">
        <f aca="false">MAX(M9,IF(IF(Assumptions!$B$189="Customers",M36,M43)&gt;=Assumptions!$C$189,1,0))</f>
        <v>0</v>
      </c>
      <c r="O9" s="40" t="n">
        <f aca="false">MAX(N9,IF(IF(Assumptions!$B$189="Customers",N36,N43)&gt;=Assumptions!$C$189,1,0))</f>
        <v>0</v>
      </c>
      <c r="P9" s="40" t="n">
        <f aca="false">MAX(O9,IF(IF(Assumptions!$B$189="Customers",O36,O43)&gt;=Assumptions!$C$189,1,0))</f>
        <v>0</v>
      </c>
      <c r="Q9" s="40" t="n">
        <f aca="false">MAX(P9,IF(IF(Assumptions!$B$189="Customers",P36,P43)&gt;=Assumptions!$C$189,1,0))</f>
        <v>0</v>
      </c>
      <c r="R9" s="40" t="n">
        <f aca="false">MAX(Q9,IF(IF(Assumptions!$B$189="Customers",Q36,Q43)&gt;=Assumptions!$C$189,1,0))</f>
        <v>1</v>
      </c>
      <c r="S9" s="40" t="n">
        <f aca="false">MAX(R9,IF(IF(Assumptions!$B$189="Customers",R36,R43)&gt;=Assumptions!$C$189,1,0))</f>
        <v>1</v>
      </c>
      <c r="T9" s="40" t="n">
        <f aca="false">MAX(S9,IF(IF(Assumptions!$B$189="Customers",S36,S43)&gt;=Assumptions!$C$189,1,0))</f>
        <v>1</v>
      </c>
      <c r="U9" s="40" t="n">
        <f aca="false">MAX(T9,IF(IF(Assumptions!$B$189="Customers",T36,T43)&gt;=Assumptions!$C$189,1,0))</f>
        <v>1</v>
      </c>
      <c r="V9" s="40" t="n">
        <f aca="false">MAX(U9,IF(IF(Assumptions!$B$189="Customers",U36,U43)&gt;=Assumptions!$C$189,1,0))</f>
        <v>1</v>
      </c>
      <c r="W9" s="40" t="n">
        <f aca="false">MAX(V9,IF(IF(Assumptions!$B$189="Customers",V36,V43)&gt;=Assumptions!$C$189,1,0))</f>
        <v>1</v>
      </c>
      <c r="X9" s="40" t="n">
        <f aca="false">MAX(W9,IF(IF(Assumptions!$B$189="Customers",W36,W43)&gt;=Assumptions!$C$189,1,0))</f>
        <v>1</v>
      </c>
      <c r="Y9" s="40" t="n">
        <f aca="false">MAX(X9,IF(IF(Assumptions!$B$189="Customers",X36,X43)&gt;=Assumptions!$C$189,1,0))</f>
        <v>1</v>
      </c>
      <c r="Z9" s="40" t="n">
        <f aca="false">MAX(Y9,IF(IF(Assumptions!$B$189="Customers",Y36,Y43)&gt;=Assumptions!$C$189,1,0))</f>
        <v>1</v>
      </c>
      <c r="AA9" s="40" t="n">
        <f aca="false">MAX(Z9,IF(IF(Assumptions!$B$189="Customers",Z36,Z43)&gt;=Assumptions!$C$189,1,0))</f>
        <v>1</v>
      </c>
      <c r="AB9" s="40" t="n">
        <f aca="false">MAX(AA9,IF(IF(Assumptions!$B$189="Customers",AA36,AA43)&gt;=Assumptions!$C$189,1,0))</f>
        <v>1</v>
      </c>
      <c r="AC9" s="40" t="n">
        <f aca="false">MAX(AB9,IF(IF(Assumptions!$B$189="Customers",AB36,AB43)&gt;=Assumptions!$C$189,1,0))</f>
        <v>1</v>
      </c>
      <c r="AD9" s="40" t="n">
        <f aca="false">MAX(AC9,IF(IF(Assumptions!$B$189="Customers",AC36,AC43)&gt;=Assumptions!$C$189,1,0))</f>
        <v>1</v>
      </c>
      <c r="AE9" s="40" t="n">
        <f aca="false">MAX(AD9,IF(IF(Assumptions!$B$189="Customers",AD36,AD43)&gt;=Assumptions!$C$189,1,0))</f>
        <v>1</v>
      </c>
      <c r="AF9" s="40" t="n">
        <f aca="false">MAX(AE9,IF(IF(Assumptions!$B$189="Customers",AE36,AE43)&gt;=Assumptions!$C$189,1,0))</f>
        <v>1</v>
      </c>
      <c r="AG9" s="40" t="n">
        <f aca="false">MAX(AF9,IF(IF(Assumptions!$B$189="Customers",AF36,AF43)&gt;=Assumptions!$C$189,1,0))</f>
        <v>1</v>
      </c>
      <c r="AH9" s="40" t="n">
        <f aca="false">MAX(AG9,IF(IF(Assumptions!$B$189="Customers",AG36,AG43)&gt;=Assumptions!$C$189,1,0))</f>
        <v>1</v>
      </c>
      <c r="AI9" s="40" t="n">
        <f aca="false">MAX(AH9,IF(IF(Assumptions!$B$189="Customers",AH36,AH43)&gt;=Assumptions!$C$189,1,0))</f>
        <v>1</v>
      </c>
      <c r="AJ9" s="40" t="n">
        <f aca="false">MAX(AI9,IF(IF(Assumptions!$B$189="Customers",AI36,AI43)&gt;=Assumptions!$C$189,1,0))</f>
        <v>1</v>
      </c>
      <c r="AK9" s="40" t="n">
        <f aca="false">MAX(AJ9,IF(IF(Assumptions!$B$189="Customers",AJ36,AJ43)&gt;=Assumptions!$C$189,1,0))</f>
        <v>1</v>
      </c>
      <c r="AL9" s="40" t="n">
        <f aca="false">MAX(AK9,IF(IF(Assumptions!$B$189="Customers",AK36,AK43)&gt;=Assumptions!$C$189,1,0))</f>
        <v>1</v>
      </c>
    </row>
    <row r="10" customFormat="false" ht="15" hidden="false" customHeight="false" outlineLevel="0" collapsed="false">
      <c r="A10" s="2" t="s">
        <v>555</v>
      </c>
      <c r="B10" s="2" t="s">
        <v>552</v>
      </c>
      <c r="C10" s="40" t="n">
        <f aca="false">0</f>
        <v>0</v>
      </c>
      <c r="D10" s="40" t="n">
        <f aca="false">MAX(C10,IF(IF(Assumptions!$B$190="Customers",C36,C43)&gt;=Assumptions!$C$190,1,0))</f>
        <v>0</v>
      </c>
      <c r="E10" s="40" t="n">
        <f aca="false">MAX(D10,IF(IF(Assumptions!$B$190="Customers",D36,D43)&gt;=Assumptions!$C$190,1,0))</f>
        <v>0</v>
      </c>
      <c r="F10" s="40" t="n">
        <f aca="false">MAX(E10,IF(IF(Assumptions!$B$190="Customers",E36,E43)&gt;=Assumptions!$C$190,1,0))</f>
        <v>0</v>
      </c>
      <c r="G10" s="40" t="n">
        <f aca="false">MAX(F10,IF(IF(Assumptions!$B$190="Customers",F36,F43)&gt;=Assumptions!$C$190,1,0))</f>
        <v>0</v>
      </c>
      <c r="H10" s="40" t="n">
        <f aca="false">MAX(G10,IF(IF(Assumptions!$B$190="Customers",G36,G43)&gt;=Assumptions!$C$190,1,0))</f>
        <v>0</v>
      </c>
      <c r="I10" s="40" t="n">
        <f aca="false">MAX(H10,IF(IF(Assumptions!$B$190="Customers",H36,H43)&gt;=Assumptions!$C$190,1,0))</f>
        <v>0</v>
      </c>
      <c r="J10" s="40" t="n">
        <f aca="false">MAX(I10,IF(IF(Assumptions!$B$190="Customers",I36,I43)&gt;=Assumptions!$C$190,1,0))</f>
        <v>0</v>
      </c>
      <c r="K10" s="40" t="n">
        <f aca="false">MAX(J10,IF(IF(Assumptions!$B$190="Customers",J36,J43)&gt;=Assumptions!$C$190,1,0))</f>
        <v>0</v>
      </c>
      <c r="L10" s="40" t="n">
        <f aca="false">MAX(K10,IF(IF(Assumptions!$B$190="Customers",K36,K43)&gt;=Assumptions!$C$190,1,0))</f>
        <v>0</v>
      </c>
      <c r="M10" s="40" t="n">
        <f aca="false">MAX(L10,IF(IF(Assumptions!$B$190="Customers",L36,L43)&gt;=Assumptions!$C$190,1,0))</f>
        <v>0</v>
      </c>
      <c r="N10" s="40" t="n">
        <f aca="false">MAX(M10,IF(IF(Assumptions!$B$190="Customers",M36,M43)&gt;=Assumptions!$C$190,1,0))</f>
        <v>0</v>
      </c>
      <c r="O10" s="40" t="n">
        <f aca="false">MAX(N10,IF(IF(Assumptions!$B$190="Customers",N36,N43)&gt;=Assumptions!$C$190,1,0))</f>
        <v>0</v>
      </c>
      <c r="P10" s="40" t="n">
        <f aca="false">MAX(O10,IF(IF(Assumptions!$B$190="Customers",O36,O43)&gt;=Assumptions!$C$190,1,0))</f>
        <v>0</v>
      </c>
      <c r="Q10" s="40" t="n">
        <f aca="false">MAX(P10,IF(IF(Assumptions!$B$190="Customers",P36,P43)&gt;=Assumptions!$C$190,1,0))</f>
        <v>0</v>
      </c>
      <c r="R10" s="40" t="n">
        <f aca="false">MAX(Q10,IF(IF(Assumptions!$B$190="Customers",Q36,Q43)&gt;=Assumptions!$C$190,1,0))</f>
        <v>0</v>
      </c>
      <c r="S10" s="40" t="n">
        <f aca="false">MAX(R10,IF(IF(Assumptions!$B$190="Customers",R36,R43)&gt;=Assumptions!$C$190,1,0))</f>
        <v>0</v>
      </c>
      <c r="T10" s="40" t="n">
        <f aca="false">MAX(S10,IF(IF(Assumptions!$B$190="Customers",S36,S43)&gt;=Assumptions!$C$190,1,0))</f>
        <v>0</v>
      </c>
      <c r="U10" s="40" t="n">
        <f aca="false">MAX(T10,IF(IF(Assumptions!$B$190="Customers",T36,T43)&gt;=Assumptions!$C$190,1,0))</f>
        <v>0</v>
      </c>
      <c r="V10" s="40" t="n">
        <f aca="false">MAX(U10,IF(IF(Assumptions!$B$190="Customers",U36,U43)&gt;=Assumptions!$C$190,1,0))</f>
        <v>0</v>
      </c>
      <c r="W10" s="40" t="n">
        <f aca="false">MAX(V10,IF(IF(Assumptions!$B$190="Customers",V36,V43)&gt;=Assumptions!$C$190,1,0))</f>
        <v>1</v>
      </c>
      <c r="X10" s="40" t="n">
        <f aca="false">MAX(W10,IF(IF(Assumptions!$B$190="Customers",W36,W43)&gt;=Assumptions!$C$190,1,0))</f>
        <v>1</v>
      </c>
      <c r="Y10" s="40" t="n">
        <f aca="false">MAX(X10,IF(IF(Assumptions!$B$190="Customers",X36,X43)&gt;=Assumptions!$C$190,1,0))</f>
        <v>1</v>
      </c>
      <c r="Z10" s="40" t="n">
        <f aca="false">MAX(Y10,IF(IF(Assumptions!$B$190="Customers",Y36,Y43)&gt;=Assumptions!$C$190,1,0))</f>
        <v>1</v>
      </c>
      <c r="AA10" s="40" t="n">
        <f aca="false">MAX(Z10,IF(IF(Assumptions!$B$190="Customers",Z36,Z43)&gt;=Assumptions!$C$190,1,0))</f>
        <v>1</v>
      </c>
      <c r="AB10" s="40" t="n">
        <f aca="false">MAX(AA10,IF(IF(Assumptions!$B$190="Customers",AA36,AA43)&gt;=Assumptions!$C$190,1,0))</f>
        <v>1</v>
      </c>
      <c r="AC10" s="40" t="n">
        <f aca="false">MAX(AB10,IF(IF(Assumptions!$B$190="Customers",AB36,AB43)&gt;=Assumptions!$C$190,1,0))</f>
        <v>1</v>
      </c>
      <c r="AD10" s="40" t="n">
        <f aca="false">MAX(AC10,IF(IF(Assumptions!$B$190="Customers",AC36,AC43)&gt;=Assumptions!$C$190,1,0))</f>
        <v>1</v>
      </c>
      <c r="AE10" s="40" t="n">
        <f aca="false">MAX(AD10,IF(IF(Assumptions!$B$190="Customers",AD36,AD43)&gt;=Assumptions!$C$190,1,0))</f>
        <v>1</v>
      </c>
      <c r="AF10" s="40" t="n">
        <f aca="false">MAX(AE10,IF(IF(Assumptions!$B$190="Customers",AE36,AE43)&gt;=Assumptions!$C$190,1,0))</f>
        <v>1</v>
      </c>
      <c r="AG10" s="40" t="n">
        <f aca="false">MAX(AF10,IF(IF(Assumptions!$B$190="Customers",AF36,AF43)&gt;=Assumptions!$C$190,1,0))</f>
        <v>1</v>
      </c>
      <c r="AH10" s="40" t="n">
        <f aca="false">MAX(AG10,IF(IF(Assumptions!$B$190="Customers",AG36,AG43)&gt;=Assumptions!$C$190,1,0))</f>
        <v>1</v>
      </c>
      <c r="AI10" s="40" t="n">
        <f aca="false">MAX(AH10,IF(IF(Assumptions!$B$190="Customers",AH36,AH43)&gt;=Assumptions!$C$190,1,0))</f>
        <v>1</v>
      </c>
      <c r="AJ10" s="40" t="n">
        <f aca="false">MAX(AI10,IF(IF(Assumptions!$B$190="Customers",AI36,AI43)&gt;=Assumptions!$C$190,1,0))</f>
        <v>1</v>
      </c>
      <c r="AK10" s="40" t="n">
        <f aca="false">MAX(AJ10,IF(IF(Assumptions!$B$190="Customers",AJ36,AJ43)&gt;=Assumptions!$C$190,1,0))</f>
        <v>1</v>
      </c>
      <c r="AL10" s="40" t="n">
        <f aca="false">MAX(AK10,IF(IF(Assumptions!$B$190="Customers",AK36,AK43)&gt;=Assumptions!$C$190,1,0))</f>
        <v>1</v>
      </c>
    </row>
    <row r="11" customFormat="false" ht="15" hidden="false" customHeight="false" outlineLevel="0" collapsed="false">
      <c r="A11" s="2" t="s">
        <v>556</v>
      </c>
      <c r="B11" s="2" t="s">
        <v>552</v>
      </c>
      <c r="C11" s="40" t="n">
        <f aca="false">0</f>
        <v>0</v>
      </c>
      <c r="D11" s="40" t="n">
        <f aca="false">MAX(C11,IF(IF(Assumptions!$B$191="Customers",C36,C43)&gt;=Assumptions!$C$191,1,0))</f>
        <v>0</v>
      </c>
      <c r="E11" s="40" t="n">
        <f aca="false">MAX(D11,IF(IF(Assumptions!$B$191="Customers",D36,D43)&gt;=Assumptions!$C$191,1,0))</f>
        <v>0</v>
      </c>
      <c r="F11" s="40" t="n">
        <f aca="false">MAX(E11,IF(IF(Assumptions!$B$191="Customers",E36,E43)&gt;=Assumptions!$C$191,1,0))</f>
        <v>0</v>
      </c>
      <c r="G11" s="40" t="n">
        <f aca="false">MAX(F11,IF(IF(Assumptions!$B$191="Customers",F36,F43)&gt;=Assumptions!$C$191,1,0))</f>
        <v>0</v>
      </c>
      <c r="H11" s="40" t="n">
        <f aca="false">MAX(G11,IF(IF(Assumptions!$B$191="Customers",G36,G43)&gt;=Assumptions!$C$191,1,0))</f>
        <v>0</v>
      </c>
      <c r="I11" s="40" t="n">
        <f aca="false">MAX(H11,IF(IF(Assumptions!$B$191="Customers",H36,H43)&gt;=Assumptions!$C$191,1,0))</f>
        <v>0</v>
      </c>
      <c r="J11" s="40" t="n">
        <f aca="false">MAX(I11,IF(IF(Assumptions!$B$191="Customers",I36,I43)&gt;=Assumptions!$C$191,1,0))</f>
        <v>0</v>
      </c>
      <c r="K11" s="40" t="n">
        <f aca="false">MAX(J11,IF(IF(Assumptions!$B$191="Customers",J36,J43)&gt;=Assumptions!$C$191,1,0))</f>
        <v>0</v>
      </c>
      <c r="L11" s="40" t="n">
        <f aca="false">MAX(K11,IF(IF(Assumptions!$B$191="Customers",K36,K43)&gt;=Assumptions!$C$191,1,0))</f>
        <v>0</v>
      </c>
      <c r="M11" s="40" t="n">
        <f aca="false">MAX(L11,IF(IF(Assumptions!$B$191="Customers",L36,L43)&gt;=Assumptions!$C$191,1,0))</f>
        <v>0</v>
      </c>
      <c r="N11" s="40" t="n">
        <f aca="false">MAX(M11,IF(IF(Assumptions!$B$191="Customers",M36,M43)&gt;=Assumptions!$C$191,1,0))</f>
        <v>0</v>
      </c>
      <c r="O11" s="40" t="n">
        <f aca="false">MAX(N11,IF(IF(Assumptions!$B$191="Customers",N36,N43)&gt;=Assumptions!$C$191,1,0))</f>
        <v>0</v>
      </c>
      <c r="P11" s="40" t="n">
        <f aca="false">MAX(O11,IF(IF(Assumptions!$B$191="Customers",O36,O43)&gt;=Assumptions!$C$191,1,0))</f>
        <v>0</v>
      </c>
      <c r="Q11" s="40" t="n">
        <f aca="false">MAX(P11,IF(IF(Assumptions!$B$191="Customers",P36,P43)&gt;=Assumptions!$C$191,1,0))</f>
        <v>0</v>
      </c>
      <c r="R11" s="40" t="n">
        <f aca="false">MAX(Q11,IF(IF(Assumptions!$B$191="Customers",Q36,Q43)&gt;=Assumptions!$C$191,1,0))</f>
        <v>0</v>
      </c>
      <c r="S11" s="40" t="n">
        <f aca="false">MAX(R11,IF(IF(Assumptions!$B$191="Customers",R36,R43)&gt;=Assumptions!$C$191,1,0))</f>
        <v>0</v>
      </c>
      <c r="T11" s="40" t="n">
        <f aca="false">MAX(S11,IF(IF(Assumptions!$B$191="Customers",S36,S43)&gt;=Assumptions!$C$191,1,0))</f>
        <v>0</v>
      </c>
      <c r="U11" s="40" t="n">
        <f aca="false">MAX(T11,IF(IF(Assumptions!$B$191="Customers",T36,T43)&gt;=Assumptions!$C$191,1,0))</f>
        <v>0</v>
      </c>
      <c r="V11" s="40" t="n">
        <f aca="false">MAX(U11,IF(IF(Assumptions!$B$191="Customers",U36,U43)&gt;=Assumptions!$C$191,1,0))</f>
        <v>0</v>
      </c>
      <c r="W11" s="40" t="n">
        <f aca="false">MAX(V11,IF(IF(Assumptions!$B$191="Customers",V36,V43)&gt;=Assumptions!$C$191,1,0))</f>
        <v>1</v>
      </c>
      <c r="X11" s="40" t="n">
        <f aca="false">MAX(W11,IF(IF(Assumptions!$B$191="Customers",W36,W43)&gt;=Assumptions!$C$191,1,0))</f>
        <v>1</v>
      </c>
      <c r="Y11" s="40" t="n">
        <f aca="false">MAX(X11,IF(IF(Assumptions!$B$191="Customers",X36,X43)&gt;=Assumptions!$C$191,1,0))</f>
        <v>1</v>
      </c>
      <c r="Z11" s="40" t="n">
        <f aca="false">MAX(Y11,IF(IF(Assumptions!$B$191="Customers",Y36,Y43)&gt;=Assumptions!$C$191,1,0))</f>
        <v>1</v>
      </c>
      <c r="AA11" s="40" t="n">
        <f aca="false">MAX(Z11,IF(IF(Assumptions!$B$191="Customers",Z36,Z43)&gt;=Assumptions!$C$191,1,0))</f>
        <v>1</v>
      </c>
      <c r="AB11" s="40" t="n">
        <f aca="false">MAX(AA11,IF(IF(Assumptions!$B$191="Customers",AA36,AA43)&gt;=Assumptions!$C$191,1,0))</f>
        <v>1</v>
      </c>
      <c r="AC11" s="40" t="n">
        <f aca="false">MAX(AB11,IF(IF(Assumptions!$B$191="Customers",AB36,AB43)&gt;=Assumptions!$C$191,1,0))</f>
        <v>1</v>
      </c>
      <c r="AD11" s="40" t="n">
        <f aca="false">MAX(AC11,IF(IF(Assumptions!$B$191="Customers",AC36,AC43)&gt;=Assumptions!$C$191,1,0))</f>
        <v>1</v>
      </c>
      <c r="AE11" s="40" t="n">
        <f aca="false">MAX(AD11,IF(IF(Assumptions!$B$191="Customers",AD36,AD43)&gt;=Assumptions!$C$191,1,0))</f>
        <v>1</v>
      </c>
      <c r="AF11" s="40" t="n">
        <f aca="false">MAX(AE11,IF(IF(Assumptions!$B$191="Customers",AE36,AE43)&gt;=Assumptions!$C$191,1,0))</f>
        <v>1</v>
      </c>
      <c r="AG11" s="40" t="n">
        <f aca="false">MAX(AF11,IF(IF(Assumptions!$B$191="Customers",AF36,AF43)&gt;=Assumptions!$C$191,1,0))</f>
        <v>1</v>
      </c>
      <c r="AH11" s="40" t="n">
        <f aca="false">MAX(AG11,IF(IF(Assumptions!$B$191="Customers",AG36,AG43)&gt;=Assumptions!$C$191,1,0))</f>
        <v>1</v>
      </c>
      <c r="AI11" s="40" t="n">
        <f aca="false">MAX(AH11,IF(IF(Assumptions!$B$191="Customers",AH36,AH43)&gt;=Assumptions!$C$191,1,0))</f>
        <v>1</v>
      </c>
      <c r="AJ11" s="40" t="n">
        <f aca="false">MAX(AI11,IF(IF(Assumptions!$B$191="Customers",AI36,AI43)&gt;=Assumptions!$C$191,1,0))</f>
        <v>1</v>
      </c>
      <c r="AK11" s="40" t="n">
        <f aca="false">MAX(AJ11,IF(IF(Assumptions!$B$191="Customers",AJ36,AJ43)&gt;=Assumptions!$C$191,1,0))</f>
        <v>1</v>
      </c>
      <c r="AL11" s="40" t="n">
        <f aca="false">MAX(AK11,IF(IF(Assumptions!$B$191="Customers",AK36,AK43)&gt;=Assumptions!$C$191,1,0))</f>
        <v>1</v>
      </c>
    </row>
    <row r="12" customFormat="false" ht="15" hidden="false" customHeight="false" outlineLevel="0" collapsed="false">
      <c r="A12" s="2" t="s">
        <v>557</v>
      </c>
      <c r="B12" s="2" t="s">
        <v>552</v>
      </c>
      <c r="C12" s="40" t="n">
        <f aca="false">0</f>
        <v>0</v>
      </c>
      <c r="D12" s="40" t="n">
        <f aca="false">MAX(C12,IF(IF(Assumptions!$B$192="Customers",C36,C43)&gt;=Assumptions!$C$192,1,0))</f>
        <v>0</v>
      </c>
      <c r="E12" s="40" t="n">
        <f aca="false">MAX(D12,IF(IF(Assumptions!$B$192="Customers",D36,D43)&gt;=Assumptions!$C$192,1,0))</f>
        <v>0</v>
      </c>
      <c r="F12" s="40" t="n">
        <f aca="false">MAX(E12,IF(IF(Assumptions!$B$192="Customers",E36,E43)&gt;=Assumptions!$C$192,1,0))</f>
        <v>0</v>
      </c>
      <c r="G12" s="40" t="n">
        <f aca="false">MAX(F12,IF(IF(Assumptions!$B$192="Customers",F36,F43)&gt;=Assumptions!$C$192,1,0))</f>
        <v>0</v>
      </c>
      <c r="H12" s="40" t="n">
        <f aca="false">MAX(G12,IF(IF(Assumptions!$B$192="Customers",G36,G43)&gt;=Assumptions!$C$192,1,0))</f>
        <v>0</v>
      </c>
      <c r="I12" s="40" t="n">
        <f aca="false">MAX(H12,IF(IF(Assumptions!$B$192="Customers",H36,H43)&gt;=Assumptions!$C$192,1,0))</f>
        <v>0</v>
      </c>
      <c r="J12" s="40" t="n">
        <f aca="false">MAX(I12,IF(IF(Assumptions!$B$192="Customers",I36,I43)&gt;=Assumptions!$C$192,1,0))</f>
        <v>0</v>
      </c>
      <c r="K12" s="40" t="n">
        <f aca="false">MAX(J12,IF(IF(Assumptions!$B$192="Customers",J36,J43)&gt;=Assumptions!$C$192,1,0))</f>
        <v>0</v>
      </c>
      <c r="L12" s="40" t="n">
        <f aca="false">MAX(K12,IF(IF(Assumptions!$B$192="Customers",K36,K43)&gt;=Assumptions!$C$192,1,0))</f>
        <v>0</v>
      </c>
      <c r="M12" s="40" t="n">
        <f aca="false">MAX(L12,IF(IF(Assumptions!$B$192="Customers",L36,L43)&gt;=Assumptions!$C$192,1,0))</f>
        <v>0</v>
      </c>
      <c r="N12" s="40" t="n">
        <f aca="false">MAX(M12,IF(IF(Assumptions!$B$192="Customers",M36,M43)&gt;=Assumptions!$C$192,1,0))</f>
        <v>0</v>
      </c>
      <c r="O12" s="40" t="n">
        <f aca="false">MAX(N12,IF(IF(Assumptions!$B$192="Customers",N36,N43)&gt;=Assumptions!$C$192,1,0))</f>
        <v>0</v>
      </c>
      <c r="P12" s="40" t="n">
        <f aca="false">MAX(O12,IF(IF(Assumptions!$B$192="Customers",O36,O43)&gt;=Assumptions!$C$192,1,0))</f>
        <v>0</v>
      </c>
      <c r="Q12" s="40" t="n">
        <f aca="false">MAX(P12,IF(IF(Assumptions!$B$192="Customers",P36,P43)&gt;=Assumptions!$C$192,1,0))</f>
        <v>0</v>
      </c>
      <c r="R12" s="40" t="n">
        <f aca="false">MAX(Q12,IF(IF(Assumptions!$B$192="Customers",Q36,Q43)&gt;=Assumptions!$C$192,1,0))</f>
        <v>0</v>
      </c>
      <c r="S12" s="40" t="n">
        <f aca="false">MAX(R12,IF(IF(Assumptions!$B$192="Customers",R36,R43)&gt;=Assumptions!$C$192,1,0))</f>
        <v>0</v>
      </c>
      <c r="T12" s="40" t="n">
        <f aca="false">MAX(S12,IF(IF(Assumptions!$B$192="Customers",S36,S43)&gt;=Assumptions!$C$192,1,0))</f>
        <v>0</v>
      </c>
      <c r="U12" s="40" t="n">
        <f aca="false">MAX(T12,IF(IF(Assumptions!$B$192="Customers",T36,T43)&gt;=Assumptions!$C$192,1,0))</f>
        <v>0</v>
      </c>
      <c r="V12" s="40" t="n">
        <f aca="false">MAX(U12,IF(IF(Assumptions!$B$192="Customers",U36,U43)&gt;=Assumptions!$C$192,1,0))</f>
        <v>0</v>
      </c>
      <c r="W12" s="40" t="n">
        <f aca="false">MAX(V12,IF(IF(Assumptions!$B$192="Customers",V36,V43)&gt;=Assumptions!$C$192,1,0))</f>
        <v>0</v>
      </c>
      <c r="X12" s="40" t="n">
        <f aca="false">MAX(W12,IF(IF(Assumptions!$B$192="Customers",W36,W43)&gt;=Assumptions!$C$192,1,0))</f>
        <v>0</v>
      </c>
      <c r="Y12" s="40" t="n">
        <f aca="false">MAX(X12,IF(IF(Assumptions!$B$192="Customers",X36,X43)&gt;=Assumptions!$C$192,1,0))</f>
        <v>0</v>
      </c>
      <c r="Z12" s="40" t="n">
        <f aca="false">MAX(Y12,IF(IF(Assumptions!$B$192="Customers",Y36,Y43)&gt;=Assumptions!$C$192,1,0))</f>
        <v>1</v>
      </c>
      <c r="AA12" s="40" t="n">
        <f aca="false">MAX(Z12,IF(IF(Assumptions!$B$192="Customers",Z36,Z43)&gt;=Assumptions!$C$192,1,0))</f>
        <v>1</v>
      </c>
      <c r="AB12" s="40" t="n">
        <f aca="false">MAX(AA12,IF(IF(Assumptions!$B$192="Customers",AA36,AA43)&gt;=Assumptions!$C$192,1,0))</f>
        <v>1</v>
      </c>
      <c r="AC12" s="40" t="n">
        <f aca="false">MAX(AB12,IF(IF(Assumptions!$B$192="Customers",AB36,AB43)&gt;=Assumptions!$C$192,1,0))</f>
        <v>1</v>
      </c>
      <c r="AD12" s="40" t="n">
        <f aca="false">MAX(AC12,IF(IF(Assumptions!$B$192="Customers",AC36,AC43)&gt;=Assumptions!$C$192,1,0))</f>
        <v>1</v>
      </c>
      <c r="AE12" s="40" t="n">
        <f aca="false">MAX(AD12,IF(IF(Assumptions!$B$192="Customers",AD36,AD43)&gt;=Assumptions!$C$192,1,0))</f>
        <v>1</v>
      </c>
      <c r="AF12" s="40" t="n">
        <f aca="false">MAX(AE12,IF(IF(Assumptions!$B$192="Customers",AE36,AE43)&gt;=Assumptions!$C$192,1,0))</f>
        <v>1</v>
      </c>
      <c r="AG12" s="40" t="n">
        <f aca="false">MAX(AF12,IF(IF(Assumptions!$B$192="Customers",AF36,AF43)&gt;=Assumptions!$C$192,1,0))</f>
        <v>1</v>
      </c>
      <c r="AH12" s="40" t="n">
        <f aca="false">MAX(AG12,IF(IF(Assumptions!$B$192="Customers",AG36,AG43)&gt;=Assumptions!$C$192,1,0))</f>
        <v>1</v>
      </c>
      <c r="AI12" s="40" t="n">
        <f aca="false">MAX(AH12,IF(IF(Assumptions!$B$192="Customers",AH36,AH43)&gt;=Assumptions!$C$192,1,0))</f>
        <v>1</v>
      </c>
      <c r="AJ12" s="40" t="n">
        <f aca="false">MAX(AI12,IF(IF(Assumptions!$B$192="Customers",AI36,AI43)&gt;=Assumptions!$C$192,1,0))</f>
        <v>1</v>
      </c>
      <c r="AK12" s="40" t="n">
        <f aca="false">MAX(AJ12,IF(IF(Assumptions!$B$192="Customers",AJ36,AJ43)&gt;=Assumptions!$C$192,1,0))</f>
        <v>1</v>
      </c>
      <c r="AL12" s="40" t="n">
        <f aca="false">MAX(AK12,IF(IF(Assumptions!$B$192="Customers",AK36,AK43)&gt;=Assumptions!$C$192,1,0))</f>
        <v>1</v>
      </c>
    </row>
    <row r="13" customFormat="false" ht="15" hidden="false" customHeight="false" outlineLevel="0" collapsed="false">
      <c r="A13" s="2" t="s">
        <v>558</v>
      </c>
      <c r="B13" s="2" t="s">
        <v>552</v>
      </c>
      <c r="C13" s="40" t="n">
        <f aca="false">0</f>
        <v>0</v>
      </c>
      <c r="D13" s="40" t="n">
        <f aca="false">MAX(C13,IF(IF(Assumptions!$B$193="Customers",C36,C43)&gt;=Assumptions!$C$193,1,0))</f>
        <v>0</v>
      </c>
      <c r="E13" s="40" t="n">
        <f aca="false">MAX(D13,IF(IF(Assumptions!$B$193="Customers",D36,D43)&gt;=Assumptions!$C$193,1,0))</f>
        <v>0</v>
      </c>
      <c r="F13" s="40" t="n">
        <f aca="false">MAX(E13,IF(IF(Assumptions!$B$193="Customers",E36,E43)&gt;=Assumptions!$C$193,1,0))</f>
        <v>0</v>
      </c>
      <c r="G13" s="40" t="n">
        <f aca="false">MAX(F13,IF(IF(Assumptions!$B$193="Customers",F36,F43)&gt;=Assumptions!$C$193,1,0))</f>
        <v>0</v>
      </c>
      <c r="H13" s="40" t="n">
        <f aca="false">MAX(G13,IF(IF(Assumptions!$B$193="Customers",G36,G43)&gt;=Assumptions!$C$193,1,0))</f>
        <v>0</v>
      </c>
      <c r="I13" s="40" t="n">
        <f aca="false">MAX(H13,IF(IF(Assumptions!$B$193="Customers",H36,H43)&gt;=Assumptions!$C$193,1,0))</f>
        <v>0</v>
      </c>
      <c r="J13" s="40" t="n">
        <f aca="false">MAX(I13,IF(IF(Assumptions!$B$193="Customers",I36,I43)&gt;=Assumptions!$C$193,1,0))</f>
        <v>0</v>
      </c>
      <c r="K13" s="40" t="n">
        <f aca="false">MAX(J13,IF(IF(Assumptions!$B$193="Customers",J36,J43)&gt;=Assumptions!$C$193,1,0))</f>
        <v>0</v>
      </c>
      <c r="L13" s="40" t="n">
        <f aca="false">MAX(K13,IF(IF(Assumptions!$B$193="Customers",K36,K43)&gt;=Assumptions!$C$193,1,0))</f>
        <v>0</v>
      </c>
      <c r="M13" s="40" t="n">
        <f aca="false">MAX(L13,IF(IF(Assumptions!$B$193="Customers",L36,L43)&gt;=Assumptions!$C$193,1,0))</f>
        <v>0</v>
      </c>
      <c r="N13" s="40" t="n">
        <f aca="false">MAX(M13,IF(IF(Assumptions!$B$193="Customers",M36,M43)&gt;=Assumptions!$C$193,1,0))</f>
        <v>0</v>
      </c>
      <c r="O13" s="40" t="n">
        <f aca="false">MAX(N13,IF(IF(Assumptions!$B$193="Customers",N36,N43)&gt;=Assumptions!$C$193,1,0))</f>
        <v>0</v>
      </c>
      <c r="P13" s="40" t="n">
        <f aca="false">MAX(O13,IF(IF(Assumptions!$B$193="Customers",O36,O43)&gt;=Assumptions!$C$193,1,0))</f>
        <v>0</v>
      </c>
      <c r="Q13" s="40" t="n">
        <f aca="false">MAX(P13,IF(IF(Assumptions!$B$193="Customers",P36,P43)&gt;=Assumptions!$C$193,1,0))</f>
        <v>0</v>
      </c>
      <c r="R13" s="40" t="n">
        <f aca="false">MAX(Q13,IF(IF(Assumptions!$B$193="Customers",Q36,Q43)&gt;=Assumptions!$C$193,1,0))</f>
        <v>0</v>
      </c>
      <c r="S13" s="40" t="n">
        <f aca="false">MAX(R13,IF(IF(Assumptions!$B$193="Customers",R36,R43)&gt;=Assumptions!$C$193,1,0))</f>
        <v>0</v>
      </c>
      <c r="T13" s="40" t="n">
        <f aca="false">MAX(S13,IF(IF(Assumptions!$B$193="Customers",S36,S43)&gt;=Assumptions!$C$193,1,0))</f>
        <v>0</v>
      </c>
      <c r="U13" s="40" t="n">
        <f aca="false">MAX(T13,IF(IF(Assumptions!$B$193="Customers",T36,T43)&gt;=Assumptions!$C$193,1,0))</f>
        <v>0</v>
      </c>
      <c r="V13" s="40" t="n">
        <f aca="false">MAX(U13,IF(IF(Assumptions!$B$193="Customers",U36,U43)&gt;=Assumptions!$C$193,1,0))</f>
        <v>0</v>
      </c>
      <c r="W13" s="40" t="n">
        <f aca="false">MAX(V13,IF(IF(Assumptions!$B$193="Customers",V36,V43)&gt;=Assumptions!$C$193,1,0))</f>
        <v>0</v>
      </c>
      <c r="X13" s="40" t="n">
        <f aca="false">MAX(W13,IF(IF(Assumptions!$B$193="Customers",W36,W43)&gt;=Assumptions!$C$193,1,0))</f>
        <v>0</v>
      </c>
      <c r="Y13" s="40" t="n">
        <f aca="false">MAX(X13,IF(IF(Assumptions!$B$193="Customers",X36,X43)&gt;=Assumptions!$C$193,1,0))</f>
        <v>1</v>
      </c>
      <c r="Z13" s="40" t="n">
        <f aca="false">MAX(Y13,IF(IF(Assumptions!$B$193="Customers",Y36,Y43)&gt;=Assumptions!$C$193,1,0))</f>
        <v>1</v>
      </c>
      <c r="AA13" s="40" t="n">
        <f aca="false">MAX(Z13,IF(IF(Assumptions!$B$193="Customers",Z36,Z43)&gt;=Assumptions!$C$193,1,0))</f>
        <v>1</v>
      </c>
      <c r="AB13" s="40" t="n">
        <f aca="false">MAX(AA13,IF(IF(Assumptions!$B$193="Customers",AA36,AA43)&gt;=Assumptions!$C$193,1,0))</f>
        <v>1</v>
      </c>
      <c r="AC13" s="40" t="n">
        <f aca="false">MAX(AB13,IF(IF(Assumptions!$B$193="Customers",AB36,AB43)&gt;=Assumptions!$C$193,1,0))</f>
        <v>1</v>
      </c>
      <c r="AD13" s="40" t="n">
        <f aca="false">MAX(AC13,IF(IF(Assumptions!$B$193="Customers",AC36,AC43)&gt;=Assumptions!$C$193,1,0))</f>
        <v>1</v>
      </c>
      <c r="AE13" s="40" t="n">
        <f aca="false">MAX(AD13,IF(IF(Assumptions!$B$193="Customers",AD36,AD43)&gt;=Assumptions!$C$193,1,0))</f>
        <v>1</v>
      </c>
      <c r="AF13" s="40" t="n">
        <f aca="false">MAX(AE13,IF(IF(Assumptions!$B$193="Customers",AE36,AE43)&gt;=Assumptions!$C$193,1,0))</f>
        <v>1</v>
      </c>
      <c r="AG13" s="40" t="n">
        <f aca="false">MAX(AF13,IF(IF(Assumptions!$B$193="Customers",AF36,AF43)&gt;=Assumptions!$C$193,1,0))</f>
        <v>1</v>
      </c>
      <c r="AH13" s="40" t="n">
        <f aca="false">MAX(AG13,IF(IF(Assumptions!$B$193="Customers",AG36,AG43)&gt;=Assumptions!$C$193,1,0))</f>
        <v>1</v>
      </c>
      <c r="AI13" s="40" t="n">
        <f aca="false">MAX(AH13,IF(IF(Assumptions!$B$193="Customers",AH36,AH43)&gt;=Assumptions!$C$193,1,0))</f>
        <v>1</v>
      </c>
      <c r="AJ13" s="40" t="n">
        <f aca="false">MAX(AI13,IF(IF(Assumptions!$B$193="Customers",AI36,AI43)&gt;=Assumptions!$C$193,1,0))</f>
        <v>1</v>
      </c>
      <c r="AK13" s="40" t="n">
        <f aca="false">MAX(AJ13,IF(IF(Assumptions!$B$193="Customers",AJ36,AJ43)&gt;=Assumptions!$C$193,1,0))</f>
        <v>1</v>
      </c>
      <c r="AL13" s="40" t="n">
        <f aca="false">MAX(AK13,IF(IF(Assumptions!$B$193="Customers",AK36,AK43)&gt;=Assumptions!$C$193,1,0))</f>
        <v>1</v>
      </c>
    </row>
    <row r="14" customFormat="false" ht="15" hidden="false" customHeight="false" outlineLevel="0" collapsed="false">
      <c r="A14" s="2" t="s">
        <v>559</v>
      </c>
      <c r="B14" s="2" t="s">
        <v>552</v>
      </c>
      <c r="C14" s="40" t="n">
        <f aca="false">0</f>
        <v>0</v>
      </c>
      <c r="D14" s="40" t="n">
        <f aca="false">MAX(C14,IF(IF(Assumptions!$B$194="Customers",C36,C43)&gt;=Assumptions!$C$194,1,0))</f>
        <v>0</v>
      </c>
      <c r="E14" s="40" t="n">
        <f aca="false">MAX(D14,IF(IF(Assumptions!$B$194="Customers",D36,D43)&gt;=Assumptions!$C$194,1,0))</f>
        <v>0</v>
      </c>
      <c r="F14" s="40" t="n">
        <f aca="false">MAX(E14,IF(IF(Assumptions!$B$194="Customers",E36,E43)&gt;=Assumptions!$C$194,1,0))</f>
        <v>0</v>
      </c>
      <c r="G14" s="40" t="n">
        <f aca="false">MAX(F14,IF(IF(Assumptions!$B$194="Customers",F36,F43)&gt;=Assumptions!$C$194,1,0))</f>
        <v>0</v>
      </c>
      <c r="H14" s="40" t="n">
        <f aca="false">MAX(G14,IF(IF(Assumptions!$B$194="Customers",G36,G43)&gt;=Assumptions!$C$194,1,0))</f>
        <v>0</v>
      </c>
      <c r="I14" s="40" t="n">
        <f aca="false">MAX(H14,IF(IF(Assumptions!$B$194="Customers",H36,H43)&gt;=Assumptions!$C$194,1,0))</f>
        <v>0</v>
      </c>
      <c r="J14" s="40" t="n">
        <f aca="false">MAX(I14,IF(IF(Assumptions!$B$194="Customers",I36,I43)&gt;=Assumptions!$C$194,1,0))</f>
        <v>0</v>
      </c>
      <c r="K14" s="40" t="n">
        <f aca="false">MAX(J14,IF(IF(Assumptions!$B$194="Customers",J36,J43)&gt;=Assumptions!$C$194,1,0))</f>
        <v>0</v>
      </c>
      <c r="L14" s="40" t="n">
        <f aca="false">MAX(K14,IF(IF(Assumptions!$B$194="Customers",K36,K43)&gt;=Assumptions!$C$194,1,0))</f>
        <v>0</v>
      </c>
      <c r="M14" s="40" t="n">
        <f aca="false">MAX(L14,IF(IF(Assumptions!$B$194="Customers",L36,L43)&gt;=Assumptions!$C$194,1,0))</f>
        <v>0</v>
      </c>
      <c r="N14" s="40" t="n">
        <f aca="false">MAX(M14,IF(IF(Assumptions!$B$194="Customers",M36,M43)&gt;=Assumptions!$C$194,1,0))</f>
        <v>0</v>
      </c>
      <c r="O14" s="40" t="n">
        <f aca="false">MAX(N14,IF(IF(Assumptions!$B$194="Customers",N36,N43)&gt;=Assumptions!$C$194,1,0))</f>
        <v>0</v>
      </c>
      <c r="P14" s="40" t="n">
        <f aca="false">MAX(O14,IF(IF(Assumptions!$B$194="Customers",O36,O43)&gt;=Assumptions!$C$194,1,0))</f>
        <v>0</v>
      </c>
      <c r="Q14" s="40" t="n">
        <f aca="false">MAX(P14,IF(IF(Assumptions!$B$194="Customers",P36,P43)&gt;=Assumptions!$C$194,1,0))</f>
        <v>0</v>
      </c>
      <c r="R14" s="40" t="n">
        <f aca="false">MAX(Q14,IF(IF(Assumptions!$B$194="Customers",Q36,Q43)&gt;=Assumptions!$C$194,1,0))</f>
        <v>0</v>
      </c>
      <c r="S14" s="40" t="n">
        <f aca="false">MAX(R14,IF(IF(Assumptions!$B$194="Customers",R36,R43)&gt;=Assumptions!$C$194,1,0))</f>
        <v>0</v>
      </c>
      <c r="T14" s="40" t="n">
        <f aca="false">MAX(S14,IF(IF(Assumptions!$B$194="Customers",S36,S43)&gt;=Assumptions!$C$194,1,0))</f>
        <v>0</v>
      </c>
      <c r="U14" s="40" t="n">
        <f aca="false">MAX(T14,IF(IF(Assumptions!$B$194="Customers",T36,T43)&gt;=Assumptions!$C$194,1,0))</f>
        <v>0</v>
      </c>
      <c r="V14" s="40" t="n">
        <f aca="false">MAX(U14,IF(IF(Assumptions!$B$194="Customers",U36,U43)&gt;=Assumptions!$C$194,1,0))</f>
        <v>0</v>
      </c>
      <c r="W14" s="40" t="n">
        <f aca="false">MAX(V14,IF(IF(Assumptions!$B$194="Customers",V36,V43)&gt;=Assumptions!$C$194,1,0))</f>
        <v>0</v>
      </c>
      <c r="X14" s="40" t="n">
        <f aca="false">MAX(W14,IF(IF(Assumptions!$B$194="Customers",W36,W43)&gt;=Assumptions!$C$194,1,0))</f>
        <v>0</v>
      </c>
      <c r="Y14" s="40" t="n">
        <f aca="false">MAX(X14,IF(IF(Assumptions!$B$194="Customers",X36,X43)&gt;=Assumptions!$C$194,1,0))</f>
        <v>0</v>
      </c>
      <c r="Z14" s="40" t="n">
        <f aca="false">MAX(Y14,IF(IF(Assumptions!$B$194="Customers",Y36,Y43)&gt;=Assumptions!$C$194,1,0))</f>
        <v>0</v>
      </c>
      <c r="AA14" s="40" t="n">
        <f aca="false">MAX(Z14,IF(IF(Assumptions!$B$194="Customers",Z36,Z43)&gt;=Assumptions!$C$194,1,0))</f>
        <v>0</v>
      </c>
      <c r="AB14" s="40" t="n">
        <f aca="false">MAX(AA14,IF(IF(Assumptions!$B$194="Customers",AA36,AA43)&gt;=Assumptions!$C$194,1,0))</f>
        <v>1</v>
      </c>
      <c r="AC14" s="40" t="n">
        <f aca="false">MAX(AB14,IF(IF(Assumptions!$B$194="Customers",AB36,AB43)&gt;=Assumptions!$C$194,1,0))</f>
        <v>1</v>
      </c>
      <c r="AD14" s="40" t="n">
        <f aca="false">MAX(AC14,IF(IF(Assumptions!$B$194="Customers",AC36,AC43)&gt;=Assumptions!$C$194,1,0))</f>
        <v>1</v>
      </c>
      <c r="AE14" s="40" t="n">
        <f aca="false">MAX(AD14,IF(IF(Assumptions!$B$194="Customers",AD36,AD43)&gt;=Assumptions!$C$194,1,0))</f>
        <v>1</v>
      </c>
      <c r="AF14" s="40" t="n">
        <f aca="false">MAX(AE14,IF(IF(Assumptions!$B$194="Customers",AE36,AE43)&gt;=Assumptions!$C$194,1,0))</f>
        <v>1</v>
      </c>
      <c r="AG14" s="40" t="n">
        <f aca="false">MAX(AF14,IF(IF(Assumptions!$B$194="Customers",AF36,AF43)&gt;=Assumptions!$C$194,1,0))</f>
        <v>1</v>
      </c>
      <c r="AH14" s="40" t="n">
        <f aca="false">MAX(AG14,IF(IF(Assumptions!$B$194="Customers",AG36,AG43)&gt;=Assumptions!$C$194,1,0))</f>
        <v>1</v>
      </c>
      <c r="AI14" s="40" t="n">
        <f aca="false">MAX(AH14,IF(IF(Assumptions!$B$194="Customers",AH36,AH43)&gt;=Assumptions!$C$194,1,0))</f>
        <v>1</v>
      </c>
      <c r="AJ14" s="40" t="n">
        <f aca="false">MAX(AI14,IF(IF(Assumptions!$B$194="Customers",AI36,AI43)&gt;=Assumptions!$C$194,1,0))</f>
        <v>1</v>
      </c>
      <c r="AK14" s="40" t="n">
        <f aca="false">MAX(AJ14,IF(IF(Assumptions!$B$194="Customers",AJ36,AJ43)&gt;=Assumptions!$C$194,1,0))</f>
        <v>1</v>
      </c>
      <c r="AL14" s="40" t="n">
        <f aca="false">MAX(AK14,IF(IF(Assumptions!$B$194="Customers",AK36,AK43)&gt;=Assumptions!$C$194,1,0))</f>
        <v>1</v>
      </c>
    </row>
    <row r="15" customFormat="false" ht="15" hidden="false" customHeight="false" outlineLevel="0" collapsed="false">
      <c r="A15" s="2" t="s">
        <v>560</v>
      </c>
      <c r="B15" s="2" t="s">
        <v>552</v>
      </c>
      <c r="C15" s="40" t="n">
        <f aca="false">0</f>
        <v>0</v>
      </c>
      <c r="D15" s="40" t="n">
        <f aca="false">MAX(C15,IF(IF(Assumptions!$B$195="Customers",C36,C43)&gt;=Assumptions!$C$195,1,0))</f>
        <v>0</v>
      </c>
      <c r="E15" s="40" t="n">
        <f aca="false">MAX(D15,IF(IF(Assumptions!$B$195="Customers",D36,D43)&gt;=Assumptions!$C$195,1,0))</f>
        <v>0</v>
      </c>
      <c r="F15" s="40" t="n">
        <f aca="false">MAX(E15,IF(IF(Assumptions!$B$195="Customers",E36,E43)&gt;=Assumptions!$C$195,1,0))</f>
        <v>0</v>
      </c>
      <c r="G15" s="40" t="n">
        <f aca="false">MAX(F15,IF(IF(Assumptions!$B$195="Customers",F36,F43)&gt;=Assumptions!$C$195,1,0))</f>
        <v>0</v>
      </c>
      <c r="H15" s="40" t="n">
        <f aca="false">MAX(G15,IF(IF(Assumptions!$B$195="Customers",G36,G43)&gt;=Assumptions!$C$195,1,0))</f>
        <v>0</v>
      </c>
      <c r="I15" s="40" t="n">
        <f aca="false">MAX(H15,IF(IF(Assumptions!$B$195="Customers",H36,H43)&gt;=Assumptions!$C$195,1,0))</f>
        <v>0</v>
      </c>
      <c r="J15" s="40" t="n">
        <f aca="false">MAX(I15,IF(IF(Assumptions!$B$195="Customers",I36,I43)&gt;=Assumptions!$C$195,1,0))</f>
        <v>0</v>
      </c>
      <c r="K15" s="40" t="n">
        <f aca="false">MAX(J15,IF(IF(Assumptions!$B$195="Customers",J36,J43)&gt;=Assumptions!$C$195,1,0))</f>
        <v>0</v>
      </c>
      <c r="L15" s="40" t="n">
        <f aca="false">MAX(K15,IF(IF(Assumptions!$B$195="Customers",K36,K43)&gt;=Assumptions!$C$195,1,0))</f>
        <v>0</v>
      </c>
      <c r="M15" s="40" t="n">
        <f aca="false">MAX(L15,IF(IF(Assumptions!$B$195="Customers",L36,L43)&gt;=Assumptions!$C$195,1,0))</f>
        <v>0</v>
      </c>
      <c r="N15" s="40" t="n">
        <f aca="false">MAX(M15,IF(IF(Assumptions!$B$195="Customers",M36,M43)&gt;=Assumptions!$C$195,1,0))</f>
        <v>0</v>
      </c>
      <c r="O15" s="40" t="n">
        <f aca="false">MAX(N15,IF(IF(Assumptions!$B$195="Customers",N36,N43)&gt;=Assumptions!$C$195,1,0))</f>
        <v>0</v>
      </c>
      <c r="P15" s="40" t="n">
        <f aca="false">MAX(O15,IF(IF(Assumptions!$B$195="Customers",O36,O43)&gt;=Assumptions!$C$195,1,0))</f>
        <v>0</v>
      </c>
      <c r="Q15" s="40" t="n">
        <f aca="false">MAX(P15,IF(IF(Assumptions!$B$195="Customers",P36,P43)&gt;=Assumptions!$C$195,1,0))</f>
        <v>0</v>
      </c>
      <c r="R15" s="40" t="n">
        <f aca="false">MAX(Q15,IF(IF(Assumptions!$B$195="Customers",Q36,Q43)&gt;=Assumptions!$C$195,1,0))</f>
        <v>0</v>
      </c>
      <c r="S15" s="40" t="n">
        <f aca="false">MAX(R15,IF(IF(Assumptions!$B$195="Customers",R36,R43)&gt;=Assumptions!$C$195,1,0))</f>
        <v>0</v>
      </c>
      <c r="T15" s="40" t="n">
        <f aca="false">MAX(S15,IF(IF(Assumptions!$B$195="Customers",S36,S43)&gt;=Assumptions!$C$195,1,0))</f>
        <v>0</v>
      </c>
      <c r="U15" s="40" t="n">
        <f aca="false">MAX(T15,IF(IF(Assumptions!$B$195="Customers",T36,T43)&gt;=Assumptions!$C$195,1,0))</f>
        <v>0</v>
      </c>
      <c r="V15" s="40" t="n">
        <f aca="false">MAX(U15,IF(IF(Assumptions!$B$195="Customers",U36,U43)&gt;=Assumptions!$C$195,1,0))</f>
        <v>0</v>
      </c>
      <c r="W15" s="40" t="n">
        <f aca="false">MAX(V15,IF(IF(Assumptions!$B$195="Customers",V36,V43)&gt;=Assumptions!$C$195,1,0))</f>
        <v>0</v>
      </c>
      <c r="X15" s="40" t="n">
        <f aca="false">MAX(W15,IF(IF(Assumptions!$B$195="Customers",W36,W43)&gt;=Assumptions!$C$195,1,0))</f>
        <v>0</v>
      </c>
      <c r="Y15" s="40" t="n">
        <f aca="false">MAX(X15,IF(IF(Assumptions!$B$195="Customers",X36,X43)&gt;=Assumptions!$C$195,1,0))</f>
        <v>0</v>
      </c>
      <c r="Z15" s="40" t="n">
        <f aca="false">MAX(Y15,IF(IF(Assumptions!$B$195="Customers",Y36,Y43)&gt;=Assumptions!$C$195,1,0))</f>
        <v>0</v>
      </c>
      <c r="AA15" s="40" t="n">
        <f aca="false">MAX(Z15,IF(IF(Assumptions!$B$195="Customers",Z36,Z43)&gt;=Assumptions!$C$195,1,0))</f>
        <v>0</v>
      </c>
      <c r="AB15" s="40" t="n">
        <f aca="false">MAX(AA15,IF(IF(Assumptions!$B$195="Customers",AA36,AA43)&gt;=Assumptions!$C$195,1,0))</f>
        <v>0</v>
      </c>
      <c r="AC15" s="40" t="n">
        <f aca="false">MAX(AB15,IF(IF(Assumptions!$B$195="Customers",AB36,AB43)&gt;=Assumptions!$C$195,1,0))</f>
        <v>0</v>
      </c>
      <c r="AD15" s="40" t="n">
        <f aca="false">MAX(AC15,IF(IF(Assumptions!$B$195="Customers",AC36,AC43)&gt;=Assumptions!$C$195,1,0))</f>
        <v>0</v>
      </c>
      <c r="AE15" s="40" t="n">
        <f aca="false">MAX(AD15,IF(IF(Assumptions!$B$195="Customers",AD36,AD43)&gt;=Assumptions!$C$195,1,0))</f>
        <v>0</v>
      </c>
      <c r="AF15" s="40" t="n">
        <f aca="false">MAX(AE15,IF(IF(Assumptions!$B$195="Customers",AE36,AE43)&gt;=Assumptions!$C$195,1,0))</f>
        <v>0</v>
      </c>
      <c r="AG15" s="40" t="n">
        <f aca="false">MAX(AF15,IF(IF(Assumptions!$B$195="Customers",AF36,AF43)&gt;=Assumptions!$C$195,1,0))</f>
        <v>1</v>
      </c>
      <c r="AH15" s="40" t="n">
        <f aca="false">MAX(AG15,IF(IF(Assumptions!$B$195="Customers",AG36,AG43)&gt;=Assumptions!$C$195,1,0))</f>
        <v>1</v>
      </c>
      <c r="AI15" s="40" t="n">
        <f aca="false">MAX(AH15,IF(IF(Assumptions!$B$195="Customers",AH36,AH43)&gt;=Assumptions!$C$195,1,0))</f>
        <v>1</v>
      </c>
      <c r="AJ15" s="40" t="n">
        <f aca="false">MAX(AI15,IF(IF(Assumptions!$B$195="Customers",AI36,AI43)&gt;=Assumptions!$C$195,1,0))</f>
        <v>1</v>
      </c>
      <c r="AK15" s="40" t="n">
        <f aca="false">MAX(AJ15,IF(IF(Assumptions!$B$195="Customers",AJ36,AJ43)&gt;=Assumptions!$C$195,1,0))</f>
        <v>1</v>
      </c>
      <c r="AL15" s="40" t="n">
        <f aca="false">MAX(AK15,IF(IF(Assumptions!$B$195="Customers",AK36,AK43)&gt;=Assumptions!$C$195,1,0))</f>
        <v>1</v>
      </c>
    </row>
    <row r="16" customFormat="false" ht="15" hidden="false" customHeight="false" outlineLevel="0" collapsed="false">
      <c r="A16" s="2" t="s">
        <v>561</v>
      </c>
      <c r="B16" s="2" t="s">
        <v>552</v>
      </c>
      <c r="C16" s="40" t="n">
        <f aca="false">0</f>
        <v>0</v>
      </c>
      <c r="D16" s="40" t="n">
        <f aca="false">MAX(C16,IF(IF(Assumptions!$B$196="Customers",C36,C43)&gt;=Assumptions!$C$196,1,0))</f>
        <v>0</v>
      </c>
      <c r="E16" s="40" t="n">
        <f aca="false">MAX(D16,IF(IF(Assumptions!$B$196="Customers",D36,D43)&gt;=Assumptions!$C$196,1,0))</f>
        <v>0</v>
      </c>
      <c r="F16" s="40" t="n">
        <f aca="false">MAX(E16,IF(IF(Assumptions!$B$196="Customers",E36,E43)&gt;=Assumptions!$C$196,1,0))</f>
        <v>0</v>
      </c>
      <c r="G16" s="40" t="n">
        <f aca="false">MAX(F16,IF(IF(Assumptions!$B$196="Customers",F36,F43)&gt;=Assumptions!$C$196,1,0))</f>
        <v>0</v>
      </c>
      <c r="H16" s="40" t="n">
        <f aca="false">MAX(G16,IF(IF(Assumptions!$B$196="Customers",G36,G43)&gt;=Assumptions!$C$196,1,0))</f>
        <v>0</v>
      </c>
      <c r="I16" s="40" t="n">
        <f aca="false">MAX(H16,IF(IF(Assumptions!$B$196="Customers",H36,H43)&gt;=Assumptions!$C$196,1,0))</f>
        <v>0</v>
      </c>
      <c r="J16" s="40" t="n">
        <f aca="false">MAX(I16,IF(IF(Assumptions!$B$196="Customers",I36,I43)&gt;=Assumptions!$C$196,1,0))</f>
        <v>0</v>
      </c>
      <c r="K16" s="40" t="n">
        <f aca="false">MAX(J16,IF(IF(Assumptions!$B$196="Customers",J36,J43)&gt;=Assumptions!$C$196,1,0))</f>
        <v>0</v>
      </c>
      <c r="L16" s="40" t="n">
        <f aca="false">MAX(K16,IF(IF(Assumptions!$B$196="Customers",K36,K43)&gt;=Assumptions!$C$196,1,0))</f>
        <v>0</v>
      </c>
      <c r="M16" s="40" t="n">
        <f aca="false">MAX(L16,IF(IF(Assumptions!$B$196="Customers",L36,L43)&gt;=Assumptions!$C$196,1,0))</f>
        <v>0</v>
      </c>
      <c r="N16" s="40" t="n">
        <f aca="false">MAX(M16,IF(IF(Assumptions!$B$196="Customers",M36,M43)&gt;=Assumptions!$C$196,1,0))</f>
        <v>0</v>
      </c>
      <c r="O16" s="40" t="n">
        <f aca="false">MAX(N16,IF(IF(Assumptions!$B$196="Customers",N36,N43)&gt;=Assumptions!$C$196,1,0))</f>
        <v>0</v>
      </c>
      <c r="P16" s="40" t="n">
        <f aca="false">MAX(O16,IF(IF(Assumptions!$B$196="Customers",O36,O43)&gt;=Assumptions!$C$196,1,0))</f>
        <v>0</v>
      </c>
      <c r="Q16" s="40" t="n">
        <f aca="false">MAX(P16,IF(IF(Assumptions!$B$196="Customers",P36,P43)&gt;=Assumptions!$C$196,1,0))</f>
        <v>0</v>
      </c>
      <c r="R16" s="40" t="n">
        <f aca="false">MAX(Q16,IF(IF(Assumptions!$B$196="Customers",Q36,Q43)&gt;=Assumptions!$C$196,1,0))</f>
        <v>0</v>
      </c>
      <c r="S16" s="40" t="n">
        <f aca="false">MAX(R16,IF(IF(Assumptions!$B$196="Customers",R36,R43)&gt;=Assumptions!$C$196,1,0))</f>
        <v>0</v>
      </c>
      <c r="T16" s="40" t="n">
        <f aca="false">MAX(S16,IF(IF(Assumptions!$B$196="Customers",S36,S43)&gt;=Assumptions!$C$196,1,0))</f>
        <v>0</v>
      </c>
      <c r="U16" s="40" t="n">
        <f aca="false">MAX(T16,IF(IF(Assumptions!$B$196="Customers",T36,T43)&gt;=Assumptions!$C$196,1,0))</f>
        <v>0</v>
      </c>
      <c r="V16" s="40" t="n">
        <f aca="false">MAX(U16,IF(IF(Assumptions!$B$196="Customers",U36,U43)&gt;=Assumptions!$C$196,1,0))</f>
        <v>0</v>
      </c>
      <c r="W16" s="40" t="n">
        <f aca="false">MAX(V16,IF(IF(Assumptions!$B$196="Customers",V36,V43)&gt;=Assumptions!$C$196,1,0))</f>
        <v>0</v>
      </c>
      <c r="X16" s="40" t="n">
        <f aca="false">MAX(W16,IF(IF(Assumptions!$B$196="Customers",W36,W43)&gt;=Assumptions!$C$196,1,0))</f>
        <v>0</v>
      </c>
      <c r="Y16" s="40" t="n">
        <f aca="false">MAX(X16,IF(IF(Assumptions!$B$196="Customers",X36,X43)&gt;=Assumptions!$C$196,1,0))</f>
        <v>0</v>
      </c>
      <c r="Z16" s="40" t="n">
        <f aca="false">MAX(Y16,IF(IF(Assumptions!$B$196="Customers",Y36,Y43)&gt;=Assumptions!$C$196,1,0))</f>
        <v>0</v>
      </c>
      <c r="AA16" s="40" t="n">
        <f aca="false">MAX(Z16,IF(IF(Assumptions!$B$196="Customers",Z36,Z43)&gt;=Assumptions!$C$196,1,0))</f>
        <v>0</v>
      </c>
      <c r="AB16" s="40" t="n">
        <f aca="false">MAX(AA16,IF(IF(Assumptions!$B$196="Customers",AA36,AA43)&gt;=Assumptions!$C$196,1,0))</f>
        <v>0</v>
      </c>
      <c r="AC16" s="40" t="n">
        <f aca="false">MAX(AB16,IF(IF(Assumptions!$B$196="Customers",AB36,AB43)&gt;=Assumptions!$C$196,1,0))</f>
        <v>0</v>
      </c>
      <c r="AD16" s="40" t="n">
        <f aca="false">MAX(AC16,IF(IF(Assumptions!$B$196="Customers",AC36,AC43)&gt;=Assumptions!$C$196,1,0))</f>
        <v>0</v>
      </c>
      <c r="AE16" s="40" t="n">
        <f aca="false">MAX(AD16,IF(IF(Assumptions!$B$196="Customers",AD36,AD43)&gt;=Assumptions!$C$196,1,0))</f>
        <v>0</v>
      </c>
      <c r="AF16" s="40" t="n">
        <f aca="false">MAX(AE16,IF(IF(Assumptions!$B$196="Customers",AE36,AE43)&gt;=Assumptions!$C$196,1,0))</f>
        <v>0</v>
      </c>
      <c r="AG16" s="40" t="n">
        <f aca="false">MAX(AF16,IF(IF(Assumptions!$B$196="Customers",AF36,AF43)&gt;=Assumptions!$C$196,1,0))</f>
        <v>0</v>
      </c>
      <c r="AH16" s="40" t="n">
        <f aca="false">MAX(AG16,IF(IF(Assumptions!$B$196="Customers",AG36,AG43)&gt;=Assumptions!$C$196,1,0))</f>
        <v>0</v>
      </c>
      <c r="AI16" s="40" t="n">
        <f aca="false">MAX(AH16,IF(IF(Assumptions!$B$196="Customers",AH36,AH43)&gt;=Assumptions!$C$196,1,0))</f>
        <v>0</v>
      </c>
      <c r="AJ16" s="40" t="n">
        <f aca="false">MAX(AI16,IF(IF(Assumptions!$B$196="Customers",AI36,AI43)&gt;=Assumptions!$C$196,1,0))</f>
        <v>1</v>
      </c>
      <c r="AK16" s="40" t="n">
        <f aca="false">MAX(AJ16,IF(IF(Assumptions!$B$196="Customers",AJ36,AJ43)&gt;=Assumptions!$C$196,1,0))</f>
        <v>1</v>
      </c>
      <c r="AL16" s="40" t="n">
        <f aca="false">MAX(AK16,IF(IF(Assumptions!$B$196="Customers",AK36,AK43)&gt;=Assumptions!$C$196,1,0))</f>
        <v>1</v>
      </c>
    </row>
    <row r="17" customFormat="false" ht="15" hidden="false" customHeight="false" outlineLevel="0" collapsed="false">
      <c r="A17" s="3" t="s">
        <v>562</v>
      </c>
      <c r="B17" s="2" t="s">
        <v>563</v>
      </c>
      <c r="C17" s="40" t="n">
        <f aca="false">1+C7+C8+C9+C11+C12+C13+C14+C15+C16</f>
        <v>1</v>
      </c>
      <c r="D17" s="40" t="n">
        <f aca="false">1+D7+D8+D9+D11+D12+D13+D14+D15+D16</f>
        <v>1</v>
      </c>
      <c r="E17" s="40" t="n">
        <f aca="false">1+E7+E8+E9+E11+E12+E13+E14+E15+E16</f>
        <v>1</v>
      </c>
      <c r="F17" s="40" t="n">
        <f aca="false">1+F7+F8+F9+F11+F12+F13+F14+F15+F16</f>
        <v>1</v>
      </c>
      <c r="G17" s="40" t="n">
        <f aca="false">1+G7+G8+G9+G11+G12+G13+G14+G15+G16</f>
        <v>1</v>
      </c>
      <c r="H17" s="40" t="n">
        <f aca="false">1+H7+H8+H9+H11+H12+H13+H14+H15+H16</f>
        <v>1</v>
      </c>
      <c r="I17" s="40" t="n">
        <f aca="false">1+I7+I8+I9+I11+I12+I13+I14+I15+I16</f>
        <v>1</v>
      </c>
      <c r="J17" s="40" t="n">
        <f aca="false">1+J7+J8+J9+J11+J12+J13+J14+J15+J16</f>
        <v>1</v>
      </c>
      <c r="K17" s="40" t="n">
        <f aca="false">1+K7+K8+K9+K11+K12+K13+K14+K15+K16</f>
        <v>2</v>
      </c>
      <c r="L17" s="40" t="n">
        <f aca="false">1+L7+L8+L9+L11+L12+L13+L14+L15+L16</f>
        <v>2</v>
      </c>
      <c r="M17" s="40" t="n">
        <f aca="false">1+M7+M8+M9+M11+M12+M13+M14+M15+M16</f>
        <v>2</v>
      </c>
      <c r="N17" s="40" t="n">
        <f aca="false">1+N7+N8+N9+N11+N12+N13+N14+N15+N16</f>
        <v>2</v>
      </c>
      <c r="O17" s="40" t="n">
        <f aca="false">1+O7+O8+O9+O11+O12+O13+O14+O15+O16</f>
        <v>3</v>
      </c>
      <c r="P17" s="40" t="n">
        <f aca="false">1+P7+P8+P9+P11+P12+P13+P14+P15+P16</f>
        <v>3</v>
      </c>
      <c r="Q17" s="40" t="n">
        <f aca="false">1+Q7+Q8+Q9+Q11+Q12+Q13+Q14+Q15+Q16</f>
        <v>3</v>
      </c>
      <c r="R17" s="40" t="n">
        <f aca="false">1+R7+R8+R9+R11+R12+R13+R14+R15+R16</f>
        <v>4</v>
      </c>
      <c r="S17" s="40" t="n">
        <f aca="false">1+S7+S8+S9+S11+S12+S13+S14+S15+S16</f>
        <v>4</v>
      </c>
      <c r="T17" s="40" t="n">
        <f aca="false">1+T7+T8+T9+T11+T12+T13+T14+T15+T16</f>
        <v>4</v>
      </c>
      <c r="U17" s="40" t="n">
        <f aca="false">1+U7+U8+U9+U11+U12+U13+U14+U15+U16</f>
        <v>4</v>
      </c>
      <c r="V17" s="40" t="n">
        <f aca="false">1+V7+V8+V9+V11+V12+V13+V14+V15+V16</f>
        <v>4</v>
      </c>
      <c r="W17" s="40" t="n">
        <f aca="false">1+W7+W8+W9+W11+W12+W13+W14+W15+W16</f>
        <v>5</v>
      </c>
      <c r="X17" s="40" t="n">
        <f aca="false">1+X7+X8+X9+X11+X12+X13+X14+X15+X16</f>
        <v>5</v>
      </c>
      <c r="Y17" s="40" t="n">
        <f aca="false">1+Y7+Y8+Y9+Y11+Y12+Y13+Y14+Y15+Y16</f>
        <v>6</v>
      </c>
      <c r="Z17" s="40" t="n">
        <f aca="false">1+Z7+Z8+Z9+Z11+Z12+Z13+Z14+Z15+Z16</f>
        <v>7</v>
      </c>
      <c r="AA17" s="40" t="n">
        <f aca="false">1+AA7+AA8+AA9+AA11+AA12+AA13+AA14+AA15+AA16</f>
        <v>7</v>
      </c>
      <c r="AB17" s="40" t="n">
        <f aca="false">1+AB7+AB8+AB9+AB11+AB12+AB13+AB14+AB15+AB16</f>
        <v>8</v>
      </c>
      <c r="AC17" s="40" t="n">
        <f aca="false">1+AC7+AC8+AC9+AC11+AC12+AC13+AC14+AC15+AC16</f>
        <v>8</v>
      </c>
      <c r="AD17" s="40" t="n">
        <f aca="false">1+AD7+AD8+AD9+AD11+AD12+AD13+AD14+AD15+AD16</f>
        <v>8</v>
      </c>
      <c r="AE17" s="40" t="n">
        <f aca="false">1+AE7+AE8+AE9+AE11+AE12+AE13+AE14+AE15+AE16</f>
        <v>8</v>
      </c>
      <c r="AF17" s="40" t="n">
        <f aca="false">1+AF7+AF8+AF9+AF11+AF12+AF13+AF14+AF15+AF16</f>
        <v>8</v>
      </c>
      <c r="AG17" s="40" t="n">
        <f aca="false">1+AG7+AG8+AG9+AG11+AG12+AG13+AG14+AG15+AG16</f>
        <v>9</v>
      </c>
      <c r="AH17" s="40" t="n">
        <f aca="false">1+AH7+AH8+AH9+AH11+AH12+AH13+AH14+AH15+AH16</f>
        <v>9</v>
      </c>
      <c r="AI17" s="40" t="n">
        <f aca="false">1+AI7+AI8+AI9+AI11+AI12+AI13+AI14+AI15+AI16</f>
        <v>9</v>
      </c>
      <c r="AJ17" s="40" t="n">
        <f aca="false">1+AJ7+AJ8+AJ9+AJ11+AJ12+AJ13+AJ14+AJ15+AJ16</f>
        <v>10</v>
      </c>
      <c r="AK17" s="40" t="n">
        <f aca="false">1+AK7+AK8+AK9+AK11+AK12+AK13+AK14+AK15+AK16</f>
        <v>10</v>
      </c>
      <c r="AL17" s="40" t="n">
        <f aca="false">1+AL7+AL8+AL9+AL11+AL12+AL13+AL14+AL15+AL16</f>
        <v>10</v>
      </c>
    </row>
    <row r="18" customFormat="false" ht="15" hidden="false" customHeight="false" outlineLevel="0" collapsed="false">
      <c r="A18" s="2" t="s">
        <v>564</v>
      </c>
      <c r="B18" s="2" t="s">
        <v>563</v>
      </c>
      <c r="C18" s="40" t="n">
        <f aca="false">C9+C14</f>
        <v>0</v>
      </c>
      <c r="D18" s="40" t="n">
        <f aca="false">D9+D14</f>
        <v>0</v>
      </c>
      <c r="E18" s="40" t="n">
        <f aca="false">E9+E14</f>
        <v>0</v>
      </c>
      <c r="F18" s="40" t="n">
        <f aca="false">F9+F14</f>
        <v>0</v>
      </c>
      <c r="G18" s="40" t="n">
        <f aca="false">G9+G14</f>
        <v>0</v>
      </c>
      <c r="H18" s="40" t="n">
        <f aca="false">H9+H14</f>
        <v>0</v>
      </c>
      <c r="I18" s="40" t="n">
        <f aca="false">I9+I14</f>
        <v>0</v>
      </c>
      <c r="J18" s="40" t="n">
        <f aca="false">J9+J14</f>
        <v>0</v>
      </c>
      <c r="K18" s="40" t="n">
        <f aca="false">K9+K14</f>
        <v>0</v>
      </c>
      <c r="L18" s="40" t="n">
        <f aca="false">L9+L14</f>
        <v>0</v>
      </c>
      <c r="M18" s="40" t="n">
        <f aca="false">M9+M14</f>
        <v>0</v>
      </c>
      <c r="N18" s="40" t="n">
        <f aca="false">N9+N14</f>
        <v>0</v>
      </c>
      <c r="O18" s="40" t="n">
        <f aca="false">O9+O14</f>
        <v>0</v>
      </c>
      <c r="P18" s="40" t="n">
        <f aca="false">P9+P14</f>
        <v>0</v>
      </c>
      <c r="Q18" s="40" t="n">
        <f aca="false">Q9+Q14</f>
        <v>0</v>
      </c>
      <c r="R18" s="40" t="n">
        <f aca="false">R9+R14</f>
        <v>1</v>
      </c>
      <c r="S18" s="40" t="n">
        <f aca="false">S9+S14</f>
        <v>1</v>
      </c>
      <c r="T18" s="40" t="n">
        <f aca="false">T9+T14</f>
        <v>1</v>
      </c>
      <c r="U18" s="40" t="n">
        <f aca="false">U9+U14</f>
        <v>1</v>
      </c>
      <c r="V18" s="40" t="n">
        <f aca="false">V9+V14</f>
        <v>1</v>
      </c>
      <c r="W18" s="40" t="n">
        <f aca="false">W9+W14</f>
        <v>1</v>
      </c>
      <c r="X18" s="40" t="n">
        <f aca="false">X9+X14</f>
        <v>1</v>
      </c>
      <c r="Y18" s="40" t="n">
        <f aca="false">Y9+Y14</f>
        <v>1</v>
      </c>
      <c r="Z18" s="40" t="n">
        <f aca="false">Z9+Z14</f>
        <v>1</v>
      </c>
      <c r="AA18" s="40" t="n">
        <f aca="false">AA9+AA14</f>
        <v>1</v>
      </c>
      <c r="AB18" s="40" t="n">
        <f aca="false">AB9+AB14</f>
        <v>2</v>
      </c>
      <c r="AC18" s="40" t="n">
        <f aca="false">AC9+AC14</f>
        <v>2</v>
      </c>
      <c r="AD18" s="40" t="n">
        <f aca="false">AD9+AD14</f>
        <v>2</v>
      </c>
      <c r="AE18" s="40" t="n">
        <f aca="false">AE9+AE14</f>
        <v>2</v>
      </c>
      <c r="AF18" s="40" t="n">
        <f aca="false">AF9+AF14</f>
        <v>2</v>
      </c>
      <c r="AG18" s="40" t="n">
        <f aca="false">AG9+AG14</f>
        <v>2</v>
      </c>
      <c r="AH18" s="40" t="n">
        <f aca="false">AH9+AH14</f>
        <v>2</v>
      </c>
      <c r="AI18" s="40" t="n">
        <f aca="false">AI9+AI14</f>
        <v>2</v>
      </c>
      <c r="AJ18" s="40" t="n">
        <f aca="false">AJ9+AJ14</f>
        <v>2</v>
      </c>
      <c r="AK18" s="40" t="n">
        <f aca="false">AK9+AK14</f>
        <v>2</v>
      </c>
      <c r="AL18" s="40" t="n">
        <f aca="false">AL9+AL14</f>
        <v>2</v>
      </c>
    </row>
    <row r="19" customFormat="false" ht="15" hidden="false" customHeight="false" outlineLevel="0" collapsed="false">
      <c r="A19" s="2" t="s">
        <v>565</v>
      </c>
      <c r="B19" s="2" t="s">
        <v>563</v>
      </c>
      <c r="C19" s="40" t="n">
        <f aca="true">IF(C$3&gt;Assumptions!$E$140,OFFSET(C18,0,-Assumptions!$E$140),0)</f>
        <v>0</v>
      </c>
      <c r="D19" s="40" t="n">
        <f aca="true">IF(D$3&gt;Assumptions!$E$140,OFFSET(D18,0,-Assumptions!$E$140),0)</f>
        <v>0</v>
      </c>
      <c r="E19" s="40" t="n">
        <f aca="true">IF(E$3&gt;Assumptions!$E$140,OFFSET(E18,0,-Assumptions!$E$140),0)</f>
        <v>0</v>
      </c>
      <c r="F19" s="40" t="n">
        <f aca="true">IF(F$3&gt;Assumptions!$E$140,OFFSET(F18,0,-Assumptions!$E$140),0)</f>
        <v>0</v>
      </c>
      <c r="G19" s="40" t="n">
        <f aca="true">IF(G$3&gt;Assumptions!$E$140,OFFSET(G18,0,-Assumptions!$E$140),0)</f>
        <v>0</v>
      </c>
      <c r="H19" s="40" t="n">
        <f aca="true">IF(H$3&gt;Assumptions!$E$140,OFFSET(H18,0,-Assumptions!$E$140),0)</f>
        <v>0</v>
      </c>
      <c r="I19" s="40" t="n">
        <f aca="true">IF(I$3&gt;Assumptions!$E$140,OFFSET(I18,0,-Assumptions!$E$140),0)</f>
        <v>0</v>
      </c>
      <c r="J19" s="40" t="n">
        <f aca="true">IF(J$3&gt;Assumptions!$E$140,OFFSET(J18,0,-Assumptions!$E$140),0)</f>
        <v>0</v>
      </c>
      <c r="K19" s="40" t="n">
        <f aca="true">IF(K$3&gt;Assumptions!$E$140,OFFSET(K18,0,-Assumptions!$E$140),0)</f>
        <v>0</v>
      </c>
      <c r="L19" s="40" t="n">
        <f aca="true">IF(L$3&gt;Assumptions!$E$140,OFFSET(L18,0,-Assumptions!$E$140),0)</f>
        <v>0</v>
      </c>
      <c r="M19" s="40" t="n">
        <f aca="true">IF(M$3&gt;Assumptions!$E$140,OFFSET(M18,0,-Assumptions!$E$140),0)</f>
        <v>0</v>
      </c>
      <c r="N19" s="40" t="n">
        <f aca="true">IF(N$3&gt;Assumptions!$E$140,OFFSET(N18,0,-Assumptions!$E$140),0)</f>
        <v>0</v>
      </c>
      <c r="O19" s="40" t="n">
        <f aca="true">IF(O$3&gt;Assumptions!$E$140,OFFSET(O18,0,-Assumptions!$E$140),0)</f>
        <v>0</v>
      </c>
      <c r="P19" s="40" t="n">
        <f aca="true">IF(P$3&gt;Assumptions!$E$140,OFFSET(P18,0,-Assumptions!$E$140),0)</f>
        <v>0</v>
      </c>
      <c r="Q19" s="40" t="n">
        <f aca="true">IF(Q$3&gt;Assumptions!$E$140,OFFSET(Q18,0,-Assumptions!$E$140),0)</f>
        <v>0</v>
      </c>
      <c r="R19" s="40" t="n">
        <f aca="true">IF(R$3&gt;Assumptions!$E$140,OFFSET(R18,0,-Assumptions!$E$140),0)</f>
        <v>0</v>
      </c>
      <c r="S19" s="40" t="n">
        <f aca="true">IF(S$3&gt;Assumptions!$E$140,OFFSET(S18,0,-Assumptions!$E$140),0)</f>
        <v>0</v>
      </c>
      <c r="T19" s="40" t="n">
        <f aca="true">IF(T$3&gt;Assumptions!$E$140,OFFSET(T18,0,-Assumptions!$E$140),0)</f>
        <v>0</v>
      </c>
      <c r="U19" s="40" t="n">
        <f aca="true">IF(U$3&gt;Assumptions!$E$140,OFFSET(U18,0,-Assumptions!$E$140),0)</f>
        <v>1</v>
      </c>
      <c r="V19" s="40" t="n">
        <f aca="true">IF(V$3&gt;Assumptions!$E$140,OFFSET(V18,0,-Assumptions!$E$140),0)</f>
        <v>1</v>
      </c>
      <c r="W19" s="40" t="n">
        <f aca="true">IF(W$3&gt;Assumptions!$E$140,OFFSET(W18,0,-Assumptions!$E$140),0)</f>
        <v>1</v>
      </c>
      <c r="X19" s="40" t="n">
        <f aca="true">IF(X$3&gt;Assumptions!$E$140,OFFSET(X18,0,-Assumptions!$E$140),0)</f>
        <v>1</v>
      </c>
      <c r="Y19" s="40" t="n">
        <f aca="true">IF(Y$3&gt;Assumptions!$E$140,OFFSET(Y18,0,-Assumptions!$E$140),0)</f>
        <v>1</v>
      </c>
      <c r="Z19" s="40" t="n">
        <f aca="true">IF(Z$3&gt;Assumptions!$E$140,OFFSET(Z18,0,-Assumptions!$E$140),0)</f>
        <v>1</v>
      </c>
      <c r="AA19" s="40" t="n">
        <f aca="true">IF(AA$3&gt;Assumptions!$E$140,OFFSET(AA18,0,-Assumptions!$E$140),0)</f>
        <v>1</v>
      </c>
      <c r="AB19" s="40" t="n">
        <f aca="true">IF(AB$3&gt;Assumptions!$E$140,OFFSET(AB18,0,-Assumptions!$E$140),0)</f>
        <v>1</v>
      </c>
      <c r="AC19" s="40" t="n">
        <f aca="true">IF(AC$3&gt;Assumptions!$E$140,OFFSET(AC18,0,-Assumptions!$E$140),0)</f>
        <v>1</v>
      </c>
      <c r="AD19" s="40" t="n">
        <f aca="true">IF(AD$3&gt;Assumptions!$E$140,OFFSET(AD18,0,-Assumptions!$E$140),0)</f>
        <v>1</v>
      </c>
      <c r="AE19" s="40" t="n">
        <f aca="true">IF(AE$3&gt;Assumptions!$E$140,OFFSET(AE18,0,-Assumptions!$E$140),0)</f>
        <v>2</v>
      </c>
      <c r="AF19" s="40" t="n">
        <f aca="true">IF(AF$3&gt;Assumptions!$E$140,OFFSET(AF18,0,-Assumptions!$E$140),0)</f>
        <v>2</v>
      </c>
      <c r="AG19" s="40" t="n">
        <f aca="true">IF(AG$3&gt;Assumptions!$E$140,OFFSET(AG18,0,-Assumptions!$E$140),0)</f>
        <v>2</v>
      </c>
      <c r="AH19" s="40" t="n">
        <f aca="true">IF(AH$3&gt;Assumptions!$E$140,OFFSET(AH18,0,-Assumptions!$E$140),0)</f>
        <v>2</v>
      </c>
      <c r="AI19" s="40" t="n">
        <f aca="true">IF(AI$3&gt;Assumptions!$E$140,OFFSET(AI18,0,-Assumptions!$E$140),0)</f>
        <v>2</v>
      </c>
      <c r="AJ19" s="40" t="n">
        <f aca="true">IF(AJ$3&gt;Assumptions!$E$140,OFFSET(AJ18,0,-Assumptions!$E$140),0)</f>
        <v>2</v>
      </c>
      <c r="AK19" s="40" t="n">
        <f aca="true">IF(AK$3&gt;Assumptions!$E$140,OFFSET(AK18,0,-Assumptions!$E$140),0)</f>
        <v>2</v>
      </c>
      <c r="AL19" s="40" t="n">
        <f aca="true">IF(AL$3&gt;Assumptions!$E$140,OFFSET(AL18,0,-Assumptions!$E$140),0)</f>
        <v>2</v>
      </c>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row>
    <row r="21" customFormat="false" ht="15" hidden="false" customHeight="false" outlineLevel="0" collapsed="false">
      <c r="A21" s="5" t="s">
        <v>444</v>
      </c>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row>
    <row r="22" customFormat="false" ht="15" hidden="false" customHeight="false" outlineLevel="0" collapsed="false">
      <c r="A22" s="9" t="s">
        <v>566</v>
      </c>
      <c r="B22" s="2" t="s">
        <v>567</v>
      </c>
      <c r="C22" s="41" t="n">
        <f aca="false">IF(C$3&lt;Assumptions!$E$122,0,MIN(Assumptions!$E$134,Assumptions!$E$126+Assumptions!$E$130*(C$3-Assumptions!$E$122)))</f>
        <v>0</v>
      </c>
      <c r="D22" s="41" t="n">
        <f aca="false">IF(D$3&lt;Assumptions!$E$122,0,MIN(Assumptions!$E$134,Assumptions!$E$126+Assumptions!$E$130*(D$3-Assumptions!$E$122)))</f>
        <v>0</v>
      </c>
      <c r="E22" s="41" t="n">
        <f aca="false">IF(E$3&lt;Assumptions!$E$122,0,MIN(Assumptions!$E$134,Assumptions!$E$126+Assumptions!$E$130*(E$3-Assumptions!$E$122)))</f>
        <v>0</v>
      </c>
      <c r="F22" s="41" t="n">
        <f aca="false">IF(F$3&lt;Assumptions!$E$122,0,MIN(Assumptions!$E$134,Assumptions!$E$126+Assumptions!$E$130*(F$3-Assumptions!$E$122)))</f>
        <v>2.5</v>
      </c>
      <c r="G22" s="41" t="n">
        <f aca="false">IF(G$3&lt;Assumptions!$E$122,0,MIN(Assumptions!$E$134,Assumptions!$E$126+Assumptions!$E$130*(G$3-Assumptions!$E$122)))</f>
        <v>2.95</v>
      </c>
      <c r="H22" s="41" t="n">
        <f aca="false">IF(H$3&lt;Assumptions!$E$122,0,MIN(Assumptions!$E$134,Assumptions!$E$126+Assumptions!$E$130*(H$3-Assumptions!$E$122)))</f>
        <v>3.4</v>
      </c>
      <c r="I22" s="41" t="n">
        <f aca="false">IF(I$3&lt;Assumptions!$E$122,0,MIN(Assumptions!$E$134,Assumptions!$E$126+Assumptions!$E$130*(I$3-Assumptions!$E$122)))</f>
        <v>3.85</v>
      </c>
      <c r="J22" s="41" t="n">
        <f aca="false">IF(J$3&lt;Assumptions!$E$122,0,MIN(Assumptions!$E$134,Assumptions!$E$126+Assumptions!$E$130*(J$3-Assumptions!$E$122)))</f>
        <v>4.3</v>
      </c>
      <c r="K22" s="41" t="n">
        <f aca="false">IF(K$3&lt;Assumptions!$E$122,0,MIN(Assumptions!$E$134,Assumptions!$E$126+Assumptions!$E$130*(K$3-Assumptions!$E$122)))</f>
        <v>4.75</v>
      </c>
      <c r="L22" s="41" t="n">
        <f aca="false">IF(L$3&lt;Assumptions!$E$122,0,MIN(Assumptions!$E$134,Assumptions!$E$126+Assumptions!$E$130*(L$3-Assumptions!$E$122)))</f>
        <v>5.2</v>
      </c>
      <c r="M22" s="41" t="n">
        <f aca="false">IF(M$3&lt;Assumptions!$E$122,0,MIN(Assumptions!$E$134,Assumptions!$E$126+Assumptions!$E$130*(M$3-Assumptions!$E$122)))</f>
        <v>5.65</v>
      </c>
      <c r="N22" s="41" t="n">
        <f aca="false">IF(N$3&lt;Assumptions!$E$122,0,MIN(Assumptions!$E$134,Assumptions!$E$126+Assumptions!$E$130*(N$3-Assumptions!$E$122)))</f>
        <v>6.1</v>
      </c>
      <c r="O22" s="41" t="n">
        <f aca="false">IF(O$3&lt;Assumptions!$E$122,0,MIN(Assumptions!$E$134,Assumptions!$E$126+Assumptions!$E$130*(O$3-Assumptions!$E$122)))</f>
        <v>6.55</v>
      </c>
      <c r="P22" s="41" t="n">
        <f aca="false">IF(P$3&lt;Assumptions!$E$122,0,MIN(Assumptions!$E$134,Assumptions!$E$126+Assumptions!$E$130*(P$3-Assumptions!$E$122)))</f>
        <v>7</v>
      </c>
      <c r="Q22" s="41" t="n">
        <f aca="false">IF(Q$3&lt;Assumptions!$E$122,0,MIN(Assumptions!$E$134,Assumptions!$E$126+Assumptions!$E$130*(Q$3-Assumptions!$E$122)))</f>
        <v>7.45</v>
      </c>
      <c r="R22" s="41" t="n">
        <f aca="false">IF(R$3&lt;Assumptions!$E$122,0,MIN(Assumptions!$E$134,Assumptions!$E$126+Assumptions!$E$130*(R$3-Assumptions!$E$122)))</f>
        <v>7.9</v>
      </c>
      <c r="S22" s="41" t="n">
        <f aca="false">IF(S$3&lt;Assumptions!$E$122,0,MIN(Assumptions!$E$134,Assumptions!$E$126+Assumptions!$E$130*(S$3-Assumptions!$E$122)))</f>
        <v>8.35</v>
      </c>
      <c r="T22" s="41" t="n">
        <f aca="false">IF(T$3&lt;Assumptions!$E$122,0,MIN(Assumptions!$E$134,Assumptions!$E$126+Assumptions!$E$130*(T$3-Assumptions!$E$122)))</f>
        <v>8.8</v>
      </c>
      <c r="U22" s="41" t="n">
        <f aca="false">IF(U$3&lt;Assumptions!$E$122,0,MIN(Assumptions!$E$134,Assumptions!$E$126+Assumptions!$E$130*(U$3-Assumptions!$E$122)))</f>
        <v>9.25</v>
      </c>
      <c r="V22" s="41" t="n">
        <f aca="false">IF(V$3&lt;Assumptions!$E$122,0,MIN(Assumptions!$E$134,Assumptions!$E$126+Assumptions!$E$130*(V$3-Assumptions!$E$122)))</f>
        <v>9.7</v>
      </c>
      <c r="W22" s="41" t="n">
        <f aca="false">IF(W$3&lt;Assumptions!$E$122,0,MIN(Assumptions!$E$134,Assumptions!$E$126+Assumptions!$E$130*(W$3-Assumptions!$E$122)))</f>
        <v>10.15</v>
      </c>
      <c r="X22" s="41" t="n">
        <f aca="false">IF(X$3&lt;Assumptions!$E$122,0,MIN(Assumptions!$E$134,Assumptions!$E$126+Assumptions!$E$130*(X$3-Assumptions!$E$122)))</f>
        <v>10.6</v>
      </c>
      <c r="Y22" s="41" t="n">
        <f aca="false">IF(Y$3&lt;Assumptions!$E$122,0,MIN(Assumptions!$E$134,Assumptions!$E$126+Assumptions!$E$130*(Y$3-Assumptions!$E$122)))</f>
        <v>11.05</v>
      </c>
      <c r="Z22" s="41" t="n">
        <f aca="false">IF(Z$3&lt;Assumptions!$E$122,0,MIN(Assumptions!$E$134,Assumptions!$E$126+Assumptions!$E$130*(Z$3-Assumptions!$E$122)))</f>
        <v>11.5</v>
      </c>
      <c r="AA22" s="41" t="n">
        <f aca="false">IF(AA$3&lt;Assumptions!$E$122,0,MIN(Assumptions!$E$134,Assumptions!$E$126+Assumptions!$E$130*(AA$3-Assumptions!$E$122)))</f>
        <v>11.95</v>
      </c>
      <c r="AB22" s="41" t="n">
        <f aca="false">IF(AB$3&lt;Assumptions!$E$122,0,MIN(Assumptions!$E$134,Assumptions!$E$126+Assumptions!$E$130*(AB$3-Assumptions!$E$122)))</f>
        <v>12.4</v>
      </c>
      <c r="AC22" s="41" t="n">
        <f aca="false">IF(AC$3&lt;Assumptions!$E$122,0,MIN(Assumptions!$E$134,Assumptions!$E$126+Assumptions!$E$130*(AC$3-Assumptions!$E$122)))</f>
        <v>12.85</v>
      </c>
      <c r="AD22" s="41" t="n">
        <f aca="false">IF(AD$3&lt;Assumptions!$E$122,0,MIN(Assumptions!$E$134,Assumptions!$E$126+Assumptions!$E$130*(AD$3-Assumptions!$E$122)))</f>
        <v>13.3</v>
      </c>
      <c r="AE22" s="41" t="n">
        <f aca="false">IF(AE$3&lt;Assumptions!$E$122,0,MIN(Assumptions!$E$134,Assumptions!$E$126+Assumptions!$E$130*(AE$3-Assumptions!$E$122)))</f>
        <v>13.75</v>
      </c>
      <c r="AF22" s="41" t="n">
        <f aca="false">IF(AF$3&lt;Assumptions!$E$122,0,MIN(Assumptions!$E$134,Assumptions!$E$126+Assumptions!$E$130*(AF$3-Assumptions!$E$122)))</f>
        <v>14.2</v>
      </c>
      <c r="AG22" s="41" t="n">
        <f aca="false">IF(AG$3&lt;Assumptions!$E$122,0,MIN(Assumptions!$E$134,Assumptions!$E$126+Assumptions!$E$130*(AG$3-Assumptions!$E$122)))</f>
        <v>14.65</v>
      </c>
      <c r="AH22" s="41" t="n">
        <f aca="false">IF(AH$3&lt;Assumptions!$E$122,0,MIN(Assumptions!$E$134,Assumptions!$E$126+Assumptions!$E$130*(AH$3-Assumptions!$E$122)))</f>
        <v>15</v>
      </c>
      <c r="AI22" s="41" t="n">
        <f aca="false">IF(AI$3&lt;Assumptions!$E$122,0,MIN(Assumptions!$E$134,Assumptions!$E$126+Assumptions!$E$130*(AI$3-Assumptions!$E$122)))</f>
        <v>15</v>
      </c>
      <c r="AJ22" s="41" t="n">
        <f aca="false">IF(AJ$3&lt;Assumptions!$E$122,0,MIN(Assumptions!$E$134,Assumptions!$E$126+Assumptions!$E$130*(AJ$3-Assumptions!$E$122)))</f>
        <v>15</v>
      </c>
      <c r="AK22" s="41" t="n">
        <f aca="false">IF(AK$3&lt;Assumptions!$E$122,0,MIN(Assumptions!$E$134,Assumptions!$E$126+Assumptions!$E$130*(AK$3-Assumptions!$E$122)))</f>
        <v>15</v>
      </c>
      <c r="AL22" s="41" t="n">
        <f aca="false">IF(AL$3&lt;Assumptions!$E$122,0,MIN(Assumptions!$E$134,Assumptions!$E$126+Assumptions!$E$130*(AL$3-Assumptions!$E$122)))</f>
        <v>15</v>
      </c>
    </row>
    <row r="23" customFormat="false" ht="15" hidden="false" customHeight="false" outlineLevel="0" collapsed="false">
      <c r="A23" s="9" t="s">
        <v>568</v>
      </c>
      <c r="B23" s="2" t="s">
        <v>567</v>
      </c>
      <c r="C23" s="41" t="n">
        <f aca="false">IF(C$3&lt;Assumptions!$E$123,0,MIN(Assumptions!$E$135,Assumptions!$E$127+Assumptions!$E$131*(C$3-Assumptions!$E$123)))</f>
        <v>0</v>
      </c>
      <c r="D23" s="41" t="n">
        <f aca="false">IF(D$3&lt;Assumptions!$E$123,0,MIN(Assumptions!$E$135,Assumptions!$E$127+Assumptions!$E$131*(D$3-Assumptions!$E$123)))</f>
        <v>0</v>
      </c>
      <c r="E23" s="41" t="n">
        <f aca="false">IF(E$3&lt;Assumptions!$E$123,0,MIN(Assumptions!$E$135,Assumptions!$E$127+Assumptions!$E$131*(E$3-Assumptions!$E$123)))</f>
        <v>0</v>
      </c>
      <c r="F23" s="41" t="n">
        <f aca="false">IF(F$3&lt;Assumptions!$E$123,0,MIN(Assumptions!$E$135,Assumptions!$E$127+Assumptions!$E$131*(F$3-Assumptions!$E$123)))</f>
        <v>0</v>
      </c>
      <c r="G23" s="41" t="n">
        <f aca="false">IF(G$3&lt;Assumptions!$E$123,0,MIN(Assumptions!$E$135,Assumptions!$E$127+Assumptions!$E$131*(G$3-Assumptions!$E$123)))</f>
        <v>0.5</v>
      </c>
      <c r="H23" s="41" t="n">
        <f aca="false">IF(H$3&lt;Assumptions!$E$123,0,MIN(Assumptions!$E$135,Assumptions!$E$127+Assumptions!$E$131*(H$3-Assumptions!$E$123)))</f>
        <v>0.63</v>
      </c>
      <c r="I23" s="41" t="n">
        <f aca="false">IF(I$3&lt;Assumptions!$E$123,0,MIN(Assumptions!$E$135,Assumptions!$E$127+Assumptions!$E$131*(I$3-Assumptions!$E$123)))</f>
        <v>0.76</v>
      </c>
      <c r="J23" s="41" t="n">
        <f aca="false">IF(J$3&lt;Assumptions!$E$123,0,MIN(Assumptions!$E$135,Assumptions!$E$127+Assumptions!$E$131*(J$3-Assumptions!$E$123)))</f>
        <v>0.89</v>
      </c>
      <c r="K23" s="41" t="n">
        <f aca="false">IF(K$3&lt;Assumptions!$E$123,0,MIN(Assumptions!$E$135,Assumptions!$E$127+Assumptions!$E$131*(K$3-Assumptions!$E$123)))</f>
        <v>1.02</v>
      </c>
      <c r="L23" s="41" t="n">
        <f aca="false">IF(L$3&lt;Assumptions!$E$123,0,MIN(Assumptions!$E$135,Assumptions!$E$127+Assumptions!$E$131*(L$3-Assumptions!$E$123)))</f>
        <v>1.15</v>
      </c>
      <c r="M23" s="41" t="n">
        <f aca="false">IF(M$3&lt;Assumptions!$E$123,0,MIN(Assumptions!$E$135,Assumptions!$E$127+Assumptions!$E$131*(M$3-Assumptions!$E$123)))</f>
        <v>1.28</v>
      </c>
      <c r="N23" s="41" t="n">
        <f aca="false">IF(N$3&lt;Assumptions!$E$123,0,MIN(Assumptions!$E$135,Assumptions!$E$127+Assumptions!$E$131*(N$3-Assumptions!$E$123)))</f>
        <v>1.41</v>
      </c>
      <c r="O23" s="41" t="n">
        <f aca="false">IF(O$3&lt;Assumptions!$E$123,0,MIN(Assumptions!$E$135,Assumptions!$E$127+Assumptions!$E$131*(O$3-Assumptions!$E$123)))</f>
        <v>1.54</v>
      </c>
      <c r="P23" s="41" t="n">
        <f aca="false">IF(P$3&lt;Assumptions!$E$123,0,MIN(Assumptions!$E$135,Assumptions!$E$127+Assumptions!$E$131*(P$3-Assumptions!$E$123)))</f>
        <v>1.67</v>
      </c>
      <c r="Q23" s="41" t="n">
        <f aca="false">IF(Q$3&lt;Assumptions!$E$123,0,MIN(Assumptions!$E$135,Assumptions!$E$127+Assumptions!$E$131*(Q$3-Assumptions!$E$123)))</f>
        <v>1.8</v>
      </c>
      <c r="R23" s="41" t="n">
        <f aca="false">IF(R$3&lt;Assumptions!$E$123,0,MIN(Assumptions!$E$135,Assumptions!$E$127+Assumptions!$E$131*(R$3-Assumptions!$E$123)))</f>
        <v>1.93</v>
      </c>
      <c r="S23" s="41" t="n">
        <f aca="false">IF(S$3&lt;Assumptions!$E$123,0,MIN(Assumptions!$E$135,Assumptions!$E$127+Assumptions!$E$131*(S$3-Assumptions!$E$123)))</f>
        <v>2.06</v>
      </c>
      <c r="T23" s="41" t="n">
        <f aca="false">IF(T$3&lt;Assumptions!$E$123,0,MIN(Assumptions!$E$135,Assumptions!$E$127+Assumptions!$E$131*(T$3-Assumptions!$E$123)))</f>
        <v>2.19</v>
      </c>
      <c r="U23" s="41" t="n">
        <f aca="false">IF(U$3&lt;Assumptions!$E$123,0,MIN(Assumptions!$E$135,Assumptions!$E$127+Assumptions!$E$131*(U$3-Assumptions!$E$123)))</f>
        <v>2.32</v>
      </c>
      <c r="V23" s="41" t="n">
        <f aca="false">IF(V$3&lt;Assumptions!$E$123,0,MIN(Assumptions!$E$135,Assumptions!$E$127+Assumptions!$E$131*(V$3-Assumptions!$E$123)))</f>
        <v>2.45</v>
      </c>
      <c r="W23" s="41" t="n">
        <f aca="false">IF(W$3&lt;Assumptions!$E$123,0,MIN(Assumptions!$E$135,Assumptions!$E$127+Assumptions!$E$131*(W$3-Assumptions!$E$123)))</f>
        <v>2.58</v>
      </c>
      <c r="X23" s="41" t="n">
        <f aca="false">IF(X$3&lt;Assumptions!$E$123,0,MIN(Assumptions!$E$135,Assumptions!$E$127+Assumptions!$E$131*(X$3-Assumptions!$E$123)))</f>
        <v>2.71</v>
      </c>
      <c r="Y23" s="41" t="n">
        <f aca="false">IF(Y$3&lt;Assumptions!$E$123,0,MIN(Assumptions!$E$135,Assumptions!$E$127+Assumptions!$E$131*(Y$3-Assumptions!$E$123)))</f>
        <v>2.84</v>
      </c>
      <c r="Z23" s="41" t="n">
        <f aca="false">IF(Z$3&lt;Assumptions!$E$123,0,MIN(Assumptions!$E$135,Assumptions!$E$127+Assumptions!$E$131*(Z$3-Assumptions!$E$123)))</f>
        <v>2.97</v>
      </c>
      <c r="AA23" s="41" t="n">
        <f aca="false">IF(AA$3&lt;Assumptions!$E$123,0,MIN(Assumptions!$E$135,Assumptions!$E$127+Assumptions!$E$131*(AA$3-Assumptions!$E$123)))</f>
        <v>3.1</v>
      </c>
      <c r="AB23" s="41" t="n">
        <f aca="false">IF(AB$3&lt;Assumptions!$E$123,0,MIN(Assumptions!$E$135,Assumptions!$E$127+Assumptions!$E$131*(AB$3-Assumptions!$E$123)))</f>
        <v>3.23</v>
      </c>
      <c r="AC23" s="41" t="n">
        <f aca="false">IF(AC$3&lt;Assumptions!$E$123,0,MIN(Assumptions!$E$135,Assumptions!$E$127+Assumptions!$E$131*(AC$3-Assumptions!$E$123)))</f>
        <v>3.36</v>
      </c>
      <c r="AD23" s="41" t="n">
        <f aca="false">IF(AD$3&lt;Assumptions!$E$123,0,MIN(Assumptions!$E$135,Assumptions!$E$127+Assumptions!$E$131*(AD$3-Assumptions!$E$123)))</f>
        <v>3.49</v>
      </c>
      <c r="AE23" s="41" t="n">
        <f aca="false">IF(AE$3&lt;Assumptions!$E$123,0,MIN(Assumptions!$E$135,Assumptions!$E$127+Assumptions!$E$131*(AE$3-Assumptions!$E$123)))</f>
        <v>3.62</v>
      </c>
      <c r="AF23" s="41" t="n">
        <f aca="false">IF(AF$3&lt;Assumptions!$E$123,0,MIN(Assumptions!$E$135,Assumptions!$E$127+Assumptions!$E$131*(AF$3-Assumptions!$E$123)))</f>
        <v>3.75</v>
      </c>
      <c r="AG23" s="41" t="n">
        <f aca="false">IF(AG$3&lt;Assumptions!$E$123,0,MIN(Assumptions!$E$135,Assumptions!$E$127+Assumptions!$E$131*(AG$3-Assumptions!$E$123)))</f>
        <v>3.88</v>
      </c>
      <c r="AH23" s="41" t="n">
        <f aca="false">IF(AH$3&lt;Assumptions!$E$123,0,MIN(Assumptions!$E$135,Assumptions!$E$127+Assumptions!$E$131*(AH$3-Assumptions!$E$123)))</f>
        <v>4.01</v>
      </c>
      <c r="AI23" s="41" t="n">
        <f aca="false">IF(AI$3&lt;Assumptions!$E$123,0,MIN(Assumptions!$E$135,Assumptions!$E$127+Assumptions!$E$131*(AI$3-Assumptions!$E$123)))</f>
        <v>4.14</v>
      </c>
      <c r="AJ23" s="41" t="n">
        <f aca="false">IF(AJ$3&lt;Assumptions!$E$123,0,MIN(Assumptions!$E$135,Assumptions!$E$127+Assumptions!$E$131*(AJ$3-Assumptions!$E$123)))</f>
        <v>4.27</v>
      </c>
      <c r="AK23" s="41" t="n">
        <f aca="false">IF(AK$3&lt;Assumptions!$E$123,0,MIN(Assumptions!$E$135,Assumptions!$E$127+Assumptions!$E$131*(AK$3-Assumptions!$E$123)))</f>
        <v>4.4</v>
      </c>
      <c r="AL23" s="41" t="n">
        <f aca="false">IF(AL$3&lt;Assumptions!$E$123,0,MIN(Assumptions!$E$135,Assumptions!$E$127+Assumptions!$E$131*(AL$3-Assumptions!$E$123)))</f>
        <v>4.53</v>
      </c>
    </row>
    <row r="24" customFormat="false" ht="15" hidden="false" customHeight="false" outlineLevel="0" collapsed="false">
      <c r="A24" s="9" t="s">
        <v>569</v>
      </c>
      <c r="B24" s="2" t="s">
        <v>567</v>
      </c>
      <c r="C24" s="41" t="n">
        <f aca="false">IF(C$3&lt;Assumptions!$E$124,0,MIN(Assumptions!$E$136,Assumptions!$E$128+Assumptions!$E$132*(C$3-Assumptions!$E$124)))+IF(C$3&lt;Assumptions!$E$124,0,C$19*Assumptions!$E$138)</f>
        <v>0</v>
      </c>
      <c r="D24" s="41" t="n">
        <f aca="false">IF(D$3&lt;Assumptions!$E$124,0,MIN(Assumptions!$E$136,Assumptions!$E$128+Assumptions!$E$132*(D$3-Assumptions!$E$124)))+IF(D$3&lt;Assumptions!$E$124,0,D$19*Assumptions!$E$138)</f>
        <v>0</v>
      </c>
      <c r="E24" s="41" t="n">
        <f aca="false">IF(E$3&lt;Assumptions!$E$124,0,MIN(Assumptions!$E$136,Assumptions!$E$128+Assumptions!$E$132*(E$3-Assumptions!$E$124)))+IF(E$3&lt;Assumptions!$E$124,0,E$19*Assumptions!$E$138)</f>
        <v>0</v>
      </c>
      <c r="F24" s="41" t="n">
        <f aca="false">IF(F$3&lt;Assumptions!$E$124,0,MIN(Assumptions!$E$136,Assumptions!$E$128+Assumptions!$E$132*(F$3-Assumptions!$E$124)))+IF(F$3&lt;Assumptions!$E$124,0,F$19*Assumptions!$E$138)</f>
        <v>0</v>
      </c>
      <c r="G24" s="41" t="n">
        <f aca="false">IF(G$3&lt;Assumptions!$E$124,0,MIN(Assumptions!$E$136,Assumptions!$E$128+Assumptions!$E$132*(G$3-Assumptions!$E$124)))+IF(G$3&lt;Assumptions!$E$124,0,G$19*Assumptions!$E$138)</f>
        <v>0</v>
      </c>
      <c r="H24" s="41" t="n">
        <f aca="false">IF(H$3&lt;Assumptions!$E$124,0,MIN(Assumptions!$E$136,Assumptions!$E$128+Assumptions!$E$132*(H$3-Assumptions!$E$124)))+IF(H$3&lt;Assumptions!$E$124,0,H$19*Assumptions!$E$138)</f>
        <v>0.3</v>
      </c>
      <c r="I24" s="41" t="n">
        <f aca="false">IF(I$3&lt;Assumptions!$E$124,0,MIN(Assumptions!$E$136,Assumptions!$E$128+Assumptions!$E$132*(I$3-Assumptions!$E$124)))+IF(I$3&lt;Assumptions!$E$124,0,I$19*Assumptions!$E$138)</f>
        <v>0.35</v>
      </c>
      <c r="J24" s="41" t="n">
        <f aca="false">IF(J$3&lt;Assumptions!$E$124,0,MIN(Assumptions!$E$136,Assumptions!$E$128+Assumptions!$E$132*(J$3-Assumptions!$E$124)))+IF(J$3&lt;Assumptions!$E$124,0,J$19*Assumptions!$E$138)</f>
        <v>0.4</v>
      </c>
      <c r="K24" s="41" t="n">
        <f aca="false">IF(K$3&lt;Assumptions!$E$124,0,MIN(Assumptions!$E$136,Assumptions!$E$128+Assumptions!$E$132*(K$3-Assumptions!$E$124)))+IF(K$3&lt;Assumptions!$E$124,0,K$19*Assumptions!$E$138)</f>
        <v>0.45</v>
      </c>
      <c r="L24" s="41" t="n">
        <f aca="false">IF(L$3&lt;Assumptions!$E$124,0,MIN(Assumptions!$E$136,Assumptions!$E$128+Assumptions!$E$132*(L$3-Assumptions!$E$124)))+IF(L$3&lt;Assumptions!$E$124,0,L$19*Assumptions!$E$138)</f>
        <v>0.5</v>
      </c>
      <c r="M24" s="41" t="n">
        <f aca="false">IF(M$3&lt;Assumptions!$E$124,0,MIN(Assumptions!$E$136,Assumptions!$E$128+Assumptions!$E$132*(M$3-Assumptions!$E$124)))+IF(M$3&lt;Assumptions!$E$124,0,M$19*Assumptions!$E$138)</f>
        <v>0.55</v>
      </c>
      <c r="N24" s="41" t="n">
        <f aca="false">IF(N$3&lt;Assumptions!$E$124,0,MIN(Assumptions!$E$136,Assumptions!$E$128+Assumptions!$E$132*(N$3-Assumptions!$E$124)))+IF(N$3&lt;Assumptions!$E$124,0,N$19*Assumptions!$E$138)</f>
        <v>0.6</v>
      </c>
      <c r="O24" s="41" t="n">
        <f aca="false">IF(O$3&lt;Assumptions!$E$124,0,MIN(Assumptions!$E$136,Assumptions!$E$128+Assumptions!$E$132*(O$3-Assumptions!$E$124)))+IF(O$3&lt;Assumptions!$E$124,0,O$19*Assumptions!$E$138)</f>
        <v>0.65</v>
      </c>
      <c r="P24" s="41" t="n">
        <f aca="false">IF(P$3&lt;Assumptions!$E$124,0,MIN(Assumptions!$E$136,Assumptions!$E$128+Assumptions!$E$132*(P$3-Assumptions!$E$124)))+IF(P$3&lt;Assumptions!$E$124,0,P$19*Assumptions!$E$138)</f>
        <v>0.7</v>
      </c>
      <c r="Q24" s="41" t="n">
        <f aca="false">IF(Q$3&lt;Assumptions!$E$124,0,MIN(Assumptions!$E$136,Assumptions!$E$128+Assumptions!$E$132*(Q$3-Assumptions!$E$124)))+IF(Q$3&lt;Assumptions!$E$124,0,Q$19*Assumptions!$E$138)</f>
        <v>0.75</v>
      </c>
      <c r="R24" s="41" t="n">
        <f aca="false">IF(R$3&lt;Assumptions!$E$124,0,MIN(Assumptions!$E$136,Assumptions!$E$128+Assumptions!$E$132*(R$3-Assumptions!$E$124)))+IF(R$3&lt;Assumptions!$E$124,0,R$19*Assumptions!$E$138)</f>
        <v>0.8</v>
      </c>
      <c r="S24" s="41" t="n">
        <f aca="false">IF(S$3&lt;Assumptions!$E$124,0,MIN(Assumptions!$E$136,Assumptions!$E$128+Assumptions!$E$132*(S$3-Assumptions!$E$124)))+IF(S$3&lt;Assumptions!$E$124,0,S$19*Assumptions!$E$138)</f>
        <v>0.85</v>
      </c>
      <c r="T24" s="41" t="n">
        <f aca="false">IF(T$3&lt;Assumptions!$E$124,0,MIN(Assumptions!$E$136,Assumptions!$E$128+Assumptions!$E$132*(T$3-Assumptions!$E$124)))+IF(T$3&lt;Assumptions!$E$124,0,T$19*Assumptions!$E$138)</f>
        <v>0.9</v>
      </c>
      <c r="U24" s="41" t="n">
        <f aca="false">IF(U$3&lt;Assumptions!$E$124,0,MIN(Assumptions!$E$136,Assumptions!$E$128+Assumptions!$E$132*(U$3-Assumptions!$E$124)))+IF(U$3&lt;Assumptions!$E$124,0,U$19*Assumptions!$E$138)</f>
        <v>1.35</v>
      </c>
      <c r="V24" s="41" t="n">
        <f aca="false">IF(V$3&lt;Assumptions!$E$124,0,MIN(Assumptions!$E$136,Assumptions!$E$128+Assumptions!$E$132*(V$3-Assumptions!$E$124)))+IF(V$3&lt;Assumptions!$E$124,0,V$19*Assumptions!$E$138)</f>
        <v>1.4</v>
      </c>
      <c r="W24" s="41" t="n">
        <f aca="false">IF(W$3&lt;Assumptions!$E$124,0,MIN(Assumptions!$E$136,Assumptions!$E$128+Assumptions!$E$132*(W$3-Assumptions!$E$124)))+IF(W$3&lt;Assumptions!$E$124,0,W$19*Assumptions!$E$138)</f>
        <v>1.45</v>
      </c>
      <c r="X24" s="41" t="n">
        <f aca="false">IF(X$3&lt;Assumptions!$E$124,0,MIN(Assumptions!$E$136,Assumptions!$E$128+Assumptions!$E$132*(X$3-Assumptions!$E$124)))+IF(X$3&lt;Assumptions!$E$124,0,X$19*Assumptions!$E$138)</f>
        <v>1.5</v>
      </c>
      <c r="Y24" s="41" t="n">
        <f aca="false">IF(Y$3&lt;Assumptions!$E$124,0,MIN(Assumptions!$E$136,Assumptions!$E$128+Assumptions!$E$132*(Y$3-Assumptions!$E$124)))+IF(Y$3&lt;Assumptions!$E$124,0,Y$19*Assumptions!$E$138)</f>
        <v>1.55</v>
      </c>
      <c r="Z24" s="41" t="n">
        <f aca="false">IF(Z$3&lt;Assumptions!$E$124,0,MIN(Assumptions!$E$136,Assumptions!$E$128+Assumptions!$E$132*(Z$3-Assumptions!$E$124)))+IF(Z$3&lt;Assumptions!$E$124,0,Z$19*Assumptions!$E$138)</f>
        <v>1.6</v>
      </c>
      <c r="AA24" s="41" t="n">
        <f aca="false">IF(AA$3&lt;Assumptions!$E$124,0,MIN(Assumptions!$E$136,Assumptions!$E$128+Assumptions!$E$132*(AA$3-Assumptions!$E$124)))+IF(AA$3&lt;Assumptions!$E$124,0,AA$19*Assumptions!$E$138)</f>
        <v>1.65</v>
      </c>
      <c r="AB24" s="41" t="n">
        <f aca="false">IF(AB$3&lt;Assumptions!$E$124,0,MIN(Assumptions!$E$136,Assumptions!$E$128+Assumptions!$E$132*(AB$3-Assumptions!$E$124)))+IF(AB$3&lt;Assumptions!$E$124,0,AB$19*Assumptions!$E$138)</f>
        <v>1.7</v>
      </c>
      <c r="AC24" s="41" t="n">
        <f aca="false">IF(AC$3&lt;Assumptions!$E$124,0,MIN(Assumptions!$E$136,Assumptions!$E$128+Assumptions!$E$132*(AC$3-Assumptions!$E$124)))+IF(AC$3&lt;Assumptions!$E$124,0,AC$19*Assumptions!$E$138)</f>
        <v>1.75</v>
      </c>
      <c r="AD24" s="41" t="n">
        <f aca="false">IF(AD$3&lt;Assumptions!$E$124,0,MIN(Assumptions!$E$136,Assumptions!$E$128+Assumptions!$E$132*(AD$3-Assumptions!$E$124)))+IF(AD$3&lt;Assumptions!$E$124,0,AD$19*Assumptions!$E$138)</f>
        <v>1.8</v>
      </c>
      <c r="AE24" s="41" t="n">
        <f aca="false">IF(AE$3&lt;Assumptions!$E$124,0,MIN(Assumptions!$E$136,Assumptions!$E$128+Assumptions!$E$132*(AE$3-Assumptions!$E$124)))+IF(AE$3&lt;Assumptions!$E$124,0,AE$19*Assumptions!$E$138)</f>
        <v>2.25</v>
      </c>
      <c r="AF24" s="41" t="n">
        <f aca="false">IF(AF$3&lt;Assumptions!$E$124,0,MIN(Assumptions!$E$136,Assumptions!$E$128+Assumptions!$E$132*(AF$3-Assumptions!$E$124)))+IF(AF$3&lt;Assumptions!$E$124,0,AF$19*Assumptions!$E$138)</f>
        <v>2.3</v>
      </c>
      <c r="AG24" s="41" t="n">
        <f aca="false">IF(AG$3&lt;Assumptions!$E$124,0,MIN(Assumptions!$E$136,Assumptions!$E$128+Assumptions!$E$132*(AG$3-Assumptions!$E$124)))+IF(AG$3&lt;Assumptions!$E$124,0,AG$19*Assumptions!$E$138)</f>
        <v>2.35</v>
      </c>
      <c r="AH24" s="41" t="n">
        <f aca="false">IF(AH$3&lt;Assumptions!$E$124,0,MIN(Assumptions!$E$136,Assumptions!$E$128+Assumptions!$E$132*(AH$3-Assumptions!$E$124)))+IF(AH$3&lt;Assumptions!$E$124,0,AH$19*Assumptions!$E$138)</f>
        <v>2.4</v>
      </c>
      <c r="AI24" s="41" t="n">
        <f aca="false">IF(AI$3&lt;Assumptions!$E$124,0,MIN(Assumptions!$E$136,Assumptions!$E$128+Assumptions!$E$132*(AI$3-Assumptions!$E$124)))+IF(AI$3&lt;Assumptions!$E$124,0,AI$19*Assumptions!$E$138)</f>
        <v>2.45</v>
      </c>
      <c r="AJ24" s="41" t="n">
        <f aca="false">IF(AJ$3&lt;Assumptions!$E$124,0,MIN(Assumptions!$E$136,Assumptions!$E$128+Assumptions!$E$132*(AJ$3-Assumptions!$E$124)))+IF(AJ$3&lt;Assumptions!$E$124,0,AJ$19*Assumptions!$E$138)</f>
        <v>2.5</v>
      </c>
      <c r="AK24" s="41" t="n">
        <f aca="false">IF(AK$3&lt;Assumptions!$E$124,0,MIN(Assumptions!$E$136,Assumptions!$E$128+Assumptions!$E$132*(AK$3-Assumptions!$E$124)))+IF(AK$3&lt;Assumptions!$E$124,0,AK$19*Assumptions!$E$138)</f>
        <v>2.55</v>
      </c>
      <c r="AL24" s="41" t="n">
        <f aca="false">IF(AL$3&lt;Assumptions!$E$124,0,MIN(Assumptions!$E$136,Assumptions!$E$128+Assumptions!$E$132*(AL$3-Assumptions!$E$124)))+IF(AL$3&lt;Assumptions!$E$124,0,AL$19*Assumptions!$E$138)</f>
        <v>2.6</v>
      </c>
    </row>
    <row r="25" customFormat="false" ht="15" hidden="false" customHeight="false" outlineLevel="0" collapsed="false">
      <c r="A25" s="9" t="s">
        <v>570</v>
      </c>
      <c r="B25" s="2" t="s">
        <v>567</v>
      </c>
      <c r="C25" s="41" t="n">
        <f aca="false">IF(C$3&lt;Assumptions!$E$125,0,MIN(Assumptions!$E$137,Assumptions!$E$129+Assumptions!$E$133*(C$3-Assumptions!$E$125)))+IF(C$3&lt;Assumptions!$E$125,0,C$19*Assumptions!$E$139)</f>
        <v>0</v>
      </c>
      <c r="D25" s="41" t="n">
        <f aca="false">IF(D$3&lt;Assumptions!$E$125,0,MIN(Assumptions!$E$137,Assumptions!$E$129+Assumptions!$E$133*(D$3-Assumptions!$E$125)))+IF(D$3&lt;Assumptions!$E$125,0,D$19*Assumptions!$E$139)</f>
        <v>0</v>
      </c>
      <c r="E25" s="41" t="n">
        <f aca="false">IF(E$3&lt;Assumptions!$E$125,0,MIN(Assumptions!$E$137,Assumptions!$E$129+Assumptions!$E$133*(E$3-Assumptions!$E$125)))+IF(E$3&lt;Assumptions!$E$125,0,E$19*Assumptions!$E$139)</f>
        <v>0</v>
      </c>
      <c r="F25" s="41" t="n">
        <f aca="false">IF(F$3&lt;Assumptions!$E$125,0,MIN(Assumptions!$E$137,Assumptions!$E$129+Assumptions!$E$133*(F$3-Assumptions!$E$125)))+IF(F$3&lt;Assumptions!$E$125,0,F$19*Assumptions!$E$139)</f>
        <v>0</v>
      </c>
      <c r="G25" s="41" t="n">
        <f aca="false">IF(G$3&lt;Assumptions!$E$125,0,MIN(Assumptions!$E$137,Assumptions!$E$129+Assumptions!$E$133*(G$3-Assumptions!$E$125)))+IF(G$3&lt;Assumptions!$E$125,0,G$19*Assumptions!$E$139)</f>
        <v>0</v>
      </c>
      <c r="H25" s="41" t="n">
        <f aca="false">IF(H$3&lt;Assumptions!$E$125,0,MIN(Assumptions!$E$137,Assumptions!$E$129+Assumptions!$E$133*(H$3-Assumptions!$E$125)))+IF(H$3&lt;Assumptions!$E$125,0,H$19*Assumptions!$E$139)</f>
        <v>0</v>
      </c>
      <c r="I25" s="41" t="n">
        <f aca="false">IF(I$3&lt;Assumptions!$E$125,0,MIN(Assumptions!$E$137,Assumptions!$E$129+Assumptions!$E$133*(I$3-Assumptions!$E$125)))+IF(I$3&lt;Assumptions!$E$125,0,I$19*Assumptions!$E$139)</f>
        <v>0</v>
      </c>
      <c r="J25" s="41" t="n">
        <f aca="false">IF(J$3&lt;Assumptions!$E$125,0,MIN(Assumptions!$E$137,Assumptions!$E$129+Assumptions!$E$133*(J$3-Assumptions!$E$125)))+IF(J$3&lt;Assumptions!$E$125,0,J$19*Assumptions!$E$139)</f>
        <v>0</v>
      </c>
      <c r="K25" s="41" t="n">
        <f aca="false">IF(K$3&lt;Assumptions!$E$125,0,MIN(Assumptions!$E$137,Assumptions!$E$129+Assumptions!$E$133*(K$3-Assumptions!$E$125)))+IF(K$3&lt;Assumptions!$E$125,0,K$19*Assumptions!$E$139)</f>
        <v>0</v>
      </c>
      <c r="L25" s="41" t="n">
        <f aca="false">IF(L$3&lt;Assumptions!$E$125,0,MIN(Assumptions!$E$137,Assumptions!$E$129+Assumptions!$E$133*(L$3-Assumptions!$E$125)))+IF(L$3&lt;Assumptions!$E$125,0,L$19*Assumptions!$E$139)</f>
        <v>0.12</v>
      </c>
      <c r="M25" s="41" t="n">
        <f aca="false">IF(M$3&lt;Assumptions!$E$125,0,MIN(Assumptions!$E$137,Assumptions!$E$129+Assumptions!$E$133*(M$3-Assumptions!$E$125)))+IF(M$3&lt;Assumptions!$E$125,0,M$19*Assumptions!$E$139)</f>
        <v>0.132</v>
      </c>
      <c r="N25" s="41" t="n">
        <f aca="false">IF(N$3&lt;Assumptions!$E$125,0,MIN(Assumptions!$E$137,Assumptions!$E$129+Assumptions!$E$133*(N$3-Assumptions!$E$125)))+IF(N$3&lt;Assumptions!$E$125,0,N$19*Assumptions!$E$139)</f>
        <v>0.144</v>
      </c>
      <c r="O25" s="41" t="n">
        <f aca="false">IF(O$3&lt;Assumptions!$E$125,0,MIN(Assumptions!$E$137,Assumptions!$E$129+Assumptions!$E$133*(O$3-Assumptions!$E$125)))+IF(O$3&lt;Assumptions!$E$125,0,O$19*Assumptions!$E$139)</f>
        <v>0.156</v>
      </c>
      <c r="P25" s="41" t="n">
        <f aca="false">IF(P$3&lt;Assumptions!$E$125,0,MIN(Assumptions!$E$137,Assumptions!$E$129+Assumptions!$E$133*(P$3-Assumptions!$E$125)))+IF(P$3&lt;Assumptions!$E$125,0,P$19*Assumptions!$E$139)</f>
        <v>0.168</v>
      </c>
      <c r="Q25" s="41" t="n">
        <f aca="false">IF(Q$3&lt;Assumptions!$E$125,0,MIN(Assumptions!$E$137,Assumptions!$E$129+Assumptions!$E$133*(Q$3-Assumptions!$E$125)))+IF(Q$3&lt;Assumptions!$E$125,0,Q$19*Assumptions!$E$139)</f>
        <v>0.18</v>
      </c>
      <c r="R25" s="41" t="n">
        <f aca="false">IF(R$3&lt;Assumptions!$E$125,0,MIN(Assumptions!$E$137,Assumptions!$E$129+Assumptions!$E$133*(R$3-Assumptions!$E$125)))+IF(R$3&lt;Assumptions!$E$125,0,R$19*Assumptions!$E$139)</f>
        <v>0.192</v>
      </c>
      <c r="S25" s="41" t="n">
        <f aca="false">IF(S$3&lt;Assumptions!$E$125,0,MIN(Assumptions!$E$137,Assumptions!$E$129+Assumptions!$E$133*(S$3-Assumptions!$E$125)))+IF(S$3&lt;Assumptions!$E$125,0,S$19*Assumptions!$E$139)</f>
        <v>0.204</v>
      </c>
      <c r="T25" s="41" t="n">
        <f aca="false">IF(T$3&lt;Assumptions!$E$125,0,MIN(Assumptions!$E$137,Assumptions!$E$129+Assumptions!$E$133*(T$3-Assumptions!$E$125)))+IF(T$3&lt;Assumptions!$E$125,0,T$19*Assumptions!$E$139)</f>
        <v>0.216</v>
      </c>
      <c r="U25" s="41" t="n">
        <f aca="false">IF(U$3&lt;Assumptions!$E$125,0,MIN(Assumptions!$E$137,Assumptions!$E$129+Assumptions!$E$133*(U$3-Assumptions!$E$125)))+IF(U$3&lt;Assumptions!$E$125,0,U$19*Assumptions!$E$139)</f>
        <v>0.308</v>
      </c>
      <c r="V25" s="41" t="n">
        <f aca="false">IF(V$3&lt;Assumptions!$E$125,0,MIN(Assumptions!$E$137,Assumptions!$E$129+Assumptions!$E$133*(V$3-Assumptions!$E$125)))+IF(V$3&lt;Assumptions!$E$125,0,V$19*Assumptions!$E$139)</f>
        <v>0.32</v>
      </c>
      <c r="W25" s="41" t="n">
        <f aca="false">IF(W$3&lt;Assumptions!$E$125,0,MIN(Assumptions!$E$137,Assumptions!$E$129+Assumptions!$E$133*(W$3-Assumptions!$E$125)))+IF(W$3&lt;Assumptions!$E$125,0,W$19*Assumptions!$E$139)</f>
        <v>0.332</v>
      </c>
      <c r="X25" s="41" t="n">
        <f aca="false">IF(X$3&lt;Assumptions!$E$125,0,MIN(Assumptions!$E$137,Assumptions!$E$129+Assumptions!$E$133*(X$3-Assumptions!$E$125)))+IF(X$3&lt;Assumptions!$E$125,0,X$19*Assumptions!$E$139)</f>
        <v>0.344</v>
      </c>
      <c r="Y25" s="41" t="n">
        <f aca="false">IF(Y$3&lt;Assumptions!$E$125,0,MIN(Assumptions!$E$137,Assumptions!$E$129+Assumptions!$E$133*(Y$3-Assumptions!$E$125)))+IF(Y$3&lt;Assumptions!$E$125,0,Y$19*Assumptions!$E$139)</f>
        <v>0.356</v>
      </c>
      <c r="Z25" s="41" t="n">
        <f aca="false">IF(Z$3&lt;Assumptions!$E$125,0,MIN(Assumptions!$E$137,Assumptions!$E$129+Assumptions!$E$133*(Z$3-Assumptions!$E$125)))+IF(Z$3&lt;Assumptions!$E$125,0,Z$19*Assumptions!$E$139)</f>
        <v>0.368</v>
      </c>
      <c r="AA25" s="41" t="n">
        <f aca="false">IF(AA$3&lt;Assumptions!$E$125,0,MIN(Assumptions!$E$137,Assumptions!$E$129+Assumptions!$E$133*(AA$3-Assumptions!$E$125)))+IF(AA$3&lt;Assumptions!$E$125,0,AA$19*Assumptions!$E$139)</f>
        <v>0.38</v>
      </c>
      <c r="AB25" s="41" t="n">
        <f aca="false">IF(AB$3&lt;Assumptions!$E$125,0,MIN(Assumptions!$E$137,Assumptions!$E$129+Assumptions!$E$133*(AB$3-Assumptions!$E$125)))+IF(AB$3&lt;Assumptions!$E$125,0,AB$19*Assumptions!$E$139)</f>
        <v>0.392</v>
      </c>
      <c r="AC25" s="41" t="n">
        <f aca="false">IF(AC$3&lt;Assumptions!$E$125,0,MIN(Assumptions!$E$137,Assumptions!$E$129+Assumptions!$E$133*(AC$3-Assumptions!$E$125)))+IF(AC$3&lt;Assumptions!$E$125,0,AC$19*Assumptions!$E$139)</f>
        <v>0.404</v>
      </c>
      <c r="AD25" s="41" t="n">
        <f aca="false">IF(AD$3&lt;Assumptions!$E$125,0,MIN(Assumptions!$E$137,Assumptions!$E$129+Assumptions!$E$133*(AD$3-Assumptions!$E$125)))+IF(AD$3&lt;Assumptions!$E$125,0,AD$19*Assumptions!$E$139)</f>
        <v>0.416</v>
      </c>
      <c r="AE25" s="41" t="n">
        <f aca="false">IF(AE$3&lt;Assumptions!$E$125,0,MIN(Assumptions!$E$137,Assumptions!$E$129+Assumptions!$E$133*(AE$3-Assumptions!$E$125)))+IF(AE$3&lt;Assumptions!$E$125,0,AE$19*Assumptions!$E$139)</f>
        <v>0.508</v>
      </c>
      <c r="AF25" s="41" t="n">
        <f aca="false">IF(AF$3&lt;Assumptions!$E$125,0,MIN(Assumptions!$E$137,Assumptions!$E$129+Assumptions!$E$133*(AF$3-Assumptions!$E$125)))+IF(AF$3&lt;Assumptions!$E$125,0,AF$19*Assumptions!$E$139)</f>
        <v>0.52</v>
      </c>
      <c r="AG25" s="41" t="n">
        <f aca="false">IF(AG$3&lt;Assumptions!$E$125,0,MIN(Assumptions!$E$137,Assumptions!$E$129+Assumptions!$E$133*(AG$3-Assumptions!$E$125)))+IF(AG$3&lt;Assumptions!$E$125,0,AG$19*Assumptions!$E$139)</f>
        <v>0.532</v>
      </c>
      <c r="AH25" s="41" t="n">
        <f aca="false">IF(AH$3&lt;Assumptions!$E$125,0,MIN(Assumptions!$E$137,Assumptions!$E$129+Assumptions!$E$133*(AH$3-Assumptions!$E$125)))+IF(AH$3&lt;Assumptions!$E$125,0,AH$19*Assumptions!$E$139)</f>
        <v>0.544</v>
      </c>
      <c r="AI25" s="41" t="n">
        <f aca="false">IF(AI$3&lt;Assumptions!$E$125,0,MIN(Assumptions!$E$137,Assumptions!$E$129+Assumptions!$E$133*(AI$3-Assumptions!$E$125)))+IF(AI$3&lt;Assumptions!$E$125,0,AI$19*Assumptions!$E$139)</f>
        <v>0.556</v>
      </c>
      <c r="AJ25" s="41" t="n">
        <f aca="false">IF(AJ$3&lt;Assumptions!$E$125,0,MIN(Assumptions!$E$137,Assumptions!$E$129+Assumptions!$E$133*(AJ$3-Assumptions!$E$125)))+IF(AJ$3&lt;Assumptions!$E$125,0,AJ$19*Assumptions!$E$139)</f>
        <v>0.568</v>
      </c>
      <c r="AK25" s="41" t="n">
        <f aca="false">IF(AK$3&lt;Assumptions!$E$125,0,MIN(Assumptions!$E$137,Assumptions!$E$129+Assumptions!$E$133*(AK$3-Assumptions!$E$125)))+IF(AK$3&lt;Assumptions!$E$125,0,AK$19*Assumptions!$E$139)</f>
        <v>0.58</v>
      </c>
      <c r="AL25" s="41" t="n">
        <f aca="false">IF(AL$3&lt;Assumptions!$E$125,0,MIN(Assumptions!$E$137,Assumptions!$E$129+Assumptions!$E$133*(AL$3-Assumptions!$E$125)))+IF(AL$3&lt;Assumptions!$E$125,0,AL$19*Assumptions!$E$139)</f>
        <v>0.592</v>
      </c>
    </row>
    <row r="26" customFormat="false" ht="15" hidden="false" customHeight="false" outlineLevel="0" collapsed="false">
      <c r="A26" s="9" t="s">
        <v>571</v>
      </c>
      <c r="B26" s="2" t="s">
        <v>567</v>
      </c>
      <c r="C26" s="41" t="n">
        <f aca="false">0</f>
        <v>0</v>
      </c>
      <c r="D26" s="41" t="n">
        <f aca="false">C30*Assumptions!$E$141</f>
        <v>0</v>
      </c>
      <c r="E26" s="41" t="n">
        <f aca="false">D30*Assumptions!$E$141</f>
        <v>0</v>
      </c>
      <c r="F26" s="41" t="n">
        <f aca="false">E30*Assumptions!$E$141</f>
        <v>0</v>
      </c>
      <c r="G26" s="41" t="n">
        <f aca="false">F30*Assumptions!$E$141</f>
        <v>0.0625</v>
      </c>
      <c r="H26" s="41" t="n">
        <f aca="false">G30*Assumptions!$E$141</f>
        <v>0.1346875</v>
      </c>
      <c r="I26" s="41" t="n">
        <f aca="false">H30*Assumptions!$E$141</f>
        <v>0.2163203125</v>
      </c>
      <c r="J26" s="41" t="n">
        <f aca="false">I30*Assumptions!$E$141</f>
        <v>0.3071623046875</v>
      </c>
      <c r="K26" s="41" t="n">
        <f aca="false">J30*Assumptions!$E$141</f>
        <v>0.406983247070313</v>
      </c>
      <c r="L26" s="41" t="n">
        <f aca="false">K30*Assumptions!$E$141</f>
        <v>0.515558665893555</v>
      </c>
      <c r="M26" s="41" t="n">
        <f aca="false">L30*Assumptions!$E$141</f>
        <v>0.632669699246216</v>
      </c>
      <c r="N26" s="41" t="n">
        <f aca="false">M30*Assumptions!$E$141</f>
        <v>0.758102956765061</v>
      </c>
      <c r="O26" s="41" t="n">
        <f aca="false">N30*Assumptions!$E$141</f>
        <v>0.891650382845934</v>
      </c>
      <c r="P26" s="41" t="n">
        <f aca="false">O30*Assumptions!$E$141</f>
        <v>1.03310912327479</v>
      </c>
      <c r="Q26" s="41" t="n">
        <f aca="false">P30*Assumptions!$E$141</f>
        <v>1.18228139519292</v>
      </c>
      <c r="R26" s="41" t="n">
        <f aca="false">Q30*Assumptions!$E$141</f>
        <v>1.33897436031309</v>
      </c>
      <c r="S26" s="41" t="n">
        <f aca="false">R30*Assumptions!$E$141</f>
        <v>1.50300000130527</v>
      </c>
      <c r="T26" s="41" t="n">
        <f aca="false">S30*Assumptions!$E$141</f>
        <v>1.67417500127263</v>
      </c>
      <c r="U26" s="41" t="n">
        <f aca="false">T30*Assumptions!$E$141</f>
        <v>1.85232062624082</v>
      </c>
      <c r="V26" s="41" t="n">
        <f aca="false">U30*Assumptions!$E$141</f>
        <v>2.0372626105848</v>
      </c>
      <c r="W26" s="41" t="n">
        <f aca="false">V30*Assumptions!$E$141</f>
        <v>2.22883104532018</v>
      </c>
      <c r="X26" s="41" t="n">
        <f aca="false">W30*Assumptions!$E$141</f>
        <v>2.42686026918717</v>
      </c>
      <c r="Y26" s="41" t="n">
        <f aca="false">X30*Assumptions!$E$141</f>
        <v>2.63118876245749</v>
      </c>
      <c r="Z26" s="41" t="n">
        <f aca="false">Y30*Assumptions!$E$141</f>
        <v>2.84165904339606</v>
      </c>
      <c r="AA26" s="41" t="n">
        <f aca="false">Z30*Assumptions!$E$141</f>
        <v>3.05811756731116</v>
      </c>
      <c r="AB26" s="41" t="n">
        <f aca="false">AA30*Assumptions!$E$141</f>
        <v>3.28041462812838</v>
      </c>
      <c r="AC26" s="41" t="n">
        <f aca="false">AB30*Assumptions!$E$141</f>
        <v>3.50840426242517</v>
      </c>
      <c r="AD26" s="41" t="n">
        <f aca="false">AC30*Assumptions!$E$141</f>
        <v>3.74194415586454</v>
      </c>
      <c r="AE26" s="41" t="n">
        <f aca="false">AD30*Assumptions!$E$141</f>
        <v>3.98089555196793</v>
      </c>
      <c r="AF26" s="41" t="n">
        <f aca="false">AE30*Assumptions!$E$141</f>
        <v>4.22512316316873</v>
      </c>
      <c r="AG26" s="41" t="n">
        <f aca="false">AF30*Assumptions!$E$141</f>
        <v>4.47449508408951</v>
      </c>
      <c r="AH26" s="41" t="n">
        <f aca="false">AG30*Assumptions!$E$141</f>
        <v>4.72888270698727</v>
      </c>
      <c r="AI26" s="41" t="n">
        <f aca="false">AH30*Assumptions!$E$141</f>
        <v>4.98566063931259</v>
      </c>
      <c r="AJ26" s="41" t="n">
        <f aca="false">AI30*Assumptions!$E$141</f>
        <v>5.23601912332978</v>
      </c>
      <c r="AK26" s="41" t="n">
        <f aca="false">AJ30*Assumptions!$E$141</f>
        <v>5.48011864524653</v>
      </c>
      <c r="AL26" s="41" t="n">
        <f aca="false">AK30*Assumptions!$E$141</f>
        <v>5.71811567911537</v>
      </c>
    </row>
    <row r="27" customFormat="false" ht="15" hidden="false" customHeight="false" outlineLevel="0" collapsed="false">
      <c r="A27" s="9" t="s">
        <v>572</v>
      </c>
      <c r="B27" s="2" t="s">
        <v>567</v>
      </c>
      <c r="C27" s="41" t="n">
        <f aca="false">0</f>
        <v>0</v>
      </c>
      <c r="D27" s="41" t="n">
        <f aca="false">C31*Assumptions!$E$142</f>
        <v>0</v>
      </c>
      <c r="E27" s="41" t="n">
        <f aca="false">D31*Assumptions!$E$142</f>
        <v>0</v>
      </c>
      <c r="F27" s="41" t="n">
        <f aca="false">E31*Assumptions!$E$142</f>
        <v>0</v>
      </c>
      <c r="G27" s="41" t="n">
        <f aca="false">F31*Assumptions!$E$142</f>
        <v>0</v>
      </c>
      <c r="H27" s="41" t="n">
        <f aca="false">G31*Assumptions!$E$142</f>
        <v>0.01</v>
      </c>
      <c r="I27" s="41" t="n">
        <f aca="false">H31*Assumptions!$E$142</f>
        <v>0.0224</v>
      </c>
      <c r="J27" s="41" t="n">
        <f aca="false">I31*Assumptions!$E$142</f>
        <v>0.037152</v>
      </c>
      <c r="K27" s="41" t="n">
        <f aca="false">J31*Assumptions!$E$142</f>
        <v>0.05420896</v>
      </c>
      <c r="L27" s="41" t="n">
        <f aca="false">K31*Assumptions!$E$142</f>
        <v>0.0735247808</v>
      </c>
      <c r="M27" s="41" t="n">
        <f aca="false">L31*Assumptions!$E$142</f>
        <v>0.095054285184</v>
      </c>
      <c r="N27" s="41" t="n">
        <f aca="false">M31*Assumptions!$E$142</f>
        <v>0.11875319948032</v>
      </c>
      <c r="O27" s="41" t="n">
        <f aca="false">N31*Assumptions!$E$142</f>
        <v>0.144578135490714</v>
      </c>
      <c r="P27" s="41" t="n">
        <f aca="false">O31*Assumptions!$E$142</f>
        <v>0.172486572780899</v>
      </c>
      <c r="Q27" s="41" t="n">
        <f aca="false">P31*Assumptions!$E$142</f>
        <v>0.202436841325281</v>
      </c>
      <c r="R27" s="41" t="n">
        <f aca="false">Q31*Assumptions!$E$142</f>
        <v>0.234388104498776</v>
      </c>
      <c r="S27" s="41" t="n">
        <f aca="false">R31*Assumptions!$E$142</f>
        <v>0.2683003424088</v>
      </c>
      <c r="T27" s="41" t="n">
        <f aca="false">S31*Assumptions!$E$142</f>
        <v>0.304134335560624</v>
      </c>
      <c r="U27" s="41" t="n">
        <f aca="false">T31*Assumptions!$E$142</f>
        <v>0.341851648849412</v>
      </c>
      <c r="V27" s="41" t="n">
        <f aca="false">U31*Assumptions!$E$142</f>
        <v>0.381414615872424</v>
      </c>
      <c r="W27" s="41" t="n">
        <f aca="false">V31*Assumptions!$E$142</f>
        <v>0.422786323554975</v>
      </c>
      <c r="X27" s="41" t="n">
        <f aca="false">W31*Assumptions!$E$142</f>
        <v>0.465930597083876</v>
      </c>
      <c r="Y27" s="41" t="n">
        <f aca="false">X31*Assumptions!$E$142</f>
        <v>0.510811985142198</v>
      </c>
      <c r="Z27" s="41" t="n">
        <f aca="false">Y31*Assumptions!$E$142</f>
        <v>0.557395745439354</v>
      </c>
      <c r="AA27" s="41" t="n">
        <f aca="false">Z31*Assumptions!$E$142</f>
        <v>0.605647830530567</v>
      </c>
      <c r="AB27" s="41" t="n">
        <f aca="false">AA31*Assumptions!$E$142</f>
        <v>0.655534873919956</v>
      </c>
      <c r="AC27" s="41" t="n">
        <f aca="false">AB31*Assumptions!$E$142</f>
        <v>0.707024176441557</v>
      </c>
      <c r="AD27" s="41" t="n">
        <f aca="false">AC31*Assumptions!$E$142</f>
        <v>0.760083692912726</v>
      </c>
      <c r="AE27" s="41" t="n">
        <f aca="false">AD31*Assumptions!$E$142</f>
        <v>0.814682019054471</v>
      </c>
      <c r="AF27" s="41" t="n">
        <f aca="false">AE31*Assumptions!$E$142</f>
        <v>0.870788378673382</v>
      </c>
      <c r="AG27" s="41" t="n">
        <f aca="false">AF31*Assumptions!$E$142</f>
        <v>0.928372611099914</v>
      </c>
      <c r="AH27" s="41" t="n">
        <f aca="false">AG31*Assumptions!$E$142</f>
        <v>0.987405158877916</v>
      </c>
      <c r="AI27" s="41" t="n">
        <f aca="false">AH31*Assumptions!$E$142</f>
        <v>1.04785705570036</v>
      </c>
      <c r="AJ27" s="41" t="n">
        <f aca="false">AI31*Assumptions!$E$142</f>
        <v>1.10969991458635</v>
      </c>
      <c r="AK27" s="41" t="n">
        <f aca="false">AJ31*Assumptions!$E$142</f>
        <v>1.17290591629462</v>
      </c>
      <c r="AL27" s="41" t="n">
        <f aca="false">AK31*Assumptions!$E$142</f>
        <v>1.23744779796873</v>
      </c>
    </row>
    <row r="28" customFormat="false" ht="15" hidden="false" customHeight="false" outlineLevel="0" collapsed="false">
      <c r="A28" s="9" t="s">
        <v>573</v>
      </c>
      <c r="B28" s="2" t="s">
        <v>567</v>
      </c>
      <c r="C28" s="41" t="n">
        <f aca="false">0</f>
        <v>0</v>
      </c>
      <c r="D28" s="41" t="n">
        <f aca="false">C32*Assumptions!$E$143</f>
        <v>0</v>
      </c>
      <c r="E28" s="41" t="n">
        <f aca="false">D32*Assumptions!$E$143</f>
        <v>0</v>
      </c>
      <c r="F28" s="41" t="n">
        <f aca="false">E32*Assumptions!$E$143</f>
        <v>0</v>
      </c>
      <c r="G28" s="41" t="n">
        <f aca="false">F32*Assumptions!$E$143</f>
        <v>0</v>
      </c>
      <c r="H28" s="41" t="n">
        <f aca="false">G32*Assumptions!$E$143</f>
        <v>0</v>
      </c>
      <c r="I28" s="41" t="n">
        <f aca="false">H32*Assumptions!$E$143</f>
        <v>0.00225</v>
      </c>
      <c r="J28" s="41" t="n">
        <f aca="false">I32*Assumptions!$E$143</f>
        <v>0.004858125</v>
      </c>
      <c r="K28" s="41" t="n">
        <f aca="false">J32*Assumptions!$E$143</f>
        <v>0.0078216890625</v>
      </c>
      <c r="L28" s="41" t="n">
        <f aca="false">K32*Assumptions!$E$143</f>
        <v>0.0111380263945312</v>
      </c>
      <c r="M28" s="41" t="n">
        <f aca="false">L32*Assumptions!$E$143</f>
        <v>0.0148044911965723</v>
      </c>
      <c r="N28" s="41" t="n">
        <f aca="false">M32*Assumptions!$E$143</f>
        <v>0.018818457512598</v>
      </c>
      <c r="O28" s="41" t="n">
        <f aca="false">N32*Assumptions!$E$143</f>
        <v>0.0231773190812535</v>
      </c>
      <c r="P28" s="41" t="n">
        <f aca="false">O32*Assumptions!$E$143</f>
        <v>0.0278784891881441</v>
      </c>
      <c r="Q28" s="41" t="n">
        <f aca="false">P32*Assumptions!$E$143</f>
        <v>0.032919400519233</v>
      </c>
      <c r="R28" s="41" t="n">
        <f aca="false">Q32*Assumptions!$E$143</f>
        <v>0.0382975050153388</v>
      </c>
      <c r="S28" s="41" t="n">
        <f aca="false">R32*Assumptions!$E$143</f>
        <v>0.0440102737277237</v>
      </c>
      <c r="T28" s="41" t="n">
        <f aca="false">S32*Assumptions!$E$143</f>
        <v>0.0500551966747658</v>
      </c>
      <c r="U28" s="41" t="n">
        <f aca="false">T32*Assumptions!$E$143</f>
        <v>0.056429782699705</v>
      </c>
      <c r="V28" s="41" t="n">
        <f aca="false">U32*Assumptions!$E$143</f>
        <v>0.0661315593294573</v>
      </c>
      <c r="W28" s="41" t="n">
        <f aca="false">V32*Assumptions!$E$143</f>
        <v>0.0761355726344863</v>
      </c>
      <c r="X28" s="41" t="n">
        <f aca="false">W32*Assumptions!$E$143</f>
        <v>0.0864395558397277</v>
      </c>
      <c r="Y28" s="41" t="n">
        <f aca="false">X32*Assumptions!$E$143</f>
        <v>0.0970412591709297</v>
      </c>
      <c r="Z28" s="41" t="n">
        <f aca="false">Y32*Assumptions!$E$143</f>
        <v>0.107938449727148</v>
      </c>
      <c r="AA28" s="41" t="n">
        <f aca="false">Z32*Assumptions!$E$143</f>
        <v>0.119128911354194</v>
      </c>
      <c r="AB28" s="41" t="n">
        <f aca="false">AA32*Assumptions!$E$143</f>
        <v>0.130610444519038</v>
      </c>
      <c r="AC28" s="41" t="n">
        <f aca="false">AB32*Assumptions!$E$143</f>
        <v>0.142380866185145</v>
      </c>
      <c r="AD28" s="41" t="n">
        <f aca="false">AC32*Assumptions!$E$143</f>
        <v>0.154438009688756</v>
      </c>
      <c r="AE28" s="41" t="n">
        <f aca="false">AD32*Assumptions!$E$143</f>
        <v>0.166779724616091</v>
      </c>
      <c r="AF28" s="41" t="n">
        <f aca="false">AE32*Assumptions!$E$143</f>
        <v>0.18240387668147</v>
      </c>
      <c r="AG28" s="41" t="n">
        <f aca="false">AF32*Assumptions!$E$143</f>
        <v>0.198285847606359</v>
      </c>
      <c r="AH28" s="41" t="n">
        <f aca="false">AG32*Assumptions!$E$143</f>
        <v>0.214423703749311</v>
      </c>
      <c r="AI28" s="41" t="n">
        <f aca="false">AH32*Assumptions!$E$143</f>
        <v>0.230815525971191</v>
      </c>
      <c r="AJ28" s="41" t="n">
        <f aca="false">AI32*Assumptions!$E$143</f>
        <v>0.247459409526407</v>
      </c>
      <c r="AK28" s="41" t="n">
        <f aca="false">AJ32*Assumptions!$E$143</f>
        <v>0.264353463954959</v>
      </c>
      <c r="AL28" s="41" t="n">
        <f aca="false">AK32*Assumptions!$E$143</f>
        <v>0.281495812975297</v>
      </c>
    </row>
    <row r="29" customFormat="false" ht="15" hidden="false" customHeight="false" outlineLevel="0" collapsed="false">
      <c r="A29" s="9" t="s">
        <v>574</v>
      </c>
      <c r="B29" s="2" t="s">
        <v>567</v>
      </c>
      <c r="C29" s="41" t="n">
        <f aca="false">0</f>
        <v>0</v>
      </c>
      <c r="D29" s="41" t="n">
        <f aca="false">C33*Assumptions!$E$144</f>
        <v>0</v>
      </c>
      <c r="E29" s="41" t="n">
        <f aca="false">D33*Assumptions!$E$144</f>
        <v>0</v>
      </c>
      <c r="F29" s="41" t="n">
        <f aca="false">E33*Assumptions!$E$144</f>
        <v>0</v>
      </c>
      <c r="G29" s="41" t="n">
        <f aca="false">F33*Assumptions!$E$144</f>
        <v>0</v>
      </c>
      <c r="H29" s="41" t="n">
        <f aca="false">G33*Assumptions!$E$144</f>
        <v>0</v>
      </c>
      <c r="I29" s="41" t="n">
        <f aca="false">H33*Assumptions!$E$144</f>
        <v>0</v>
      </c>
      <c r="J29" s="41" t="n">
        <f aca="false">I33*Assumptions!$E$144</f>
        <v>0</v>
      </c>
      <c r="K29" s="41" t="n">
        <f aca="false">J33*Assumptions!$E$144</f>
        <v>0</v>
      </c>
      <c r="L29" s="41" t="n">
        <f aca="false">K33*Assumptions!$E$144</f>
        <v>0</v>
      </c>
      <c r="M29" s="41" t="n">
        <f aca="false">L33*Assumptions!$E$144</f>
        <v>0.00048</v>
      </c>
      <c r="N29" s="41" t="n">
        <f aca="false">M33*Assumptions!$E$144</f>
        <v>0.00100608</v>
      </c>
      <c r="O29" s="41" t="n">
        <f aca="false">N33*Assumptions!$E$144</f>
        <v>0.00157805568</v>
      </c>
      <c r="P29" s="41" t="n">
        <f aca="false">O33*Assumptions!$E$144</f>
        <v>0.00219574345728</v>
      </c>
      <c r="Q29" s="41" t="n">
        <f aca="false">P33*Assumptions!$E$144</f>
        <v>0.00285896048345088</v>
      </c>
      <c r="R29" s="41" t="n">
        <f aca="false">Q33*Assumptions!$E$144</f>
        <v>0.00356752464151708</v>
      </c>
      <c r="S29" s="41" t="n">
        <f aca="false">R33*Assumptions!$E$144</f>
        <v>0.00432125454295101</v>
      </c>
      <c r="T29" s="41" t="n">
        <f aca="false">S33*Assumptions!$E$144</f>
        <v>0.00511996952477921</v>
      </c>
      <c r="U29" s="41" t="n">
        <f aca="false">T33*Assumptions!$E$144</f>
        <v>0.00596348964668009</v>
      </c>
      <c r="V29" s="41" t="n">
        <f aca="false">U33*Assumptions!$E$144</f>
        <v>0.00717163568809337</v>
      </c>
      <c r="W29" s="41" t="n">
        <f aca="false">V33*Assumptions!$E$144</f>
        <v>0.00842294914534099</v>
      </c>
      <c r="X29" s="41" t="n">
        <f aca="false">W33*Assumptions!$E$144</f>
        <v>0.00971725734875963</v>
      </c>
      <c r="Y29" s="41" t="n">
        <f aca="false">X33*Assumptions!$E$144</f>
        <v>0.0110543883193646</v>
      </c>
      <c r="Z29" s="41" t="n">
        <f aca="false">Y33*Assumptions!$E$144</f>
        <v>0.0124341707660871</v>
      </c>
      <c r="AA29" s="41" t="n">
        <f aca="false">Z33*Assumptions!$E$144</f>
        <v>0.0138564340830228</v>
      </c>
      <c r="AB29" s="41" t="n">
        <f aca="false">AA33*Assumptions!$E$144</f>
        <v>0.0153210083466907</v>
      </c>
      <c r="AC29" s="41" t="n">
        <f aca="false">AB33*Assumptions!$E$144</f>
        <v>0.0168277243133039</v>
      </c>
      <c r="AD29" s="41" t="n">
        <f aca="false">AC33*Assumptions!$E$144</f>
        <v>0.0183764134160507</v>
      </c>
      <c r="AE29" s="41" t="n">
        <f aca="false">AD33*Assumptions!$E$144</f>
        <v>0.0199669077623865</v>
      </c>
      <c r="AF29" s="41" t="n">
        <f aca="false">AE33*Assumptions!$E$144</f>
        <v>0.021919040131337</v>
      </c>
      <c r="AG29" s="41" t="n">
        <f aca="false">AF33*Assumptions!$E$144</f>
        <v>0.0239113639708116</v>
      </c>
      <c r="AH29" s="41" t="n">
        <f aca="false">AG33*Assumptions!$E$144</f>
        <v>0.0259437185149284</v>
      </c>
      <c r="AI29" s="41" t="n">
        <f aca="false">AH33*Assumptions!$E$144</f>
        <v>0.0280159436408687</v>
      </c>
      <c r="AJ29" s="41" t="n">
        <f aca="false">AI33*Assumptions!$E$144</f>
        <v>0.0301278798663052</v>
      </c>
      <c r="AK29" s="41" t="n">
        <f aca="false">AJ33*Assumptions!$E$144</f>
        <v>0.03227936834684</v>
      </c>
      <c r="AL29" s="41" t="n">
        <f aca="false">AK33*Assumptions!$E$144</f>
        <v>0.0344702508734526</v>
      </c>
    </row>
    <row r="30" customFormat="false" ht="15" hidden="false" customHeight="false" outlineLevel="0" collapsed="false">
      <c r="A30" s="9" t="s">
        <v>575</v>
      </c>
      <c r="B30" s="2" t="s">
        <v>567</v>
      </c>
      <c r="C30" s="42" t="n">
        <f aca="false">C22-C26</f>
        <v>0</v>
      </c>
      <c r="D30" s="42" t="n">
        <f aca="false">C30+D22-D26</f>
        <v>0</v>
      </c>
      <c r="E30" s="42" t="n">
        <f aca="false">D30+E22-E26</f>
        <v>0</v>
      </c>
      <c r="F30" s="42" t="n">
        <f aca="false">E30+F22-F26</f>
        <v>2.5</v>
      </c>
      <c r="G30" s="42" t="n">
        <f aca="false">F30+G22-G26</f>
        <v>5.3875</v>
      </c>
      <c r="H30" s="42" t="n">
        <f aca="false">G30+H22-H26</f>
        <v>8.6528125</v>
      </c>
      <c r="I30" s="42" t="n">
        <f aca="false">H30+I22-I26</f>
        <v>12.2864921875</v>
      </c>
      <c r="J30" s="42" t="n">
        <f aca="false">I30+J22-J26</f>
        <v>16.2793298828125</v>
      </c>
      <c r="K30" s="42" t="n">
        <f aca="false">J30+K22-K26</f>
        <v>20.6223466357422</v>
      </c>
      <c r="L30" s="42" t="n">
        <f aca="false">K30+L22-L26</f>
        <v>25.3067879698486</v>
      </c>
      <c r="M30" s="42" t="n">
        <f aca="false">L30+M22-M26</f>
        <v>30.3241182706024</v>
      </c>
      <c r="N30" s="42" t="n">
        <f aca="false">M30+N22-N26</f>
        <v>35.6660153138374</v>
      </c>
      <c r="O30" s="42" t="n">
        <f aca="false">N30+O22-O26</f>
        <v>41.3243649309914</v>
      </c>
      <c r="P30" s="42" t="n">
        <f aca="false">O30+P22-P26</f>
        <v>47.2912558077166</v>
      </c>
      <c r="Q30" s="42" t="n">
        <f aca="false">P30+Q22-Q26</f>
        <v>53.5589744125237</v>
      </c>
      <c r="R30" s="42" t="n">
        <f aca="false">Q30+R22-R26</f>
        <v>60.1200000522106</v>
      </c>
      <c r="S30" s="42" t="n">
        <f aca="false">R30+S22-S26</f>
        <v>66.9670000509054</v>
      </c>
      <c r="T30" s="42" t="n">
        <f aca="false">S30+T22-T26</f>
        <v>74.0928250496327</v>
      </c>
      <c r="U30" s="42" t="n">
        <f aca="false">T30+U22-U26</f>
        <v>81.4905044233919</v>
      </c>
      <c r="V30" s="42" t="n">
        <f aca="false">U30+V22-V26</f>
        <v>89.1532418128071</v>
      </c>
      <c r="W30" s="42" t="n">
        <f aca="false">V30+W22-W26</f>
        <v>97.0744107674869</v>
      </c>
      <c r="X30" s="42" t="n">
        <f aca="false">W30+X22-X26</f>
        <v>105.2475504983</v>
      </c>
      <c r="Y30" s="42" t="n">
        <f aca="false">X30+Y22-Y26</f>
        <v>113.666361735842</v>
      </c>
      <c r="Z30" s="42" t="n">
        <f aca="false">Y30+Z22-Z26</f>
        <v>122.324702692446</v>
      </c>
      <c r="AA30" s="42" t="n">
        <f aca="false">Z30+AA22-AA26</f>
        <v>131.216585125135</v>
      </c>
      <c r="AB30" s="42" t="n">
        <f aca="false">AA30+AB22-AB26</f>
        <v>140.336170497007</v>
      </c>
      <c r="AC30" s="42" t="n">
        <f aca="false">AB30+AC22-AC26</f>
        <v>149.677766234582</v>
      </c>
      <c r="AD30" s="42" t="n">
        <f aca="false">AC30+AD22-AD26</f>
        <v>159.235822078717</v>
      </c>
      <c r="AE30" s="42" t="n">
        <f aca="false">AD30+AE22-AE26</f>
        <v>169.004926526749</v>
      </c>
      <c r="AF30" s="42" t="n">
        <f aca="false">AE30+AF22-AF26</f>
        <v>178.97980336358</v>
      </c>
      <c r="AG30" s="42" t="n">
        <f aca="false">AF30+AG22-AG26</f>
        <v>189.155308279491</v>
      </c>
      <c r="AH30" s="42" t="n">
        <f aca="false">AG30+AH22-AH26</f>
        <v>199.426425572504</v>
      </c>
      <c r="AI30" s="42" t="n">
        <f aca="false">AH30+AI22-AI26</f>
        <v>209.440764933191</v>
      </c>
      <c r="AJ30" s="42" t="n">
        <f aca="false">AI30+AJ22-AJ26</f>
        <v>219.204745809861</v>
      </c>
      <c r="AK30" s="42" t="n">
        <f aca="false">AJ30+AK22-AK26</f>
        <v>228.724627164615</v>
      </c>
      <c r="AL30" s="42" t="n">
        <f aca="false">AK30+AL22-AL26</f>
        <v>238.006511485499</v>
      </c>
    </row>
    <row r="31" customFormat="false" ht="15" hidden="false" customHeight="false" outlineLevel="0" collapsed="false">
      <c r="A31" s="9" t="s">
        <v>576</v>
      </c>
      <c r="B31" s="2" t="s">
        <v>567</v>
      </c>
      <c r="C31" s="42" t="n">
        <f aca="false">C23-C27</f>
        <v>0</v>
      </c>
      <c r="D31" s="42" t="n">
        <f aca="false">C31+D23-D27</f>
        <v>0</v>
      </c>
      <c r="E31" s="42" t="n">
        <f aca="false">D31+E23-E27</f>
        <v>0</v>
      </c>
      <c r="F31" s="42" t="n">
        <f aca="false">E31+F23-F27</f>
        <v>0</v>
      </c>
      <c r="G31" s="42" t="n">
        <f aca="false">F31+G23-G27</f>
        <v>0.5</v>
      </c>
      <c r="H31" s="42" t="n">
        <f aca="false">G31+H23-H27</f>
        <v>1.12</v>
      </c>
      <c r="I31" s="42" t="n">
        <f aca="false">H31+I23-I27</f>
        <v>1.8576</v>
      </c>
      <c r="J31" s="42" t="n">
        <f aca="false">I31+J23-J27</f>
        <v>2.710448</v>
      </c>
      <c r="K31" s="42" t="n">
        <f aca="false">J31+K23-K27</f>
        <v>3.67623904</v>
      </c>
      <c r="L31" s="42" t="n">
        <f aca="false">K31+L23-L27</f>
        <v>4.7527142592</v>
      </c>
      <c r="M31" s="42" t="n">
        <f aca="false">L31+M23-M27</f>
        <v>5.937659974016</v>
      </c>
      <c r="N31" s="42" t="n">
        <f aca="false">M31+N23-N27</f>
        <v>7.22890677453568</v>
      </c>
      <c r="O31" s="42" t="n">
        <f aca="false">N31+O23-O27</f>
        <v>8.62432863904497</v>
      </c>
      <c r="P31" s="42" t="n">
        <f aca="false">O31+P23-P27</f>
        <v>10.1218420662641</v>
      </c>
      <c r="Q31" s="42" t="n">
        <f aca="false">P31+Q23-Q27</f>
        <v>11.7194052249388</v>
      </c>
      <c r="R31" s="42" t="n">
        <f aca="false">Q31+R23-R27</f>
        <v>13.41501712044</v>
      </c>
      <c r="S31" s="42" t="n">
        <f aca="false">R31+S23-S27</f>
        <v>15.2067167780312</v>
      </c>
      <c r="T31" s="42" t="n">
        <f aca="false">S31+T23-T27</f>
        <v>17.0925824424706</v>
      </c>
      <c r="U31" s="42" t="n">
        <f aca="false">T31+U23-U27</f>
        <v>19.0707307936212</v>
      </c>
      <c r="V31" s="42" t="n">
        <f aca="false">U31+V23-V27</f>
        <v>21.1393161777488</v>
      </c>
      <c r="W31" s="42" t="n">
        <f aca="false">V31+W23-W27</f>
        <v>23.2965298541938</v>
      </c>
      <c r="X31" s="42" t="n">
        <f aca="false">W31+X23-X27</f>
        <v>25.5405992571099</v>
      </c>
      <c r="Y31" s="42" t="n">
        <f aca="false">X31+Y23-Y27</f>
        <v>27.8697872719677</v>
      </c>
      <c r="Z31" s="42" t="n">
        <f aca="false">Y31+Z23-Z27</f>
        <v>30.2823915265284</v>
      </c>
      <c r="AA31" s="42" t="n">
        <f aca="false">Z31+AA23-AA27</f>
        <v>32.7767436959978</v>
      </c>
      <c r="AB31" s="42" t="n">
        <f aca="false">AA31+AB23-AB27</f>
        <v>35.3512088220778</v>
      </c>
      <c r="AC31" s="42" t="n">
        <f aca="false">AB31+AC23-AC27</f>
        <v>38.0041846456363</v>
      </c>
      <c r="AD31" s="42" t="n">
        <f aca="false">AC31+AD23-AD27</f>
        <v>40.7341009527236</v>
      </c>
      <c r="AE31" s="42" t="n">
        <f aca="false">AD31+AE23-AE27</f>
        <v>43.5394189336691</v>
      </c>
      <c r="AF31" s="42" t="n">
        <f aca="false">AE31+AF23-AF27</f>
        <v>46.4186305549957</v>
      </c>
      <c r="AG31" s="42" t="n">
        <f aca="false">AF31+AG23-AG27</f>
        <v>49.3702579438958</v>
      </c>
      <c r="AH31" s="42" t="n">
        <f aca="false">AG31+AH23-AH27</f>
        <v>52.3928527850179</v>
      </c>
      <c r="AI31" s="42" t="n">
        <f aca="false">AH31+AI23-AI27</f>
        <v>55.4849957293175</v>
      </c>
      <c r="AJ31" s="42" t="n">
        <f aca="false">AI31+AJ23-AJ27</f>
        <v>58.6452958147312</v>
      </c>
      <c r="AK31" s="42" t="n">
        <f aca="false">AJ31+AK23-AK27</f>
        <v>61.8723898984365</v>
      </c>
      <c r="AL31" s="42" t="n">
        <f aca="false">AK31+AL23-AL27</f>
        <v>65.1649421004678</v>
      </c>
    </row>
    <row r="32" customFormat="false" ht="15" hidden="false" customHeight="false" outlineLevel="0" collapsed="false">
      <c r="A32" s="9" t="s">
        <v>577</v>
      </c>
      <c r="B32" s="2" t="s">
        <v>567</v>
      </c>
      <c r="C32" s="42" t="n">
        <f aca="false">C24-C28</f>
        <v>0</v>
      </c>
      <c r="D32" s="42" t="n">
        <f aca="false">C32+D24-D28</f>
        <v>0</v>
      </c>
      <c r="E32" s="42" t="n">
        <f aca="false">D32+E24-E28</f>
        <v>0</v>
      </c>
      <c r="F32" s="42" t="n">
        <f aca="false">E32+F24-F28</f>
        <v>0</v>
      </c>
      <c r="G32" s="42" t="n">
        <f aca="false">F32+G24-G28</f>
        <v>0</v>
      </c>
      <c r="H32" s="42" t="n">
        <f aca="false">G32+H24-H28</f>
        <v>0.3</v>
      </c>
      <c r="I32" s="42" t="n">
        <f aca="false">H32+I24-I28</f>
        <v>0.64775</v>
      </c>
      <c r="J32" s="42" t="n">
        <f aca="false">I32+J24-J28</f>
        <v>1.042891875</v>
      </c>
      <c r="K32" s="42" t="n">
        <f aca="false">J32+K24-K28</f>
        <v>1.4850701859375</v>
      </c>
      <c r="L32" s="42" t="n">
        <f aca="false">K32+L24-L28</f>
        <v>1.97393215954297</v>
      </c>
      <c r="M32" s="42" t="n">
        <f aca="false">L32+M24-M28</f>
        <v>2.5091276683464</v>
      </c>
      <c r="N32" s="42" t="n">
        <f aca="false">M32+N24-N28</f>
        <v>3.0903092108338</v>
      </c>
      <c r="O32" s="42" t="n">
        <f aca="false">N32+O24-O28</f>
        <v>3.71713189175255</v>
      </c>
      <c r="P32" s="42" t="n">
        <f aca="false">O32+P24-P28</f>
        <v>4.3892534025644</v>
      </c>
      <c r="Q32" s="42" t="n">
        <f aca="false">P32+Q24-Q28</f>
        <v>5.10633400204517</v>
      </c>
      <c r="R32" s="42" t="n">
        <f aca="false">Q32+R24-R28</f>
        <v>5.86803649702983</v>
      </c>
      <c r="S32" s="42" t="n">
        <f aca="false">R32+S24-S28</f>
        <v>6.6740262233021</v>
      </c>
      <c r="T32" s="42" t="n">
        <f aca="false">S32+T24-T28</f>
        <v>7.52397102662734</v>
      </c>
      <c r="U32" s="42" t="n">
        <f aca="false">T32+U24-U28</f>
        <v>8.81754124392763</v>
      </c>
      <c r="V32" s="42" t="n">
        <f aca="false">U32+V24-V28</f>
        <v>10.1514096845982</v>
      </c>
      <c r="W32" s="42" t="n">
        <f aca="false">V32+W24-W28</f>
        <v>11.5252741119637</v>
      </c>
      <c r="X32" s="42" t="n">
        <f aca="false">W32+X24-X28</f>
        <v>12.938834556124</v>
      </c>
      <c r="Y32" s="42" t="n">
        <f aca="false">X32+Y24-Y28</f>
        <v>14.391793296953</v>
      </c>
      <c r="Z32" s="42" t="n">
        <f aca="false">Y32+Z24-Z28</f>
        <v>15.8838548472259</v>
      </c>
      <c r="AA32" s="42" t="n">
        <f aca="false">Z32+AA24-AA28</f>
        <v>17.4147259358717</v>
      </c>
      <c r="AB32" s="42" t="n">
        <f aca="false">AA32+AB24-AB28</f>
        <v>18.9841154913527</v>
      </c>
      <c r="AC32" s="42" t="n">
        <f aca="false">AB32+AC24-AC28</f>
        <v>20.5917346251675</v>
      </c>
      <c r="AD32" s="42" t="n">
        <f aca="false">AC32+AD24-AD28</f>
        <v>22.2372966154787</v>
      </c>
      <c r="AE32" s="42" t="n">
        <f aca="false">AD32+AE24-AE28</f>
        <v>24.3205168908627</v>
      </c>
      <c r="AF32" s="42" t="n">
        <f aca="false">AE32+AF24-AF28</f>
        <v>26.4381130141812</v>
      </c>
      <c r="AG32" s="42" t="n">
        <f aca="false">AF32+AG24-AG28</f>
        <v>28.5898271665748</v>
      </c>
      <c r="AH32" s="42" t="n">
        <f aca="false">AG32+AH24-AH28</f>
        <v>30.7754034628255</v>
      </c>
      <c r="AI32" s="42" t="n">
        <f aca="false">AH32+AI24-AI28</f>
        <v>32.9945879368543</v>
      </c>
      <c r="AJ32" s="42" t="n">
        <f aca="false">AI32+AJ24-AJ28</f>
        <v>35.2471285273279</v>
      </c>
      <c r="AK32" s="42" t="n">
        <f aca="false">AJ32+AK24-AK28</f>
        <v>37.532775063373</v>
      </c>
      <c r="AL32" s="42" t="n">
        <f aca="false">AK32+AL24-AL28</f>
        <v>39.8512792503977</v>
      </c>
    </row>
    <row r="33" customFormat="false" ht="15" hidden="false" customHeight="false" outlineLevel="0" collapsed="false">
      <c r="A33" s="9" t="s">
        <v>578</v>
      </c>
      <c r="B33" s="2" t="s">
        <v>567</v>
      </c>
      <c r="C33" s="42" t="n">
        <f aca="false">C25-C29</f>
        <v>0</v>
      </c>
      <c r="D33" s="42" t="n">
        <f aca="false">C33+D25-D29</f>
        <v>0</v>
      </c>
      <c r="E33" s="42" t="n">
        <f aca="false">D33+E25-E29</f>
        <v>0</v>
      </c>
      <c r="F33" s="42" t="n">
        <f aca="false">E33+F25-F29</f>
        <v>0</v>
      </c>
      <c r="G33" s="42" t="n">
        <f aca="false">F33+G25-G29</f>
        <v>0</v>
      </c>
      <c r="H33" s="42" t="n">
        <f aca="false">G33+H25-H29</f>
        <v>0</v>
      </c>
      <c r="I33" s="42" t="n">
        <f aca="false">H33+I25-I29</f>
        <v>0</v>
      </c>
      <c r="J33" s="42" t="n">
        <f aca="false">I33+J25-J29</f>
        <v>0</v>
      </c>
      <c r="K33" s="42" t="n">
        <f aca="false">J33+K25-K29</f>
        <v>0</v>
      </c>
      <c r="L33" s="42" t="n">
        <f aca="false">K33+L25-L29</f>
        <v>0.12</v>
      </c>
      <c r="M33" s="42" t="n">
        <f aca="false">L33+M25-M29</f>
        <v>0.25152</v>
      </c>
      <c r="N33" s="42" t="n">
        <f aca="false">M33+N25-N29</f>
        <v>0.39451392</v>
      </c>
      <c r="O33" s="42" t="n">
        <f aca="false">N33+O25-O29</f>
        <v>0.54893586432</v>
      </c>
      <c r="P33" s="42" t="n">
        <f aca="false">O33+P25-P29</f>
        <v>0.71474012086272</v>
      </c>
      <c r="Q33" s="42" t="n">
        <f aca="false">P33+Q25-Q29</f>
        <v>0.891881160379269</v>
      </c>
      <c r="R33" s="42" t="n">
        <f aca="false">Q33+R25-R29</f>
        <v>1.08031363573775</v>
      </c>
      <c r="S33" s="42" t="n">
        <f aca="false">R33+S25-S29</f>
        <v>1.2799923811948</v>
      </c>
      <c r="T33" s="42" t="n">
        <f aca="false">S33+T25-T29</f>
        <v>1.49087241167002</v>
      </c>
      <c r="U33" s="42" t="n">
        <f aca="false">T33+U25-U29</f>
        <v>1.79290892202334</v>
      </c>
      <c r="V33" s="42" t="n">
        <f aca="false">U33+V25-V29</f>
        <v>2.10573728633525</v>
      </c>
      <c r="W33" s="42" t="n">
        <f aca="false">V33+W25-W29</f>
        <v>2.42931433718991</v>
      </c>
      <c r="X33" s="42" t="n">
        <f aca="false">W33+X25-X29</f>
        <v>2.76359707984115</v>
      </c>
      <c r="Y33" s="42" t="n">
        <f aca="false">X33+Y25-Y29</f>
        <v>3.10854269152178</v>
      </c>
      <c r="Z33" s="42" t="n">
        <f aca="false">Y33+Z25-Z29</f>
        <v>3.4641085207557</v>
      </c>
      <c r="AA33" s="42" t="n">
        <f aca="false">Z33+AA25-AA29</f>
        <v>3.83025208667267</v>
      </c>
      <c r="AB33" s="42" t="n">
        <f aca="false">AA33+AB25-AB29</f>
        <v>4.20693107832598</v>
      </c>
      <c r="AC33" s="42" t="n">
        <f aca="false">AB33+AC25-AC29</f>
        <v>4.59410335401268</v>
      </c>
      <c r="AD33" s="42" t="n">
        <f aca="false">AC33+AD25-AD29</f>
        <v>4.99172694059663</v>
      </c>
      <c r="AE33" s="42" t="n">
        <f aca="false">AD33+AE25-AE29</f>
        <v>5.47976003283424</v>
      </c>
      <c r="AF33" s="42" t="n">
        <f aca="false">AE33+AF25-AF29</f>
        <v>5.9778409927029</v>
      </c>
      <c r="AG33" s="42" t="n">
        <f aca="false">AF33+AG25-AG29</f>
        <v>6.48592962873209</v>
      </c>
      <c r="AH33" s="42" t="n">
        <f aca="false">AG33+AH25-AH29</f>
        <v>7.00398591021716</v>
      </c>
      <c r="AI33" s="42" t="n">
        <f aca="false">AH33+AI25-AI29</f>
        <v>7.5319699665763</v>
      </c>
      <c r="AJ33" s="42" t="n">
        <f aca="false">AI33+AJ25-AJ29</f>
        <v>8.06984208670999</v>
      </c>
      <c r="AK33" s="42" t="n">
        <f aca="false">AJ33+AK25-AK29</f>
        <v>8.61756271836315</v>
      </c>
      <c r="AL33" s="42" t="n">
        <f aca="false">AK33+AL25-AL29</f>
        <v>9.1750924674897</v>
      </c>
    </row>
    <row r="34" customFormat="false" ht="15" hidden="false" customHeight="false" outlineLevel="0" collapsed="false">
      <c r="A34" s="3" t="s">
        <v>579</v>
      </c>
      <c r="B34" s="2" t="s">
        <v>567</v>
      </c>
      <c r="C34" s="43" t="n">
        <f aca="false">C22+C23+C24+C25</f>
        <v>0</v>
      </c>
      <c r="D34" s="43" t="n">
        <f aca="false">D22+D23+D24+D25</f>
        <v>0</v>
      </c>
      <c r="E34" s="43" t="n">
        <f aca="false">E22+E23+E24+E25</f>
        <v>0</v>
      </c>
      <c r="F34" s="43" t="n">
        <f aca="false">F22+F23+F24+F25</f>
        <v>2.5</v>
      </c>
      <c r="G34" s="43" t="n">
        <f aca="false">G22+G23+G24+G25</f>
        <v>3.45</v>
      </c>
      <c r="H34" s="43" t="n">
        <f aca="false">H22+H23+H24+H25</f>
        <v>4.33</v>
      </c>
      <c r="I34" s="43" t="n">
        <f aca="false">I22+I23+I24+I25</f>
        <v>4.96</v>
      </c>
      <c r="J34" s="43" t="n">
        <f aca="false">J22+J23+J24+J25</f>
        <v>5.59</v>
      </c>
      <c r="K34" s="43" t="n">
        <f aca="false">K22+K23+K24+K25</f>
        <v>6.22</v>
      </c>
      <c r="L34" s="43" t="n">
        <f aca="false">L22+L23+L24+L25</f>
        <v>6.97</v>
      </c>
      <c r="M34" s="43" t="n">
        <f aca="false">M22+M23+M24+M25</f>
        <v>7.612</v>
      </c>
      <c r="N34" s="43" t="n">
        <f aca="false">N22+N23+N24+N25</f>
        <v>8.254</v>
      </c>
      <c r="O34" s="43" t="n">
        <f aca="false">O22+O23+O24+O25</f>
        <v>8.896</v>
      </c>
      <c r="P34" s="43" t="n">
        <f aca="false">P22+P23+P24+P25</f>
        <v>9.538</v>
      </c>
      <c r="Q34" s="43" t="n">
        <f aca="false">Q22+Q23+Q24+Q25</f>
        <v>10.18</v>
      </c>
      <c r="R34" s="43" t="n">
        <f aca="false">R22+R23+R24+R25</f>
        <v>10.822</v>
      </c>
      <c r="S34" s="43" t="n">
        <f aca="false">S22+S23+S24+S25</f>
        <v>11.464</v>
      </c>
      <c r="T34" s="43" t="n">
        <f aca="false">T22+T23+T24+T25</f>
        <v>12.106</v>
      </c>
      <c r="U34" s="43" t="n">
        <f aca="false">U22+U23+U24+U25</f>
        <v>13.228</v>
      </c>
      <c r="V34" s="43" t="n">
        <f aca="false">V22+V23+V24+V25</f>
        <v>13.87</v>
      </c>
      <c r="W34" s="43" t="n">
        <f aca="false">W22+W23+W24+W25</f>
        <v>14.512</v>
      </c>
      <c r="X34" s="43" t="n">
        <f aca="false">X22+X23+X24+X25</f>
        <v>15.154</v>
      </c>
      <c r="Y34" s="43" t="n">
        <f aca="false">Y22+Y23+Y24+Y25</f>
        <v>15.796</v>
      </c>
      <c r="Z34" s="43" t="n">
        <f aca="false">Z22+Z23+Z24+Z25</f>
        <v>16.438</v>
      </c>
      <c r="AA34" s="43" t="n">
        <f aca="false">AA22+AA23+AA24+AA25</f>
        <v>17.08</v>
      </c>
      <c r="AB34" s="43" t="n">
        <f aca="false">AB22+AB23+AB24+AB25</f>
        <v>17.722</v>
      </c>
      <c r="AC34" s="43" t="n">
        <f aca="false">AC22+AC23+AC24+AC25</f>
        <v>18.364</v>
      </c>
      <c r="AD34" s="43" t="n">
        <f aca="false">AD22+AD23+AD24+AD25</f>
        <v>19.006</v>
      </c>
      <c r="AE34" s="43" t="n">
        <f aca="false">AE22+AE23+AE24+AE25</f>
        <v>20.128</v>
      </c>
      <c r="AF34" s="43" t="n">
        <f aca="false">AF22+AF23+AF24+AF25</f>
        <v>20.77</v>
      </c>
      <c r="AG34" s="43" t="n">
        <f aca="false">AG22+AG23+AG24+AG25</f>
        <v>21.412</v>
      </c>
      <c r="AH34" s="43" t="n">
        <f aca="false">AH22+AH23+AH24+AH25</f>
        <v>21.954</v>
      </c>
      <c r="AI34" s="43" t="n">
        <f aca="false">AI22+AI23+AI24+AI25</f>
        <v>22.146</v>
      </c>
      <c r="AJ34" s="43" t="n">
        <f aca="false">AJ22+AJ23+AJ24+AJ25</f>
        <v>22.338</v>
      </c>
      <c r="AK34" s="43" t="n">
        <f aca="false">AK22+AK23+AK24+AK25</f>
        <v>22.53</v>
      </c>
      <c r="AL34" s="43" t="n">
        <f aca="false">AL22+AL23+AL24+AL25</f>
        <v>22.722</v>
      </c>
    </row>
    <row r="35" customFormat="false" ht="15" hidden="false" customHeight="false" outlineLevel="0" collapsed="false">
      <c r="A35" s="9" t="s">
        <v>580</v>
      </c>
      <c r="B35" s="2" t="s">
        <v>567</v>
      </c>
      <c r="C35" s="41" t="n">
        <f aca="false">C26+C27+C28+C29</f>
        <v>0</v>
      </c>
      <c r="D35" s="41" t="n">
        <f aca="false">D26+D27+D28+D29</f>
        <v>0</v>
      </c>
      <c r="E35" s="41" t="n">
        <f aca="false">E26+E27+E28+E29</f>
        <v>0</v>
      </c>
      <c r="F35" s="41" t="n">
        <f aca="false">F26+F27+F28+F29</f>
        <v>0</v>
      </c>
      <c r="G35" s="41" t="n">
        <f aca="false">G26+G27+G28+G29</f>
        <v>0.0625</v>
      </c>
      <c r="H35" s="41" t="n">
        <f aca="false">H26+H27+H28+H29</f>
        <v>0.1446875</v>
      </c>
      <c r="I35" s="41" t="n">
        <f aca="false">I26+I27+I28+I29</f>
        <v>0.2409703125</v>
      </c>
      <c r="J35" s="41" t="n">
        <f aca="false">J26+J27+J28+J29</f>
        <v>0.3491724296875</v>
      </c>
      <c r="K35" s="41" t="n">
        <f aca="false">K26+K27+K28+K29</f>
        <v>0.469013896132813</v>
      </c>
      <c r="L35" s="41" t="n">
        <f aca="false">L26+L27+L28+L29</f>
        <v>0.600221473088086</v>
      </c>
      <c r="M35" s="41" t="n">
        <f aca="false">M26+M27+M28+M29</f>
        <v>0.743008475626788</v>
      </c>
      <c r="N35" s="41" t="n">
        <f aca="false">N26+N27+N28+N29</f>
        <v>0.896680693757979</v>
      </c>
      <c r="O35" s="41" t="n">
        <f aca="false">O26+O27+O28+O29</f>
        <v>1.0609838930979</v>
      </c>
      <c r="P35" s="41" t="n">
        <f aca="false">P26+P27+P28+P29</f>
        <v>1.23566992870111</v>
      </c>
      <c r="Q35" s="41" t="n">
        <f aca="false">Q26+Q27+Q28+Q29</f>
        <v>1.42049659752088</v>
      </c>
      <c r="R35" s="41" t="n">
        <f aca="false">R26+R27+R28+R29</f>
        <v>1.61522749446872</v>
      </c>
      <c r="S35" s="41" t="n">
        <f aca="false">S26+S27+S28+S29</f>
        <v>1.81963187198474</v>
      </c>
      <c r="T35" s="41" t="n">
        <f aca="false">T26+T27+T28+T29</f>
        <v>2.0334845030328</v>
      </c>
      <c r="U35" s="41" t="n">
        <f aca="false">U26+U27+U28+U29</f>
        <v>2.25656554743662</v>
      </c>
      <c r="V35" s="41" t="n">
        <f aca="false">V26+V27+V28+V29</f>
        <v>2.49198042147477</v>
      </c>
      <c r="W35" s="41" t="n">
        <f aca="false">W26+W27+W28+W29</f>
        <v>2.73617589065498</v>
      </c>
      <c r="X35" s="41" t="n">
        <f aca="false">X26+X27+X28+X29</f>
        <v>2.98894767945954</v>
      </c>
      <c r="Y35" s="41" t="n">
        <f aca="false">Y26+Y27+Y28+Y29</f>
        <v>3.25009639508999</v>
      </c>
      <c r="Z35" s="41" t="n">
        <f aca="false">Z26+Z27+Z28+Z29</f>
        <v>3.51942740932865</v>
      </c>
      <c r="AA35" s="41" t="n">
        <f aca="false">AA26+AA27+AA28+AA29</f>
        <v>3.79675074327894</v>
      </c>
      <c r="AB35" s="41" t="n">
        <f aca="false">AB26+AB27+AB28+AB29</f>
        <v>4.08188095491406</v>
      </c>
      <c r="AC35" s="41" t="n">
        <f aca="false">AC26+AC27+AC28+AC29</f>
        <v>4.37463702936517</v>
      </c>
      <c r="AD35" s="41" t="n">
        <f aca="false">AD26+AD27+AD28+AD29</f>
        <v>4.67484227188207</v>
      </c>
      <c r="AE35" s="41" t="n">
        <f aca="false">AE26+AE27+AE28+AE29</f>
        <v>4.98232420340087</v>
      </c>
      <c r="AF35" s="41" t="n">
        <f aca="false">AF26+AF27+AF28+AF29</f>
        <v>5.30023445865492</v>
      </c>
      <c r="AG35" s="41" t="n">
        <f aca="false">AG26+AG27+AG28+AG29</f>
        <v>5.62506490676659</v>
      </c>
      <c r="AH35" s="41" t="n">
        <f aca="false">AH26+AH27+AH28+AH29</f>
        <v>5.95665528812943</v>
      </c>
      <c r="AI35" s="41" t="n">
        <f aca="false">AI26+AI27+AI28+AI29</f>
        <v>6.29234916462501</v>
      </c>
      <c r="AJ35" s="41" t="n">
        <f aca="false">AJ26+AJ27+AJ28+AJ29</f>
        <v>6.62330632730884</v>
      </c>
      <c r="AK35" s="41" t="n">
        <f aca="false">AK26+AK27+AK28+AK29</f>
        <v>6.94965739384295</v>
      </c>
      <c r="AL35" s="41" t="n">
        <f aca="false">AL26+AL27+AL28+AL29</f>
        <v>7.27152954093285</v>
      </c>
    </row>
    <row r="36" customFormat="false" ht="15" hidden="false" customHeight="false" outlineLevel="0" collapsed="false">
      <c r="A36" s="3" t="s">
        <v>581</v>
      </c>
      <c r="B36" s="2" t="s">
        <v>567</v>
      </c>
      <c r="C36" s="44" t="n">
        <f aca="false">C30+C31+C32+C33</f>
        <v>0</v>
      </c>
      <c r="D36" s="44" t="n">
        <f aca="false">D30+D31+D32+D33</f>
        <v>0</v>
      </c>
      <c r="E36" s="44" t="n">
        <f aca="false">E30+E31+E32+E33</f>
        <v>0</v>
      </c>
      <c r="F36" s="44" t="n">
        <f aca="false">F30+F31+F32+F33</f>
        <v>2.5</v>
      </c>
      <c r="G36" s="44" t="n">
        <f aca="false">G30+G31+G32+G33</f>
        <v>5.8875</v>
      </c>
      <c r="H36" s="44" t="n">
        <f aca="false">H30+H31+H32+H33</f>
        <v>10.0728125</v>
      </c>
      <c r="I36" s="44" t="n">
        <f aca="false">I30+I31+I32+I33</f>
        <v>14.7918421875</v>
      </c>
      <c r="J36" s="44" t="n">
        <f aca="false">J30+J31+J32+J33</f>
        <v>20.0326697578125</v>
      </c>
      <c r="K36" s="44" t="n">
        <f aca="false">K30+K31+K32+K33</f>
        <v>25.7836558616797</v>
      </c>
      <c r="L36" s="44" t="n">
        <f aca="false">L30+L31+L32+L33</f>
        <v>32.1534343885916</v>
      </c>
      <c r="M36" s="44" t="n">
        <f aca="false">M30+M31+M32+M33</f>
        <v>39.0224259129648</v>
      </c>
      <c r="N36" s="44" t="n">
        <f aca="false">N30+N31+N32+N33</f>
        <v>46.3797452192068</v>
      </c>
      <c r="O36" s="44" t="n">
        <f aca="false">O30+O31+O32+O33</f>
        <v>54.2147613261089</v>
      </c>
      <c r="P36" s="44" t="n">
        <f aca="false">P30+P31+P32+P33</f>
        <v>62.5170913974078</v>
      </c>
      <c r="Q36" s="44" t="n">
        <f aca="false">Q30+Q31+Q32+Q33</f>
        <v>71.276594799887</v>
      </c>
      <c r="R36" s="44" t="n">
        <f aca="false">R30+R31+R32+R33</f>
        <v>80.4833673054182</v>
      </c>
      <c r="S36" s="44" t="n">
        <f aca="false">S30+S31+S32+S33</f>
        <v>90.1277354334335</v>
      </c>
      <c r="T36" s="44" t="n">
        <f aca="false">T30+T31+T32+T33</f>
        <v>100.200250930401</v>
      </c>
      <c r="U36" s="44" t="n">
        <f aca="false">U30+U31+U32+U33</f>
        <v>111.171685382964</v>
      </c>
      <c r="V36" s="44" t="n">
        <f aca="false">V30+V31+V32+V33</f>
        <v>122.549704961489</v>
      </c>
      <c r="W36" s="44" t="n">
        <f aca="false">W30+W31+W32+W33</f>
        <v>134.325529070834</v>
      </c>
      <c r="X36" s="44" t="n">
        <f aca="false">X30+X31+X32+X33</f>
        <v>146.490581391375</v>
      </c>
      <c r="Y36" s="44" t="n">
        <f aca="false">Y30+Y31+Y32+Y33</f>
        <v>159.036484996285</v>
      </c>
      <c r="Z36" s="44" t="n">
        <f aca="false">Z30+Z31+Z32+Z33</f>
        <v>171.955057586956</v>
      </c>
      <c r="AA36" s="44" t="n">
        <f aca="false">AA30+AA31+AA32+AA33</f>
        <v>185.238306843677</v>
      </c>
      <c r="AB36" s="44" t="n">
        <f aca="false">AB30+AB31+AB32+AB33</f>
        <v>198.878425888763</v>
      </c>
      <c r="AC36" s="44" t="n">
        <f aca="false">AC30+AC31+AC32+AC33</f>
        <v>212.867788859398</v>
      </c>
      <c r="AD36" s="44" t="n">
        <f aca="false">AD30+AD31+AD32+AD33</f>
        <v>227.198946587516</v>
      </c>
      <c r="AE36" s="44" t="n">
        <f aca="false">AE30+AE31+AE32+AE33</f>
        <v>242.344622384115</v>
      </c>
      <c r="AF36" s="44" t="n">
        <f aca="false">AF30+AF31+AF32+AF33</f>
        <v>257.81438792546</v>
      </c>
      <c r="AG36" s="44" t="n">
        <f aca="false">AG30+AG31+AG32+AG33</f>
        <v>273.601323018694</v>
      </c>
      <c r="AH36" s="44" t="n">
        <f aca="false">AH30+AH31+AH32+AH33</f>
        <v>289.598667730564</v>
      </c>
      <c r="AI36" s="44" t="n">
        <f aca="false">AI30+AI31+AI32+AI33</f>
        <v>305.452318565939</v>
      </c>
      <c r="AJ36" s="44" t="n">
        <f aca="false">AJ30+AJ31+AJ32+AJ33</f>
        <v>321.16701223863</v>
      </c>
      <c r="AK36" s="44" t="n">
        <f aca="false">AK30+AK31+AK32+AK33</f>
        <v>336.747354844787</v>
      </c>
      <c r="AL36" s="44" t="n">
        <f aca="false">AL30+AL31+AL32+AL33</f>
        <v>352.197825303855</v>
      </c>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row>
    <row r="38" customFormat="false" ht="15" hidden="false" customHeight="false" outlineLevel="0" collapsed="false">
      <c r="A38" s="5" t="s">
        <v>582</v>
      </c>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row>
    <row r="39" customFormat="false" ht="15" hidden="false" customHeight="false" outlineLevel="0" collapsed="false">
      <c r="A39" s="9" t="s">
        <v>583</v>
      </c>
      <c r="B39" s="2" t="s">
        <v>105</v>
      </c>
      <c r="C39" s="37" t="n">
        <f aca="false">C22*Assumptions!$D$73*Assumptions!$E$149</f>
        <v>0</v>
      </c>
      <c r="D39" s="37" t="n">
        <f aca="false">C39*(1-Assumptions!$E$141)*(1+Assumptions!$E$145)+D22*Assumptions!$D$73*Assumptions!$E$149</f>
        <v>0</v>
      </c>
      <c r="E39" s="37" t="n">
        <f aca="false">D39*(1-Assumptions!$E$141)*(1+Assumptions!$E$145)+E22*Assumptions!$D$73*Assumptions!$E$149</f>
        <v>0</v>
      </c>
      <c r="F39" s="37" t="n">
        <f aca="false">E39*(1-Assumptions!$E$141)*(1+Assumptions!$E$145)+F22*Assumptions!$D$73*Assumptions!$E$149</f>
        <v>353.875</v>
      </c>
      <c r="G39" s="37" t="n">
        <f aca="false">F39*(1-Assumptions!$E$141)*(1+Assumptions!$E$145)+G22*Assumptions!$D$73*Assumptions!$E$149</f>
        <v>763.9807375</v>
      </c>
      <c r="H39" s="37" t="n">
        <f aca="false">G39*(1-Assumptions!$E$141)*(1+Assumptions!$E$145)+H22*Assumptions!$D$73*Assumptions!$E$149</f>
        <v>1229.13074393875</v>
      </c>
      <c r="I39" s="37" t="n">
        <f aca="false">H39*(1-Assumptions!$E$141)*(1+Assumptions!$E$145)+I22*Assumptions!$D$73*Assumptions!$E$149</f>
        <v>1748.16358524164</v>
      </c>
      <c r="J39" s="37" t="n">
        <f aca="false">I39*(1-Assumptions!$E$141)*(1+Assumptions!$E$145)+J22*Assumptions!$D$73*Assumptions!$E$149</f>
        <v>2319.94233359304</v>
      </c>
      <c r="K39" s="37" t="n">
        <f aca="false">J39*(1-Assumptions!$E$141)*(1+Assumptions!$E$145)+K22*Assumptions!$D$73*Assumptions!$E$149</f>
        <v>2943.35405035423</v>
      </c>
      <c r="L39" s="37" t="n">
        <f aca="false">K39*(1-Assumptions!$E$141)*(1+Assumptions!$E$145)+L22*Assumptions!$D$73*Assumptions!$E$149</f>
        <v>3617.30927989176</v>
      </c>
      <c r="M39" s="37" t="n">
        <f aca="false">L39*(1-Assumptions!$E$141)*(1+Assumptions!$E$145)+M22*Assumptions!$D$73*Assumptions!$E$149</f>
        <v>4340.74155408604</v>
      </c>
      <c r="N39" s="37" t="n">
        <f aca="false">M39*(1-Assumptions!$E$141)*(1+Assumptions!$E$145)+N22*Assumptions!$D$73*Assumptions!$E$149</f>
        <v>5112.60690729482</v>
      </c>
      <c r="O39" s="37" t="n">
        <f aca="false">N39*(1-Assumptions!$E$141)*(1+Assumptions!$E$145)+O22*Assumptions!$D$73*Assumptions!$E$149</f>
        <v>5931.8834015509</v>
      </c>
      <c r="P39" s="37" t="n">
        <f aca="false">O39*(1-Assumptions!$E$141)*(1+Assumptions!$E$145)+P22*Assumptions!$D$73*Assumptions!$E$149</f>
        <v>6797.57066177818</v>
      </c>
      <c r="Q39" s="37" t="n">
        <f aca="false">P39*(1-Assumptions!$E$141)*(1+Assumptions!$E$145)+Q22*Assumptions!$D$73*Assumptions!$E$149</f>
        <v>7708.68942081466</v>
      </c>
      <c r="R39" s="37" t="n">
        <f aca="false">Q39*(1-Assumptions!$E$141)*(1+Assumptions!$E$145)+R22*Assumptions!$D$73*Assumptions!$E$149</f>
        <v>8664.28107403547</v>
      </c>
      <c r="S39" s="37" t="n">
        <f aca="false">R39*(1-Assumptions!$E$141)*(1+Assumptions!$E$145)+S22*Assumptions!$D$73*Assumptions!$E$149</f>
        <v>9663.40724337332</v>
      </c>
      <c r="T39" s="37" t="n">
        <f aca="false">S39*(1-Assumptions!$E$141)*(1+Assumptions!$E$145)+T22*Assumptions!$D$73*Assumptions!$E$149</f>
        <v>10705.1493505381</v>
      </c>
      <c r="U39" s="37" t="n">
        <f aca="false">T39*(1-Assumptions!$E$141)*(1+Assumptions!$E$145)+U22*Assumptions!$D$73*Assumptions!$E$149</f>
        <v>11788.6081992418</v>
      </c>
      <c r="V39" s="37" t="n">
        <f aca="false">U39*(1-Assumptions!$E$141)*(1+Assumptions!$E$145)+V22*Assumptions!$D$73*Assumptions!$E$149</f>
        <v>12912.9035662378</v>
      </c>
      <c r="W39" s="37" t="n">
        <f aca="false">V39*(1-Assumptions!$E$141)*(1+Assumptions!$E$145)+W22*Assumptions!$D$73*Assumptions!$E$149</f>
        <v>14077.1738009902</v>
      </c>
      <c r="X39" s="37" t="n">
        <f aca="false">W39*(1-Assumptions!$E$141)*(1+Assumptions!$E$145)+X22*Assumptions!$D$73*Assumptions!$E$149</f>
        <v>15280.5754337893</v>
      </c>
      <c r="Y39" s="37" t="n">
        <f aca="false">X39*(1-Assumptions!$E$141)*(1+Assumptions!$E$145)+Y22*Assumptions!$D$73*Assumptions!$E$149</f>
        <v>16522.2827921363</v>
      </c>
      <c r="Z39" s="37" t="n">
        <f aca="false">Y39*(1-Assumptions!$E$141)*(1+Assumptions!$E$145)+Z22*Assumptions!$D$73*Assumptions!$E$149</f>
        <v>17801.4876252223</v>
      </c>
      <c r="AA39" s="37" t="n">
        <f aca="false">Z39*(1-Assumptions!$E$141)*(1+Assumptions!$E$145)+AA22*Assumptions!$D$73*Assumptions!$E$149</f>
        <v>19117.3987363301</v>
      </c>
      <c r="AB39" s="37" t="n">
        <f aca="false">AA39*(1-Assumptions!$E$141)*(1+Assumptions!$E$145)+AB22*Assumptions!$D$73*Assumptions!$E$149</f>
        <v>20469.2416229935</v>
      </c>
      <c r="AC39" s="37" t="n">
        <f aca="false">AB39*(1-Assumptions!$E$141)*(1+Assumptions!$E$145)+AC22*Assumptions!$D$73*Assumptions!$E$149</f>
        <v>21856.2581247483</v>
      </c>
      <c r="AD39" s="37" t="n">
        <f aca="false">AC39*(1-Assumptions!$E$141)*(1+Assumptions!$E$145)+AD22*Assumptions!$D$73*Assumptions!$E$149</f>
        <v>23277.7060783161</v>
      </c>
      <c r="AE39" s="37" t="n">
        <f aca="false">AD39*(1-Assumptions!$E$141)*(1+Assumptions!$E$145)+AE22*Assumptions!$D$73*Assumptions!$E$149</f>
        <v>24732.8589800637</v>
      </c>
      <c r="AF39" s="37" t="n">
        <f aca="false">AE39*(1-Assumptions!$E$141)*(1+Assumptions!$E$145)+AF22*Assumptions!$D$73*Assumptions!$E$149</f>
        <v>26221.0056555843</v>
      </c>
      <c r="AG39" s="37" t="n">
        <f aca="false">AF39*(1-Assumptions!$E$141)*(1+Assumptions!$E$145)+AG22*Assumptions!$D$73*Assumptions!$E$149</f>
        <v>27741.4499362515</v>
      </c>
      <c r="AH39" s="37" t="n">
        <f aca="false">AG39*(1-Assumptions!$E$141)*(1+Assumptions!$E$145)+AH22*Assumptions!$D$73*Assumptions!$E$149</f>
        <v>29279.3553425966</v>
      </c>
      <c r="AI39" s="37" t="n">
        <f aca="false">AH39*(1-Assumptions!$E$141)*(1+Assumptions!$E$145)+AI22*Assumptions!$D$73*Assumptions!$E$149</f>
        <v>30784.8109448678</v>
      </c>
      <c r="AJ39" s="37" t="n">
        <f aca="false">AI39*(1-Assumptions!$E$141)*(1+Assumptions!$E$145)+AJ22*Assumptions!$D$73*Assumptions!$E$149</f>
        <v>32258.5014339311</v>
      </c>
      <c r="AK39" s="37" t="n">
        <f aca="false">AJ39*(1-Assumptions!$E$141)*(1+Assumptions!$E$145)+AK22*Assumptions!$D$73*Assumptions!$E$149</f>
        <v>33701.0970536751</v>
      </c>
      <c r="AL39" s="37" t="n">
        <f aca="false">AK39*(1-Assumptions!$E$141)*(1+Assumptions!$E$145)+AL22*Assumptions!$D$73*Assumptions!$E$149</f>
        <v>35113.2539058426</v>
      </c>
    </row>
    <row r="40" customFormat="false" ht="15" hidden="false" customHeight="false" outlineLevel="0" collapsed="false">
      <c r="A40" s="9" t="s">
        <v>584</v>
      </c>
      <c r="B40" s="2" t="s">
        <v>105</v>
      </c>
      <c r="C40" s="37" t="n">
        <f aca="false">C23*Assumptions!$D$74*Assumptions!$E$150</f>
        <v>0</v>
      </c>
      <c r="D40" s="37" t="n">
        <f aca="false">C40*(1-Assumptions!$E$142)*(1+Assumptions!$E$146)+D23*Assumptions!$D$74*Assumptions!$E$150</f>
        <v>0</v>
      </c>
      <c r="E40" s="37" t="n">
        <f aca="false">D40*(1-Assumptions!$E$142)*(1+Assumptions!$E$146)+E23*Assumptions!$D$74*Assumptions!$E$150</f>
        <v>0</v>
      </c>
      <c r="F40" s="37" t="n">
        <f aca="false">E40*(1-Assumptions!$E$142)*(1+Assumptions!$E$146)+F23*Assumptions!$D$74*Assumptions!$E$150</f>
        <v>0</v>
      </c>
      <c r="G40" s="37" t="n">
        <f aca="false">F40*(1-Assumptions!$E$142)*(1+Assumptions!$E$146)+G23*Assumptions!$D$74*Assumptions!$E$150</f>
        <v>224.55</v>
      </c>
      <c r="H40" s="37" t="n">
        <f aca="false">G40*(1-Assumptions!$E$142)*(1+Assumptions!$E$146)+H23*Assumptions!$D$74*Assumptions!$E$150</f>
        <v>504.752472</v>
      </c>
      <c r="I40" s="37" t="n">
        <f aca="false">H40*(1-Assumptions!$E$142)*(1+Assumptions!$E$146)+I23*Assumptions!$D$74*Assumptions!$E$150</f>
        <v>839.93068194048</v>
      </c>
      <c r="J40" s="37" t="n">
        <f aca="false">I40*(1-Assumptions!$E$142)*(1+Assumptions!$E$146)+J23*Assumptions!$D$74*Assumptions!$E$150</f>
        <v>1229.41612484808</v>
      </c>
      <c r="K40" s="37" t="n">
        <f aca="false">J40*(1-Assumptions!$E$142)*(1+Assumptions!$E$146)+K23*Assumptions!$D$74*Assumptions!$E$150</f>
        <v>1672.54842476993</v>
      </c>
      <c r="L40" s="37" t="n">
        <f aca="false">K40*(1-Assumptions!$E$142)*(1+Assumptions!$E$146)+L23*Assumptions!$D$74*Assumptions!$E$150</f>
        <v>2168.67523592473</v>
      </c>
      <c r="M40" s="37" t="n">
        <f aca="false">L40*(1-Assumptions!$E$142)*(1+Assumptions!$E$146)+M23*Assumptions!$D$74*Assumptions!$E$150</f>
        <v>2717.15214505588</v>
      </c>
      <c r="N40" s="37" t="n">
        <f aca="false">M40*(1-Assumptions!$E$142)*(1+Assumptions!$E$146)+N23*Assumptions!$D$74*Assumptions!$E$150</f>
        <v>3317.342574972</v>
      </c>
      <c r="O40" s="37" t="n">
        <f aca="false">N40*(1-Assumptions!$E$142)*(1+Assumptions!$E$146)+O23*Assumptions!$D$74*Assumptions!$E$150</f>
        <v>3968.61768926035</v>
      </c>
      <c r="P40" s="37" t="n">
        <f aca="false">O40*(1-Assumptions!$E$142)*(1+Assumptions!$E$146)+P23*Assumptions!$D$74*Assumptions!$E$150</f>
        <v>4670.35629815894</v>
      </c>
      <c r="Q40" s="37" t="n">
        <f aca="false">P40*(1-Assumptions!$E$142)*(1+Assumptions!$E$146)+Q23*Assumptions!$D$74*Assumptions!$E$150</f>
        <v>5421.94476557333</v>
      </c>
      <c r="R40" s="37" t="n">
        <f aca="false">Q40*(1-Assumptions!$E$142)*(1+Assumptions!$E$146)+R23*Assumptions!$D$74*Assumptions!$E$150</f>
        <v>6222.77691722396</v>
      </c>
      <c r="S40" s="37" t="n">
        <f aca="false">R40*(1-Assumptions!$E$142)*(1+Assumptions!$E$146)+S23*Assumptions!$D$74*Assumptions!$E$150</f>
        <v>7072.25394991051</v>
      </c>
      <c r="T40" s="37" t="n">
        <f aca="false">S40*(1-Assumptions!$E$142)*(1+Assumptions!$E$146)+T23*Assumptions!$D$74*Assumptions!$E$150</f>
        <v>7969.7843418796</v>
      </c>
      <c r="U40" s="37" t="n">
        <f aca="false">T40*(1-Assumptions!$E$142)*(1+Assumptions!$E$146)+U23*Assumptions!$D$74*Assumptions!$E$150</f>
        <v>8914.78376428235</v>
      </c>
      <c r="V40" s="37" t="n">
        <f aca="false">U40*(1-Assumptions!$E$142)*(1+Assumptions!$E$146)+V23*Assumptions!$D$74*Assumptions!$E$150</f>
        <v>9906.67499370867</v>
      </c>
      <c r="W40" s="37" t="n">
        <f aca="false">V40*(1-Assumptions!$E$142)*(1+Assumptions!$E$146)+W23*Assumptions!$D$74*Assumptions!$E$150</f>
        <v>10944.8878257852</v>
      </c>
      <c r="X40" s="37" t="n">
        <f aca="false">W40*(1-Assumptions!$E$142)*(1+Assumptions!$E$146)+X23*Assumptions!$D$74*Assumptions!$E$150</f>
        <v>12028.8589898236</v>
      </c>
      <c r="Y40" s="37" t="n">
        <f aca="false">X40*(1-Assumptions!$E$142)*(1+Assumptions!$E$146)+Y23*Assumptions!$D$74*Assumptions!$E$150</f>
        <v>13158.0320645074</v>
      </c>
      <c r="Z40" s="37" t="n">
        <f aca="false">Y40*(1-Assumptions!$E$142)*(1+Assumptions!$E$146)+Z23*Assumptions!$D$74*Assumptions!$E$150</f>
        <v>14331.857394603</v>
      </c>
      <c r="AA40" s="37" t="n">
        <f aca="false">Z40*(1-Assumptions!$E$142)*(1+Assumptions!$E$146)+AA23*Assumptions!$D$74*Assumptions!$E$150</f>
        <v>15549.7920086846</v>
      </c>
      <c r="AB40" s="37" t="n">
        <f aca="false">AA40*(1-Assumptions!$E$142)*(1+Assumptions!$E$146)+AB23*Assumptions!$D$74*Assumptions!$E$150</f>
        <v>16811.299537859</v>
      </c>
      <c r="AC40" s="37" t="n">
        <f aca="false">AB40*(1-Assumptions!$E$142)*(1+Assumptions!$E$146)+AC23*Assumptions!$D$74*Assumptions!$E$150</f>
        <v>18115.8501354786</v>
      </c>
      <c r="AD40" s="37" t="n">
        <f aca="false">AC40*(1-Assumptions!$E$142)*(1+Assumptions!$E$146)+AD23*Assumptions!$D$74*Assumptions!$E$150</f>
        <v>19462.9203978312</v>
      </c>
      <c r="AE40" s="37" t="n">
        <f aca="false">AD40*(1-Assumptions!$E$142)*(1+Assumptions!$E$146)+AE23*Assumptions!$D$74*Assumptions!$E$150</f>
        <v>20851.9932857936</v>
      </c>
      <c r="AF40" s="37" t="n">
        <f aca="false">AE40*(1-Assumptions!$E$142)*(1+Assumptions!$E$146)+AF23*Assumptions!$D$74*Assumptions!$E$150</f>
        <v>22282.5580474383</v>
      </c>
      <c r="AG40" s="37" t="n">
        <f aca="false">AF40*(1-Assumptions!$E$142)*(1+Assumptions!$E$146)+AG23*Assumptions!$D$74*Assumptions!$E$150</f>
        <v>23754.1101415815</v>
      </c>
      <c r="AH40" s="37" t="n">
        <f aca="false">AG40*(1-Assumptions!$E$142)*(1+Assumptions!$E$146)+AH23*Assumptions!$D$74*Assumptions!$E$150</f>
        <v>25266.1511622598</v>
      </c>
      <c r="AI40" s="37" t="n">
        <f aca="false">AH40*(1-Assumptions!$E$142)*(1+Assumptions!$E$146)+AI23*Assumptions!$D$74*Assumptions!$E$150</f>
        <v>26818.1887641268</v>
      </c>
      <c r="AJ40" s="37" t="n">
        <f aca="false">AI40*(1-Assumptions!$E$142)*(1+Assumptions!$E$146)+AJ23*Assumptions!$D$74*Assumptions!$E$150</f>
        <v>28409.736588755</v>
      </c>
      <c r="AK40" s="37" t="n">
        <f aca="false">AJ40*(1-Assumptions!$E$142)*(1+Assumptions!$E$146)+AK23*Assumptions!$D$74*Assumptions!$E$150</f>
        <v>30040.3141918357</v>
      </c>
      <c r="AL40" s="37" t="n">
        <f aca="false">AK40*(1-Assumptions!$E$142)*(1+Assumptions!$E$146)+AL23*Assumptions!$D$74*Assumptions!$E$150</f>
        <v>31709.446971263</v>
      </c>
    </row>
    <row r="41" customFormat="false" ht="15" hidden="false" customHeight="false" outlineLevel="0" collapsed="false">
      <c r="A41" s="9" t="s">
        <v>585</v>
      </c>
      <c r="B41" s="2" t="s">
        <v>105</v>
      </c>
      <c r="C41" s="37" t="n">
        <f aca="false">C24*Assumptions!$D$75*Assumptions!$E$151</f>
        <v>0</v>
      </c>
      <c r="D41" s="37" t="n">
        <f aca="false">C41*(1-Assumptions!$E$143)*(1+Assumptions!$E$147)+D24*Assumptions!$D$75*Assumptions!$E$151</f>
        <v>0</v>
      </c>
      <c r="E41" s="37" t="n">
        <f aca="false">D41*(1-Assumptions!$E$143)*(1+Assumptions!$E$147)+E24*Assumptions!$D$75*Assumptions!$E$151</f>
        <v>0</v>
      </c>
      <c r="F41" s="37" t="n">
        <f aca="false">E41*(1-Assumptions!$E$143)*(1+Assumptions!$E$147)+F24*Assumptions!$D$75*Assumptions!$E$151</f>
        <v>0</v>
      </c>
      <c r="G41" s="37" t="n">
        <f aca="false">F41*(1-Assumptions!$E$143)*(1+Assumptions!$E$147)+G24*Assumptions!$D$75*Assumptions!$E$151</f>
        <v>0</v>
      </c>
      <c r="H41" s="37" t="n">
        <f aca="false">G41*(1-Assumptions!$E$143)*(1+Assumptions!$E$147)+H24*Assumptions!$D$75*Assumptions!$E$151</f>
        <v>427.215</v>
      </c>
      <c r="I41" s="37" t="n">
        <f aca="false">H41*(1-Assumptions!$E$143)*(1+Assumptions!$E$147)+I24*Assumptions!$D$75*Assumptions!$E$151</f>
        <v>927.51651815</v>
      </c>
      <c r="J41" s="37" t="n">
        <f aca="false">I41*(1-Assumptions!$E$143)*(1+Assumptions!$E$147)+J24*Assumptions!$D$75*Assumptions!$E$151</f>
        <v>1501.22686599504</v>
      </c>
      <c r="K41" s="37" t="n">
        <f aca="false">J41*(1-Assumptions!$E$143)*(1+Assumptions!$E$147)+K24*Assumptions!$D$75*Assumptions!$E$151</f>
        <v>2148.66977647408</v>
      </c>
      <c r="L41" s="37" t="n">
        <f aca="false">K41*(1-Assumptions!$E$143)*(1+Assumptions!$E$147)+L24*Assumptions!$D$75*Assumptions!$E$151</f>
        <v>2870.17041018833</v>
      </c>
      <c r="M41" s="37" t="n">
        <f aca="false">L41*(1-Assumptions!$E$143)*(1+Assumptions!$E$147)+M24*Assumptions!$D$75*Assumptions!$E$151</f>
        <v>3666.05536169726</v>
      </c>
      <c r="N41" s="37" t="n">
        <f aca="false">M41*(1-Assumptions!$E$143)*(1+Assumptions!$E$147)+N24*Assumptions!$D$75*Assumptions!$E$151</f>
        <v>4536.65266584235</v>
      </c>
      <c r="O41" s="37" t="n">
        <f aca="false">N41*(1-Assumptions!$E$143)*(1+Assumptions!$E$147)+O24*Assumptions!$D$75*Assumptions!$E$151</f>
        <v>5482.29180409871</v>
      </c>
      <c r="P41" s="37" t="n">
        <f aca="false">O41*(1-Assumptions!$E$143)*(1+Assumptions!$E$147)+P24*Assumptions!$D$75*Assumptions!$E$151</f>
        <v>6503.30371095479</v>
      </c>
      <c r="Q41" s="37" t="n">
        <f aca="false">P41*(1-Assumptions!$E$143)*(1+Assumptions!$E$147)+Q24*Assumptions!$D$75*Assumptions!$E$151</f>
        <v>7600.0207803201</v>
      </c>
      <c r="R41" s="37" t="n">
        <f aca="false">Q41*(1-Assumptions!$E$143)*(1+Assumptions!$E$147)+R24*Assumptions!$D$75*Assumptions!$E$151</f>
        <v>8772.77687196131</v>
      </c>
      <c r="S41" s="37" t="n">
        <f aca="false">R41*(1-Assumptions!$E$143)*(1+Assumptions!$E$147)+S24*Assumptions!$D$75*Assumptions!$E$151</f>
        <v>10021.9073179667</v>
      </c>
      <c r="T41" s="37" t="n">
        <f aca="false">S41*(1-Assumptions!$E$143)*(1+Assumptions!$E$147)+T24*Assumptions!$D$75*Assumptions!$E$151</f>
        <v>11347.7489292389</v>
      </c>
      <c r="U41" s="37" t="n">
        <f aca="false">T41*(1-Assumptions!$E$143)*(1+Assumptions!$E$147)+U24*Assumptions!$D$75*Assumptions!$E$151</f>
        <v>13320.2600020168</v>
      </c>
      <c r="V41" s="37" t="n">
        <f aca="false">U41*(1-Assumptions!$E$143)*(1+Assumptions!$E$147)+V24*Assumptions!$D$75*Assumptions!$E$151</f>
        <v>15372.6723486257</v>
      </c>
      <c r="W41" s="37" t="n">
        <f aca="false">V41*(1-Assumptions!$E$143)*(1+Assumptions!$E$147)+W24*Assumptions!$D$75*Assumptions!$E$151</f>
        <v>17505.3383336832</v>
      </c>
      <c r="X41" s="37" t="n">
        <f aca="false">W41*(1-Assumptions!$E$143)*(1+Assumptions!$E$147)+X24*Assumptions!$D$75*Assumptions!$E$151</f>
        <v>19718.6118757347</v>
      </c>
      <c r="Y41" s="37" t="n">
        <f aca="false">X41*(1-Assumptions!$E$143)*(1+Assumptions!$E$147)+Y24*Assumptions!$D$75*Assumptions!$E$151</f>
        <v>22012.8484541067</v>
      </c>
      <c r="Z41" s="37" t="n">
        <f aca="false">Y41*(1-Assumptions!$E$143)*(1+Assumptions!$E$147)+Z24*Assumptions!$D$75*Assumptions!$E$151</f>
        <v>24388.4051157893</v>
      </c>
      <c r="AA41" s="37" t="n">
        <f aca="false">Z41*(1-Assumptions!$E$143)*(1+Assumptions!$E$147)+AA24*Assumptions!$D$75*Assumptions!$E$151</f>
        <v>26845.64048235</v>
      </c>
      <c r="AB41" s="37" t="n">
        <f aca="false">AA41*(1-Assumptions!$E$143)*(1+Assumptions!$E$147)+AB24*Assumptions!$D$75*Assumptions!$E$151</f>
        <v>29384.9147568771</v>
      </c>
      <c r="AC41" s="37" t="n">
        <f aca="false">AB41*(1-Assumptions!$E$143)*(1+Assumptions!$E$147)+AC24*Assumptions!$D$75*Assumptions!$E$151</f>
        <v>32006.5897309549</v>
      </c>
      <c r="AD41" s="37" t="n">
        <f aca="false">AC41*(1-Assumptions!$E$143)*(1+Assumptions!$E$147)+AD24*Assumptions!$D$75*Assumptions!$E$151</f>
        <v>34711.0287916685</v>
      </c>
      <c r="AE41" s="37" t="n">
        <f aca="false">AD41*(1-Assumptions!$E$143)*(1+Assumptions!$E$147)+AE24*Assumptions!$D$75*Assumptions!$E$151</f>
        <v>38068.2169286397</v>
      </c>
      <c r="AF41" s="37" t="n">
        <f aca="false">AE41*(1-Assumptions!$E$143)*(1+Assumptions!$E$147)+AF24*Assumptions!$D$75*Assumptions!$E$151</f>
        <v>41511.412765295</v>
      </c>
      <c r="AG41" s="37" t="n">
        <f aca="false">AF41*(1-Assumptions!$E$143)*(1+Assumptions!$E$147)+AG24*Assumptions!$D$75*Assumptions!$E$151</f>
        <v>45040.99559559</v>
      </c>
      <c r="AH41" s="37" t="n">
        <f aca="false">AG41*(1-Assumptions!$E$143)*(1+Assumptions!$E$147)+AH24*Assumptions!$D$75*Assumptions!$E$151</f>
        <v>48657.3463861665</v>
      </c>
      <c r="AI41" s="37" t="n">
        <f aca="false">AH41*(1-Assumptions!$E$143)*(1+Assumptions!$E$147)+AI24*Assumptions!$D$75*Assumptions!$E$151</f>
        <v>52360.8477837295</v>
      </c>
      <c r="AJ41" s="37" t="n">
        <f aca="false">AI41*(1-Assumptions!$E$143)*(1+Assumptions!$E$147)+AJ24*Assumptions!$D$75*Assumptions!$E$151</f>
        <v>56151.8841224558</v>
      </c>
      <c r="AK41" s="37" t="n">
        <f aca="false">AJ41*(1-Assumptions!$E$143)*(1+Assumptions!$E$147)+AK24*Assumptions!$D$75*Assumptions!$E$151</f>
        <v>60030.8414314358</v>
      </c>
      <c r="AL41" s="37" t="n">
        <f aca="false">AK41*(1-Assumptions!$E$143)*(1+Assumptions!$E$147)+AL24*Assumptions!$D$75*Assumptions!$E$151</f>
        <v>63998.1074421485</v>
      </c>
    </row>
    <row r="42" customFormat="false" ht="15" hidden="false" customHeight="false" outlineLevel="0" collapsed="false">
      <c r="A42" s="9" t="s">
        <v>586</v>
      </c>
      <c r="B42" s="2" t="s">
        <v>105</v>
      </c>
      <c r="C42" s="37" t="n">
        <f aca="false">C25*Assumptions!$D$76*Assumptions!$E$152</f>
        <v>0</v>
      </c>
      <c r="D42" s="37" t="n">
        <f aca="false">C42*(1-Assumptions!$E$144)*(1+Assumptions!$E$148)+D25*Assumptions!$D$76*Assumptions!$E$152</f>
        <v>0</v>
      </c>
      <c r="E42" s="37" t="n">
        <f aca="false">D42*(1-Assumptions!$E$144)*(1+Assumptions!$E$148)+E25*Assumptions!$D$76*Assumptions!$E$152</f>
        <v>0</v>
      </c>
      <c r="F42" s="37" t="n">
        <f aca="false">E42*(1-Assumptions!$E$144)*(1+Assumptions!$E$148)+F25*Assumptions!$D$76*Assumptions!$E$152</f>
        <v>0</v>
      </c>
      <c r="G42" s="37" t="n">
        <f aca="false">F42*(1-Assumptions!$E$144)*(1+Assumptions!$E$148)+G25*Assumptions!$D$76*Assumptions!$E$152</f>
        <v>0</v>
      </c>
      <c r="H42" s="37" t="n">
        <f aca="false">G42*(1-Assumptions!$E$144)*(1+Assumptions!$E$148)+H25*Assumptions!$D$76*Assumptions!$E$152</f>
        <v>0</v>
      </c>
      <c r="I42" s="37" t="n">
        <f aca="false">H42*(1-Assumptions!$E$144)*(1+Assumptions!$E$148)+I25*Assumptions!$D$76*Assumptions!$E$152</f>
        <v>0</v>
      </c>
      <c r="J42" s="37" t="n">
        <f aca="false">I42*(1-Assumptions!$E$144)*(1+Assumptions!$E$148)+J25*Assumptions!$D$76*Assumptions!$E$152</f>
        <v>0</v>
      </c>
      <c r="K42" s="37" t="n">
        <f aca="false">J42*(1-Assumptions!$E$144)*(1+Assumptions!$E$148)+K25*Assumptions!$D$76*Assumptions!$E$152</f>
        <v>0</v>
      </c>
      <c r="L42" s="37" t="n">
        <f aca="false">K42*(1-Assumptions!$E$144)*(1+Assumptions!$E$148)+L25*Assumptions!$D$76*Assumptions!$E$152</f>
        <v>660</v>
      </c>
      <c r="M42" s="37" t="n">
        <f aca="false">L42*(1-Assumptions!$E$144)*(1+Assumptions!$E$148)+M25*Assumptions!$D$76*Assumptions!$E$152</f>
        <v>1393.2204</v>
      </c>
      <c r="N42" s="37" t="n">
        <f aca="false">M42*(1-Assumptions!$E$144)*(1+Assumptions!$E$148)+N25*Assumptions!$D$76*Assumptions!$E$152</f>
        <v>2200.462231176</v>
      </c>
      <c r="O42" s="37" t="n">
        <f aca="false">N42*(1-Assumptions!$E$144)*(1+Assumptions!$E$148)+O25*Assumptions!$D$76*Assumptions!$E$152</f>
        <v>3082.53528798507</v>
      </c>
      <c r="P42" s="37" t="n">
        <f aca="false">O42*(1-Assumptions!$E$144)*(1+Assumptions!$E$148)+P25*Assumptions!$D$76*Assumptions!$E$152</f>
        <v>4040.25822403562</v>
      </c>
      <c r="Q42" s="37" t="n">
        <f aca="false">P42*(1-Assumptions!$E$144)*(1+Assumptions!$E$148)+Q25*Assumptions!$D$76*Assumptions!$E$152</f>
        <v>5074.45864900657</v>
      </c>
      <c r="R42" s="37" t="n">
        <f aca="false">Q42*(1-Assumptions!$E$144)*(1+Assumptions!$E$148)+R25*Assumptions!$D$76*Assumptions!$E$152</f>
        <v>6185.9732266267</v>
      </c>
      <c r="S42" s="37" t="n">
        <f aca="false">R42*(1-Assumptions!$E$144)*(1+Assumptions!$E$148)+S25*Assumptions!$D$76*Assumptions!$E$152</f>
        <v>7375.647773726</v>
      </c>
      <c r="T42" s="37" t="n">
        <f aca="false">S42*(1-Assumptions!$E$144)*(1+Assumptions!$E$148)+T25*Assumptions!$D$76*Assumptions!$E$152</f>
        <v>8644.33736037056</v>
      </c>
      <c r="U42" s="37" t="n">
        <f aca="false">T42*(1-Assumptions!$E$144)*(1+Assumptions!$E$148)+U25*Assumptions!$D$76*Assumptions!$E$152</f>
        <v>10432.906411093</v>
      </c>
      <c r="V42" s="37" t="n">
        <f aca="false">U42*(1-Assumptions!$E$144)*(1+Assumptions!$E$148)+V25*Assumptions!$D$76*Assumptions!$E$152</f>
        <v>12307.0424072304</v>
      </c>
      <c r="W42" s="37" t="n">
        <f aca="false">V42*(1-Assumptions!$E$144)*(1+Assumptions!$E$148)+W25*Assumptions!$D$76*Assumptions!$E$152</f>
        <v>14267.6814511655</v>
      </c>
      <c r="X42" s="37" t="n">
        <f aca="false">W42*(1-Assumptions!$E$144)*(1+Assumptions!$E$148)+X25*Assumptions!$D$76*Assumptions!$E$152</f>
        <v>16315.7698862412</v>
      </c>
      <c r="Y42" s="37" t="n">
        <f aca="false">X42*(1-Assumptions!$E$144)*(1+Assumptions!$E$148)+Y25*Assumptions!$D$76*Assumptions!$E$152</f>
        <v>18452.2644087967</v>
      </c>
      <c r="Z42" s="37" t="n">
        <f aca="false">Y42*(1-Assumptions!$E$144)*(1+Assumptions!$E$148)+Z25*Assumptions!$D$76*Assumptions!$E$152</f>
        <v>20678.1321814289</v>
      </c>
      <c r="AA42" s="37" t="n">
        <f aca="false">Z42*(1-Assumptions!$E$144)*(1+Assumptions!$E$148)+AA25*Assumptions!$D$76*Assumptions!$E$152</f>
        <v>22994.3509474938</v>
      </c>
      <c r="AB42" s="37" t="n">
        <f aca="false">AA42*(1-Assumptions!$E$144)*(1+Assumptions!$E$148)+AB25*Assumptions!$D$76*Assumptions!$E$152</f>
        <v>25401.9091468593</v>
      </c>
      <c r="AC42" s="37" t="n">
        <f aca="false">AB42*(1-Assumptions!$E$144)*(1+Assumptions!$E$148)+AC25*Assumptions!$D$76*Assumptions!$E$152</f>
        <v>27901.806032926</v>
      </c>
      <c r="AD42" s="37" t="n">
        <f aca="false">AC42*(1-Assumptions!$E$144)*(1+Assumptions!$E$148)+AD25*Assumptions!$D$76*Assumptions!$E$152</f>
        <v>30495.0517909262</v>
      </c>
      <c r="AE42" s="37" t="n">
        <f aca="false">AD42*(1-Assumptions!$E$144)*(1+Assumptions!$E$148)+AE25*Assumptions!$D$76*Assumptions!$E$152</f>
        <v>33622.6676575189</v>
      </c>
      <c r="AF42" s="37" t="n">
        <f aca="false">AE42*(1-Assumptions!$E$144)*(1+Assumptions!$E$148)+AF25*Assumptions!$D$76*Assumptions!$E$152</f>
        <v>36850.4996416922</v>
      </c>
      <c r="AG42" s="37" t="n">
        <f aca="false">AF42*(1-Assumptions!$E$144)*(1+Assumptions!$E$148)+AG25*Assumptions!$D$76*Assumptions!$E$152</f>
        <v>40179.6441077723</v>
      </c>
      <c r="AH42" s="37" t="n">
        <f aca="false">AG42*(1-Assumptions!$E$144)*(1+Assumptions!$E$148)+AH25*Assumptions!$D$76*Assumptions!$E$152</f>
        <v>43611.2094143113</v>
      </c>
      <c r="AI42" s="37" t="n">
        <f aca="false">AH42*(1-Assumptions!$E$144)*(1+Assumptions!$E$148)+AI25*Assumptions!$D$76*Assumptions!$E$152</f>
        <v>47146.3160453039</v>
      </c>
      <c r="AJ42" s="37" t="n">
        <f aca="false">AI42*(1-Assumptions!$E$144)*(1+Assumptions!$E$148)+AJ25*Assumptions!$D$76*Assumptions!$E$152</f>
        <v>50786.0967428395</v>
      </c>
      <c r="AK42" s="37" t="n">
        <f aca="false">AJ42*(1-Assumptions!$E$144)*(1+Assumptions!$E$148)+AK25*Assumptions!$D$76*Assumptions!$E$152</f>
        <v>54531.6966412061</v>
      </c>
      <c r="AL42" s="37" t="n">
        <f aca="false">AK42*(1-Assumptions!$E$144)*(1+Assumptions!$E$148)+AL25*Assumptions!$D$76*Assumptions!$E$152</f>
        <v>58384.2734024609</v>
      </c>
    </row>
    <row r="43" customFormat="false" ht="15" hidden="false" customHeight="false" outlineLevel="0" collapsed="false">
      <c r="A43" s="3" t="s">
        <v>587</v>
      </c>
      <c r="B43" s="2" t="s">
        <v>105</v>
      </c>
      <c r="C43" s="45" t="n">
        <f aca="false">C39+C40+C41+C42</f>
        <v>0</v>
      </c>
      <c r="D43" s="45" t="n">
        <f aca="false">D39+D40+D41+D42</f>
        <v>0</v>
      </c>
      <c r="E43" s="45" t="n">
        <f aca="false">E39+E40+E41+E42</f>
        <v>0</v>
      </c>
      <c r="F43" s="45" t="n">
        <f aca="false">F39+F40+F41+F42</f>
        <v>353.875</v>
      </c>
      <c r="G43" s="45" t="n">
        <f aca="false">G39+G40+G41+G42</f>
        <v>988.5307375</v>
      </c>
      <c r="H43" s="45" t="n">
        <f aca="false">H39+H40+H41+H42</f>
        <v>2161.09821593875</v>
      </c>
      <c r="I43" s="45" t="n">
        <f aca="false">I39+I40+I41+I42</f>
        <v>3515.61078533212</v>
      </c>
      <c r="J43" s="45" t="n">
        <f aca="false">J39+J40+J41+J42</f>
        <v>5050.58532443617</v>
      </c>
      <c r="K43" s="45" t="n">
        <f aca="false">K39+K40+K41+K42</f>
        <v>6764.57225159824</v>
      </c>
      <c r="L43" s="45" t="n">
        <f aca="false">L39+L40+L41+L42</f>
        <v>9316.15492600482</v>
      </c>
      <c r="M43" s="45" t="n">
        <f aca="false">M39+M40+M41+M42</f>
        <v>12117.1694608392</v>
      </c>
      <c r="N43" s="45" t="n">
        <f aca="false">N39+N40+N41+N42</f>
        <v>15167.0643792852</v>
      </c>
      <c r="O43" s="45" t="n">
        <f aca="false">O39+O40+O41+O42</f>
        <v>18465.328182895</v>
      </c>
      <c r="P43" s="45" t="n">
        <f aca="false">P39+P40+P41+P42</f>
        <v>22011.4888949275</v>
      </c>
      <c r="Q43" s="45" t="n">
        <f aca="false">Q39+Q40+Q41+Q42</f>
        <v>25805.1136157147</v>
      </c>
      <c r="R43" s="45" t="n">
        <f aca="false">R39+R40+R41+R42</f>
        <v>29845.8080898474</v>
      </c>
      <c r="S43" s="45" t="n">
        <f aca="false">S39+S40+S41+S42</f>
        <v>34133.2162849765</v>
      </c>
      <c r="T43" s="45" t="n">
        <f aca="false">T39+T40+T41+T42</f>
        <v>38667.0199820272</v>
      </c>
      <c r="U43" s="45" t="n">
        <f aca="false">U39+U40+U41+U42</f>
        <v>44456.558376634</v>
      </c>
      <c r="V43" s="45" t="n">
        <f aca="false">V39+V40+V41+V42</f>
        <v>50499.2933158026</v>
      </c>
      <c r="W43" s="45" t="n">
        <f aca="false">W39+W40+W41+W42</f>
        <v>56795.081411624</v>
      </c>
      <c r="X43" s="45" t="n">
        <f aca="false">X39+X40+X41+X42</f>
        <v>63343.8161855888</v>
      </c>
      <c r="Y43" s="45" t="n">
        <f aca="false">Y39+Y40+Y41+Y42</f>
        <v>70145.4277195471</v>
      </c>
      <c r="Z43" s="45" t="n">
        <f aca="false">Z39+Z40+Z41+Z42</f>
        <v>77199.8823170435</v>
      </c>
      <c r="AA43" s="45" t="n">
        <f aca="false">AA39+AA40+AA41+AA42</f>
        <v>84507.1821748584</v>
      </c>
      <c r="AB43" s="45" t="n">
        <f aca="false">AB39+AB40+AB41+AB42</f>
        <v>92067.3650645889</v>
      </c>
      <c r="AC43" s="45" t="n">
        <f aca="false">AC39+AC40+AC41+AC42</f>
        <v>99880.5040241079</v>
      </c>
      <c r="AD43" s="45" t="n">
        <f aca="false">AD39+AD40+AD41+AD42</f>
        <v>107946.707058742</v>
      </c>
      <c r="AE43" s="45" t="n">
        <f aca="false">AE39+AE40+AE41+AE42</f>
        <v>117275.736852016</v>
      </c>
      <c r="AF43" s="45" t="n">
        <f aca="false">AF39+AF40+AF41+AF42</f>
        <v>126865.47611001</v>
      </c>
      <c r="AG43" s="45" t="n">
        <f aca="false">AG39+AG40+AG41+AG42</f>
        <v>136716.199781195</v>
      </c>
      <c r="AH43" s="45" t="n">
        <f aca="false">AH39+AH40+AH41+AH42</f>
        <v>146814.062305334</v>
      </c>
      <c r="AI43" s="45" t="n">
        <f aca="false">AI39+AI40+AI41+AI42</f>
        <v>157110.163538028</v>
      </c>
      <c r="AJ43" s="45" t="n">
        <f aca="false">AJ39+AJ40+AJ41+AJ42</f>
        <v>167606.218887981</v>
      </c>
      <c r="AK43" s="45" t="n">
        <f aca="false">AK39+AK40+AK41+AK42</f>
        <v>178303.949318153</v>
      </c>
      <c r="AL43" s="45" t="n">
        <f aca="false">AL39+AL40+AL41+AL42</f>
        <v>189205.081721715</v>
      </c>
    </row>
    <row r="44" customFormat="false" ht="15" hidden="false" customHeight="false" outlineLevel="0" collapsed="false">
      <c r="A44" s="3" t="s">
        <v>588</v>
      </c>
      <c r="B44" s="2" t="s">
        <v>105</v>
      </c>
      <c r="C44" s="46" t="n">
        <f aca="false">C43*12</f>
        <v>0</v>
      </c>
      <c r="D44" s="46" t="n">
        <f aca="false">D43*12</f>
        <v>0</v>
      </c>
      <c r="E44" s="46" t="n">
        <f aca="false">E43*12</f>
        <v>0</v>
      </c>
      <c r="F44" s="46" t="n">
        <f aca="false">F43*12</f>
        <v>4246.5</v>
      </c>
      <c r="G44" s="46" t="n">
        <f aca="false">G43*12</f>
        <v>11862.36885</v>
      </c>
      <c r="H44" s="46" t="n">
        <f aca="false">H43*12</f>
        <v>25933.178591265</v>
      </c>
      <c r="I44" s="46" t="n">
        <f aca="false">I43*12</f>
        <v>42187.3294239855</v>
      </c>
      <c r="J44" s="46" t="n">
        <f aca="false">J43*12</f>
        <v>60607.023893234</v>
      </c>
      <c r="K44" s="46" t="n">
        <f aca="false">K43*12</f>
        <v>81174.8670191789</v>
      </c>
      <c r="L44" s="46" t="n">
        <f aca="false">L43*12</f>
        <v>111793.859112058</v>
      </c>
      <c r="M44" s="46" t="n">
        <f aca="false">M43*12</f>
        <v>145406.03353007</v>
      </c>
      <c r="N44" s="46" t="n">
        <f aca="false">N43*12</f>
        <v>182004.772551422</v>
      </c>
      <c r="O44" s="46" t="n">
        <f aca="false">O43*12</f>
        <v>221583.93819474</v>
      </c>
      <c r="P44" s="46" t="n">
        <f aca="false">P43*12</f>
        <v>264137.86673913</v>
      </c>
      <c r="Q44" s="46" t="n">
        <f aca="false">Q43*12</f>
        <v>309661.363388576</v>
      </c>
      <c r="R44" s="46" t="n">
        <f aca="false">R43*12</f>
        <v>358149.697078169</v>
      </c>
      <c r="S44" s="46" t="n">
        <f aca="false">S43*12</f>
        <v>409598.595419718</v>
      </c>
      <c r="T44" s="46" t="n">
        <f aca="false">T43*12</f>
        <v>464004.239784326</v>
      </c>
      <c r="U44" s="46" t="n">
        <f aca="false">U43*12</f>
        <v>533478.700519608</v>
      </c>
      <c r="V44" s="46" t="n">
        <f aca="false">V43*12</f>
        <v>605991.519789631</v>
      </c>
      <c r="W44" s="46" t="n">
        <f aca="false">W43*12</f>
        <v>681540.976939488</v>
      </c>
      <c r="X44" s="46" t="n">
        <f aca="false">X43*12</f>
        <v>760125.794227066</v>
      </c>
      <c r="Y44" s="46" t="n">
        <f aca="false">Y43*12</f>
        <v>841745.132634565</v>
      </c>
      <c r="Z44" s="46" t="n">
        <f aca="false">Z43*12</f>
        <v>926398.587804522</v>
      </c>
      <c r="AA44" s="46" t="n">
        <f aca="false">AA43*12</f>
        <v>1014086.1860983</v>
      </c>
      <c r="AB44" s="46" t="n">
        <f aca="false">AB43*12</f>
        <v>1104808.38077507</v>
      </c>
      <c r="AC44" s="46" t="n">
        <f aca="false">AC43*12</f>
        <v>1198566.04828929</v>
      </c>
      <c r="AD44" s="46" t="n">
        <f aca="false">AD43*12</f>
        <v>1295360.4847049</v>
      </c>
      <c r="AE44" s="46" t="n">
        <f aca="false">AE43*12</f>
        <v>1407308.84222419</v>
      </c>
      <c r="AF44" s="46" t="n">
        <f aca="false">AF43*12</f>
        <v>1522385.71332012</v>
      </c>
      <c r="AG44" s="46" t="n">
        <f aca="false">AG43*12</f>
        <v>1640594.39737434</v>
      </c>
      <c r="AH44" s="46" t="n">
        <f aca="false">AH43*12</f>
        <v>1761768.74766401</v>
      </c>
      <c r="AI44" s="46" t="n">
        <f aca="false">AI43*12</f>
        <v>1885321.96245634</v>
      </c>
      <c r="AJ44" s="46" t="n">
        <f aca="false">AJ43*12</f>
        <v>2011274.62665578</v>
      </c>
      <c r="AK44" s="46" t="n">
        <f aca="false">AK43*12</f>
        <v>2139647.39181783</v>
      </c>
      <c r="AL44" s="46" t="n">
        <f aca="false">AL43*12</f>
        <v>2270460.98066058</v>
      </c>
    </row>
    <row r="45" customFormat="false" ht="15" hidden="false" customHeight="false" outlineLevel="0" collapsed="false">
      <c r="A45" s="9" t="s">
        <v>589</v>
      </c>
      <c r="B45" s="2" t="s">
        <v>241</v>
      </c>
      <c r="C45" s="37" t="n">
        <f aca="false">IF(C30&lt;0.0001,0,C39/C30)</f>
        <v>0</v>
      </c>
      <c r="D45" s="37" t="n">
        <f aca="false">IF(D30&lt;0.0001,0,D39/D30)</f>
        <v>0</v>
      </c>
      <c r="E45" s="37" t="n">
        <f aca="false">IF(E30&lt;0.0001,0,E39/E30)</f>
        <v>0</v>
      </c>
      <c r="F45" s="37" t="n">
        <f aca="false">IF(F30&lt;0.0001,0,F39/F30)</f>
        <v>141.55</v>
      </c>
      <c r="G45" s="37" t="n">
        <f aca="false">IF(G30&lt;0.0001,0,G39/G30)</f>
        <v>141.80616937355</v>
      </c>
      <c r="H45" s="37" t="n">
        <f aca="false">IF(H30&lt;0.0001,0,H39/H30)</f>
        <v>142.049853032034</v>
      </c>
      <c r="I45" s="37" t="n">
        <f aca="false">IF(I30&lt;0.0001,0,I39/I30)</f>
        <v>142.283375805194</v>
      </c>
      <c r="J45" s="37" t="n">
        <f aca="false">IF(J30&lt;0.0001,0,J39/J30)</f>
        <v>142.508466275532</v>
      </c>
      <c r="K45" s="37" t="n">
        <f aca="false">IF(K30&lt;0.0001,0,K39/K30)</f>
        <v>142.726436634174</v>
      </c>
      <c r="L45" s="37" t="n">
        <f aca="false">IF(L30&lt;0.0001,0,L39/L30)</f>
        <v>142.938301146773</v>
      </c>
      <c r="M45" s="37" t="n">
        <f aca="false">IF(M30&lt;0.0001,0,M39/M30)</f>
        <v>143.144856359901</v>
      </c>
      <c r="N45" s="37" t="n">
        <f aca="false">IF(N30&lt;0.0001,0,N39/N30)</f>
        <v>143.346736727029</v>
      </c>
      <c r="O45" s="37" t="n">
        <f aca="false">IF(O30&lt;0.0001,0,O39/O30)</f>
        <v>143.544454015366</v>
      </c>
      <c r="P45" s="37" t="n">
        <f aca="false">IF(P30&lt;0.0001,0,P39/P30)</f>
        <v>143.738425755</v>
      </c>
      <c r="Q45" s="37" t="n">
        <f aca="false">IF(Q30&lt;0.0001,0,Q39/Q30)</f>
        <v>143.928996127531</v>
      </c>
      <c r="R45" s="37" t="n">
        <f aca="false">IF(R30&lt;0.0001,0,R39/R30)</f>
        <v>144.116451538773</v>
      </c>
      <c r="S45" s="37" t="n">
        <f aca="false">IF(S30&lt;0.0001,0,S39/S30)</f>
        <v>144.3010323895</v>
      </c>
      <c r="T45" s="37" t="n">
        <f aca="false">IF(T30&lt;0.0001,0,T39/T30)</f>
        <v>144.482942084703</v>
      </c>
      <c r="U45" s="37" t="n">
        <f aca="false">IF(U30&lt;0.0001,0,U39/U30)</f>
        <v>144.66235400867</v>
      </c>
      <c r="V45" s="37" t="n">
        <f aca="false">IF(V30&lt;0.0001,0,V39/V30)</f>
        <v>144.839416982174</v>
      </c>
      <c r="W45" s="37" t="n">
        <f aca="false">IF(W30&lt;0.0001,0,W39/W30)</f>
        <v>145.014259573595</v>
      </c>
      <c r="X45" s="37" t="n">
        <f aca="false">IF(X30&lt;0.0001,0,X39/X30)</f>
        <v>145.186993535171</v>
      </c>
      <c r="Y45" s="37" t="n">
        <f aca="false">IF(Y30&lt;0.0001,0,Y39/Y30)</f>
        <v>145.357716564675</v>
      </c>
      <c r="Z45" s="37" t="n">
        <f aca="false">IF(Z30&lt;0.0001,0,Z39/Z30)</f>
        <v>145.526514542034</v>
      </c>
      <c r="AA45" s="37" t="n">
        <f aca="false">IF(AA30&lt;0.0001,0,AA39/AA30)</f>
        <v>145.693463353727</v>
      </c>
      <c r="AB45" s="37" t="n">
        <f aca="false">IF(AB30&lt;0.0001,0,AB39/AB30)</f>
        <v>145.858630390873</v>
      </c>
      <c r="AC45" s="37" t="n">
        <f aca="false">IF(AC30&lt;0.0001,0,AC39/AC30)</f>
        <v>146.02207578709</v>
      </c>
      <c r="AD45" s="37" t="n">
        <f aca="false">IF(AD30&lt;0.0001,0,AD39/AD30)</f>
        <v>146.183853447304</v>
      </c>
      <c r="AE45" s="37" t="n">
        <f aca="false">IF(AE30&lt;0.0001,0,AE39/AE30)</f>
        <v>146.344011907541</v>
      </c>
      <c r="AF45" s="37" t="n">
        <f aca="false">IF(AF30&lt;0.0001,0,AF39/AF30)</f>
        <v>146.502595057158</v>
      </c>
      <c r="AG45" s="37" t="n">
        <f aca="false">IF(AG30&lt;0.0001,0,AG39/AG30)</f>
        <v>146.659642748495</v>
      </c>
      <c r="AH45" s="37" t="n">
        <f aca="false">IF(AH30&lt;0.0001,0,AH39/AH30)</f>
        <v>146.817831481173</v>
      </c>
      <c r="AI45" s="37" t="n">
        <f aca="false">IF(AI30&lt;0.0001,0,AI39/AI30)</f>
        <v>146.98576446991</v>
      </c>
      <c r="AJ45" s="37" t="n">
        <f aca="false">IF(AJ30&lt;0.0001,0,AJ39/AJ30)</f>
        <v>147.161510188799</v>
      </c>
      <c r="AK45" s="37" t="n">
        <f aca="false">IF(AK30&lt;0.0001,0,AK39/AK30)</f>
        <v>147.343543506665</v>
      </c>
      <c r="AL45" s="37" t="n">
        <f aca="false">IF(AL30&lt;0.0001,0,AL39/AL30)</f>
        <v>147.530643958797</v>
      </c>
    </row>
    <row r="46" customFormat="false" ht="15" hidden="false" customHeight="false" outlineLevel="0" collapsed="false">
      <c r="A46" s="9" t="s">
        <v>590</v>
      </c>
      <c r="B46" s="2" t="s">
        <v>241</v>
      </c>
      <c r="C46" s="37" t="n">
        <f aca="false">IF(C31&lt;0.0001,0,C40/C31)</f>
        <v>0</v>
      </c>
      <c r="D46" s="37" t="n">
        <f aca="false">IF(D31&lt;0.0001,0,D40/D31)</f>
        <v>0</v>
      </c>
      <c r="E46" s="37" t="n">
        <f aca="false">IF(E31&lt;0.0001,0,E40/E31)</f>
        <v>0</v>
      </c>
      <c r="F46" s="37" t="n">
        <f aca="false">IF(F31&lt;0.0001,0,F40/F31)</f>
        <v>0</v>
      </c>
      <c r="G46" s="37" t="n">
        <f aca="false">IF(G31&lt;0.0001,0,G40/G31)</f>
        <v>449.1</v>
      </c>
      <c r="H46" s="37" t="n">
        <f aca="false">IF(H31&lt;0.0001,0,H40/H31)</f>
        <v>450.67185</v>
      </c>
      <c r="I46" s="37" t="n">
        <f aca="false">IF(I31&lt;0.0001,0,I40/I31)</f>
        <v>452.159066505426</v>
      </c>
      <c r="J46" s="37" t="n">
        <f aca="false">IF(J31&lt;0.0001,0,J40/J31)</f>
        <v>453.584103014736</v>
      </c>
      <c r="K46" s="37" t="n">
        <f aca="false">IF(K31&lt;0.0001,0,K40/K31)</f>
        <v>454.961825542751</v>
      </c>
      <c r="L46" s="37" t="n">
        <f aca="false">IF(L31&lt;0.0001,0,L40/L31)</f>
        <v>456.302465843964</v>
      </c>
      <c r="M46" s="37" t="n">
        <f aca="false">IF(M31&lt;0.0001,0,M40/M31)</f>
        <v>457.613294959043</v>
      </c>
      <c r="N46" s="37" t="n">
        <f aca="false">IF(N31&lt;0.0001,0,N40/N31)</f>
        <v>458.899620431899</v>
      </c>
      <c r="O46" s="37" t="n">
        <f aca="false">IF(O31&lt;0.0001,0,O40/O31)</f>
        <v>460.165405953247</v>
      </c>
      <c r="P46" s="37" t="n">
        <f aca="false">IF(P31&lt;0.0001,0,P40/P31)</f>
        <v>461.413670316509</v>
      </c>
      <c r="Q46" s="37" t="n">
        <f aca="false">IF(Q31&lt;0.0001,0,Q40/Q31)</f>
        <v>462.646752246051</v>
      </c>
      <c r="R46" s="37" t="n">
        <f aca="false">IF(R31&lt;0.0001,0,R40/R31)</f>
        <v>463.86649091506</v>
      </c>
      <c r="S46" s="37" t="n">
        <f aca="false">IF(S31&lt;0.0001,0,S40/S31)</f>
        <v>465.07435188953</v>
      </c>
      <c r="T46" s="37" t="n">
        <f aca="false">IF(T31&lt;0.0001,0,T40/T31)</f>
        <v>466.27151682339</v>
      </c>
      <c r="U46" s="37" t="n">
        <f aca="false">IF(U31&lt;0.0001,0,U40/U31)</f>
        <v>467.458948519382</v>
      </c>
      <c r="V46" s="37" t="n">
        <f aca="false">IF(V31&lt;0.0001,0,V40/V31)</f>
        <v>468.637438903366</v>
      </c>
      <c r="W46" s="37" t="n">
        <f aca="false">IF(W31&lt;0.0001,0,W40/W31)</f>
        <v>469.807644927637</v>
      </c>
      <c r="X46" s="37" t="n">
        <f aca="false">IF(X31&lt;0.0001,0,X40/X31)</f>
        <v>470.970115803962</v>
      </c>
      <c r="Y46" s="37" t="n">
        <f aca="false">IF(Y31&lt;0.0001,0,Y40/Y31)</f>
        <v>472.125313914474</v>
      </c>
      <c r="Z46" s="37" t="n">
        <f aca="false">IF(Z31&lt;0.0001,0,Z40/Z31)</f>
        <v>473.273631048849</v>
      </c>
      <c r="AA46" s="37" t="n">
        <f aca="false">IF(AA31&lt;0.0001,0,AA40/AA31)</f>
        <v>474.415401142588</v>
      </c>
      <c r="AB46" s="37" t="n">
        <f aca="false">IF(AB31&lt;0.0001,0,AB40/AB31)</f>
        <v>475.550910365471</v>
      </c>
      <c r="AC46" s="37" t="n">
        <f aca="false">IF(AC31&lt;0.0001,0,AC40/AC31)</f>
        <v>476.68040518161</v>
      </c>
      <c r="AD46" s="37" t="n">
        <f aca="false">IF(AD31&lt;0.0001,0,AD40/AD31)</f>
        <v>477.804098841412</v>
      </c>
      <c r="AE46" s="37" t="n">
        <f aca="false">IF(AE31&lt;0.0001,0,AE40/AE31)</f>
        <v>478.922176650104</v>
      </c>
      <c r="AF46" s="37" t="n">
        <f aca="false">IF(AF31&lt;0.0001,0,AF40/AF31)</f>
        <v>480.034800273534</v>
      </c>
      <c r="AG46" s="37" t="n">
        <f aca="false">IF(AG31&lt;0.0001,0,AG40/AG31)</f>
        <v>481.14211128035</v>
      </c>
      <c r="AH46" s="37" t="n">
        <f aca="false">IF(AH31&lt;0.0001,0,AH40/AH31)</f>
        <v>482.244234073944</v>
      </c>
      <c r="AI46" s="37" t="n">
        <f aca="false">IF(AI31&lt;0.0001,0,AI40/AI31)</f>
        <v>483.341278333313</v>
      </c>
      <c r="AJ46" s="37" t="n">
        <f aca="false">IF(AJ31&lt;0.0001,0,AJ40/AJ31)</f>
        <v>484.433341056125</v>
      </c>
      <c r="AK46" s="37" t="n">
        <f aca="false">IF(AK31&lt;0.0001,0,AK40/AK31)</f>
        <v>485.520508277551</v>
      </c>
      <c r="AL46" s="37" t="n">
        <f aca="false">IF(AL31&lt;0.0001,0,AL40/AL31)</f>
        <v>486.602856523299</v>
      </c>
    </row>
    <row r="47" customFormat="false" ht="15" hidden="false" customHeight="false" outlineLevel="0" collapsed="false">
      <c r="A47" s="9" t="s">
        <v>591</v>
      </c>
      <c r="B47" s="2" t="s">
        <v>241</v>
      </c>
      <c r="C47" s="37" t="n">
        <f aca="false">IF(C32&lt;0.0001,0,C41/C32)</f>
        <v>0</v>
      </c>
      <c r="D47" s="37" t="n">
        <f aca="false">IF(D32&lt;0.0001,0,D41/D32)</f>
        <v>0</v>
      </c>
      <c r="E47" s="37" t="n">
        <f aca="false">IF(E32&lt;0.0001,0,E41/E32)</f>
        <v>0</v>
      </c>
      <c r="F47" s="37" t="n">
        <f aca="false">IF(F32&lt;0.0001,0,F41/F32)</f>
        <v>0</v>
      </c>
      <c r="G47" s="37" t="n">
        <f aca="false">IF(G32&lt;0.0001,0,G41/G32)</f>
        <v>0</v>
      </c>
      <c r="H47" s="37" t="n">
        <f aca="false">IF(H32&lt;0.0001,0,H41/H32)</f>
        <v>1424.05</v>
      </c>
      <c r="I47" s="37" t="n">
        <f aca="false">IF(I32&lt;0.0001,0,I41/I32)</f>
        <v>1431.90508398302</v>
      </c>
      <c r="J47" s="37" t="n">
        <f aca="false">IF(J32&lt;0.0001,0,J41/J32)</f>
        <v>1439.48466948699</v>
      </c>
      <c r="K47" s="37" t="n">
        <f aca="false">IF(K32&lt;0.0001,0,K41/K32)</f>
        <v>1446.8472916771</v>
      </c>
      <c r="L47" s="37" t="n">
        <f aca="false">IF(L32&lt;0.0001,0,L41/L32)</f>
        <v>1454.03700745869</v>
      </c>
      <c r="M47" s="37" t="n">
        <f aca="false">IF(M32&lt;0.0001,0,M41/M32)</f>
        <v>1461.08761540752</v>
      </c>
      <c r="N47" s="37" t="n">
        <f aca="false">IF(N32&lt;0.0001,0,N41/N32)</f>
        <v>1468.02548105479</v>
      </c>
      <c r="O47" s="37" t="n">
        <f aca="false">IF(O32&lt;0.0001,0,O41/O32)</f>
        <v>1474.87147718989</v>
      </c>
      <c r="P47" s="37" t="n">
        <f aca="false">IF(P32&lt;0.0001,0,P41/P32)</f>
        <v>1481.64234654469</v>
      </c>
      <c r="Q47" s="37" t="n">
        <f aca="false">IF(Q32&lt;0.0001,0,Q41/Q32)</f>
        <v>1488.35167798976</v>
      </c>
      <c r="R47" s="37" t="n">
        <f aca="false">IF(R32&lt;0.0001,0,R41/R32)</f>
        <v>1495.0106183562</v>
      </c>
      <c r="S47" s="37" t="n">
        <f aca="false">IF(S32&lt;0.0001,0,S41/S32)</f>
        <v>1501.62839980693</v>
      </c>
      <c r="T47" s="37" t="n">
        <f aca="false">IF(T32&lt;0.0001,0,T41/T32)</f>
        <v>1508.2127362106</v>
      </c>
      <c r="U47" s="37" t="n">
        <f aca="false">IF(U32&lt;0.0001,0,U41/U32)</f>
        <v>1510.65468632654</v>
      </c>
      <c r="V47" s="37" t="n">
        <f aca="false">IF(V32&lt;0.0001,0,V41/V32)</f>
        <v>1514.3386806612</v>
      </c>
      <c r="W47" s="37" t="n">
        <f aca="false">IF(W32&lt;0.0001,0,W41/W32)</f>
        <v>1518.86524898457</v>
      </c>
      <c r="X47" s="37" t="n">
        <f aca="false">IF(X32&lt;0.0001,0,X41/X32)</f>
        <v>1523.98670762831</v>
      </c>
      <c r="Y47" s="37" t="n">
        <f aca="false">IF(Y32&lt;0.0001,0,Y41/Y32)</f>
        <v>1529.54173256276</v>
      </c>
      <c r="Z47" s="37" t="n">
        <f aca="false">IF(Z32&lt;0.0001,0,Z41/Z32)</f>
        <v>1535.42105177628</v>
      </c>
      <c r="AA47" s="37" t="n">
        <f aca="false">IF(AA32&lt;0.0001,0,AA41/AA32)</f>
        <v>1541.54826100662</v>
      </c>
      <c r="AB47" s="37" t="n">
        <f aca="false">IF(AB32&lt;0.0001,0,AB41/AB32)</f>
        <v>1547.86852040919</v>
      </c>
      <c r="AC47" s="37" t="n">
        <f aca="false">IF(AC32&lt;0.0001,0,AC41/AC32)</f>
        <v>1554.34159936366</v>
      </c>
      <c r="AD47" s="37" t="n">
        <f aca="false">IF(AD32&lt;0.0001,0,AD41/AD32)</f>
        <v>1560.93743731003</v>
      </c>
      <c r="AE47" s="37" t="n">
        <f aca="false">IF(AE32&lt;0.0001,0,AE41/AE32)</f>
        <v>1565.27170452295</v>
      </c>
      <c r="AF47" s="37" t="n">
        <f aca="false">IF(AF32&lt;0.0001,0,AF41/AF32)</f>
        <v>1570.13523404748</v>
      </c>
      <c r="AG47" s="37" t="n">
        <f aca="false">IF(AG32&lt;0.0001,0,AG41/AG32)</f>
        <v>1575.42035260181</v>
      </c>
      <c r="AH47" s="37" t="n">
        <f aca="false">IF(AH32&lt;0.0001,0,AH41/AH32)</f>
        <v>1581.04657977729</v>
      </c>
      <c r="AI47" s="37" t="n">
        <f aca="false">IF(AI32&lt;0.0001,0,AI41/AI32)</f>
        <v>1586.95262034909</v>
      </c>
      <c r="AJ47" s="37" t="n">
        <f aca="false">IF(AJ32&lt;0.0001,0,AJ41/AJ32)</f>
        <v>1593.09102524252</v>
      </c>
      <c r="AK47" s="37" t="n">
        <f aca="false">IF(AK32&lt;0.0001,0,AK41/AK32)</f>
        <v>1599.4245384221</v>
      </c>
      <c r="AL47" s="37" t="n">
        <f aca="false">IF(AL32&lt;0.0001,0,AL41/AL32)</f>
        <v>1605.92353987005</v>
      </c>
    </row>
    <row r="48" customFormat="false" ht="15" hidden="false" customHeight="false" outlineLevel="0" collapsed="false">
      <c r="A48" s="9" t="s">
        <v>592</v>
      </c>
      <c r="B48" s="2" t="s">
        <v>241</v>
      </c>
      <c r="C48" s="37" t="n">
        <f aca="false">IF(C33&lt;0.0001,0,C42/C33)</f>
        <v>0</v>
      </c>
      <c r="D48" s="37" t="n">
        <f aca="false">IF(D33&lt;0.0001,0,D42/D33)</f>
        <v>0</v>
      </c>
      <c r="E48" s="37" t="n">
        <f aca="false">IF(E33&lt;0.0001,0,E42/E33)</f>
        <v>0</v>
      </c>
      <c r="F48" s="37" t="n">
        <f aca="false">IF(F33&lt;0.0001,0,F42/F33)</f>
        <v>0</v>
      </c>
      <c r="G48" s="37" t="n">
        <f aca="false">IF(G33&lt;0.0001,0,G42/G33)</f>
        <v>0</v>
      </c>
      <c r="H48" s="37" t="n">
        <f aca="false">IF(H33&lt;0.0001,0,H42/H33)</f>
        <v>0</v>
      </c>
      <c r="I48" s="37" t="n">
        <f aca="false">IF(I33&lt;0.0001,0,I42/I33)</f>
        <v>0</v>
      </c>
      <c r="J48" s="37" t="n">
        <f aca="false">IF(J33&lt;0.0001,0,J42/J33)</f>
        <v>0</v>
      </c>
      <c r="K48" s="37" t="n">
        <f aca="false">IF(K33&lt;0.0001,0,K42/K33)</f>
        <v>0</v>
      </c>
      <c r="L48" s="37" t="n">
        <f aca="false">IF(L33&lt;0.0001,0,L42/L33)</f>
        <v>5500</v>
      </c>
      <c r="M48" s="37" t="n">
        <f aca="false">IF(M33&lt;0.0001,0,M42/M33)</f>
        <v>5539.20324427481</v>
      </c>
      <c r="N48" s="37" t="n">
        <f aca="false">IF(N33&lt;0.0001,0,N42/N33)</f>
        <v>5577.65422111342</v>
      </c>
      <c r="O48" s="37" t="n">
        <f aca="false">IF(O33&lt;0.0001,0,O42/O33)</f>
        <v>5615.47439026158</v>
      </c>
      <c r="P48" s="37" t="n">
        <f aca="false">IF(P33&lt;0.0001,0,P42/P33)</f>
        <v>5652.76539836447</v>
      </c>
      <c r="Q48" s="37" t="n">
        <f aca="false">IF(Q33&lt;0.0001,0,Q42/Q33)</f>
        <v>5689.61300499797</v>
      </c>
      <c r="R48" s="37" t="n">
        <f aca="false">IF(R33&lt;0.0001,0,R42/R33)</f>
        <v>5726.0901112317</v>
      </c>
      <c r="S48" s="37" t="n">
        <f aca="false">IF(S33&lt;0.0001,0,S42/S33)</f>
        <v>5762.25912129355</v>
      </c>
      <c r="T48" s="37" t="n">
        <f aca="false">IF(T33&lt;0.0001,0,T42/T33)</f>
        <v>5798.17380260426</v>
      </c>
      <c r="U48" s="37" t="n">
        <f aca="false">IF(U33&lt;0.0001,0,U42/U33)</f>
        <v>5818.98292932762</v>
      </c>
      <c r="V48" s="37" t="n">
        <f aca="false">IF(V33&lt;0.0001,0,V42/V33)</f>
        <v>5844.52889118429</v>
      </c>
      <c r="W48" s="37" t="n">
        <f aca="false">IF(W33&lt;0.0001,0,W42/W33)</f>
        <v>5873.13104473319</v>
      </c>
      <c r="X48" s="37" t="n">
        <f aca="false">IF(X33&lt;0.0001,0,X42/X33)</f>
        <v>5903.81644460959</v>
      </c>
      <c r="Y48" s="37" t="n">
        <f aca="false">IF(Y33&lt;0.0001,0,Y42/Y33)</f>
        <v>5935.98552116504</v>
      </c>
      <c r="Z48" s="37" t="n">
        <f aca="false">IF(Z33&lt;0.0001,0,Z42/Z33)</f>
        <v>5969.25069106034</v>
      </c>
      <c r="AA48" s="37" t="n">
        <f aca="false">IF(AA33&lt;0.0001,0,AA42/AA33)</f>
        <v>6003.35184921703</v>
      </c>
      <c r="AB48" s="37" t="n">
        <f aca="false">IF(AB33&lt;0.0001,0,AB42/AB33)</f>
        <v>6038.10917600467</v>
      </c>
      <c r="AC48" s="37" t="n">
        <f aca="false">IF(AC33&lt;0.0001,0,AC42/AC33)</f>
        <v>6073.39536855552</v>
      </c>
      <c r="AD48" s="37" t="n">
        <f aca="false">IF(AD33&lt;0.0001,0,AD42/AD33)</f>
        <v>6109.11857836545</v>
      </c>
      <c r="AE48" s="37" t="n">
        <f aca="false">IF(AE33&lt;0.0001,0,AE42/AE33)</f>
        <v>6135.79197922078</v>
      </c>
      <c r="AF48" s="37" t="n">
        <f aca="false">IF(AF33&lt;0.0001,0,AF42/AF33)</f>
        <v>6164.5165347615</v>
      </c>
      <c r="AG48" s="37" t="n">
        <f aca="false">IF(AG33&lt;0.0001,0,AG42/AG33)</f>
        <v>6194.89362477509</v>
      </c>
      <c r="AH48" s="37" t="n">
        <f aca="false">IF(AH33&lt;0.0001,0,AH42/AH33)</f>
        <v>6226.6272338859</v>
      </c>
      <c r="AI48" s="37" t="n">
        <f aca="false">IF(AI33&lt;0.0001,0,AI42/AI33)</f>
        <v>6259.49336687737</v>
      </c>
      <c r="AJ48" s="37" t="n">
        <f aca="false">IF(AJ33&lt;0.0001,0,AJ42/AJ33)</f>
        <v>6293.31976972359</v>
      </c>
      <c r="AK48" s="37" t="n">
        <f aca="false">IF(AK33&lt;0.0001,0,AK42/AK33)</f>
        <v>6327.97212197883</v>
      </c>
      <c r="AL48" s="37" t="n">
        <f aca="false">IF(AL33&lt;0.0001,0,AL42/AL33)</f>
        <v>6363.34441416642</v>
      </c>
    </row>
    <row r="49" customFormat="false" ht="15" hidden="false" customHeight="false" outlineLevel="0" collapsed="false">
      <c r="A49" s="9" t="s">
        <v>593</v>
      </c>
      <c r="B49" s="2" t="s">
        <v>241</v>
      </c>
      <c r="C49" s="37" t="n">
        <f aca="false">IF(C36&lt;0.0001,0,C43/C36)</f>
        <v>0</v>
      </c>
      <c r="D49" s="37" t="n">
        <f aca="false">IF(D36&lt;0.0001,0,D43/D36)</f>
        <v>0</v>
      </c>
      <c r="E49" s="37" t="n">
        <f aca="false">IF(E36&lt;0.0001,0,E43/E36)</f>
        <v>0</v>
      </c>
      <c r="F49" s="37" t="n">
        <f aca="false">IF(F36&lt;0.0001,0,F43/F36)</f>
        <v>141.55</v>
      </c>
      <c r="G49" s="37" t="n">
        <f aca="false">IF(G36&lt;0.0001,0,G43/G36)</f>
        <v>167.903309978769</v>
      </c>
      <c r="H49" s="37" t="n">
        <f aca="false">IF(H36&lt;0.0001,0,H43/H36)</f>
        <v>214.547646542488</v>
      </c>
      <c r="I49" s="37" t="n">
        <f aca="false">IF(I36&lt;0.0001,0,I43/I36)</f>
        <v>237.672275080316</v>
      </c>
      <c r="J49" s="37" t="n">
        <f aca="false">IF(J36&lt;0.0001,0,J43/J36)</f>
        <v>252.117435443995</v>
      </c>
      <c r="K49" s="37" t="n">
        <f aca="false">IF(K36&lt;0.0001,0,K43/K36)</f>
        <v>262.358925665461</v>
      </c>
      <c r="L49" s="37" t="n">
        <f aca="false">IF(L36&lt;0.0001,0,L43/L36)</f>
        <v>289.740586135032</v>
      </c>
      <c r="M49" s="37" t="n">
        <f aca="false">IF(M36&lt;0.0001,0,M43/M36)</f>
        <v>310.518097666844</v>
      </c>
      <c r="N49" s="37" t="n">
        <f aca="false">IF(N36&lt;0.0001,0,N43/N36)</f>
        <v>327.019139661081</v>
      </c>
      <c r="O49" s="37" t="n">
        <f aca="false">IF(O36&lt;0.0001,0,O43/O36)</f>
        <v>340.595950830137</v>
      </c>
      <c r="P49" s="37" t="n">
        <f aca="false">IF(P36&lt;0.0001,0,P43/P36)</f>
        <v>352.087539629846</v>
      </c>
      <c r="Q49" s="37" t="n">
        <f aca="false">IF(Q36&lt;0.0001,0,Q43/Q36)</f>
        <v>362.041897317962</v>
      </c>
      <c r="R49" s="37" t="n">
        <f aca="false">IF(R36&lt;0.0001,0,R43/R36)</f>
        <v>370.832000313662</v>
      </c>
      <c r="S49" s="37" t="n">
        <f aca="false">IF(S36&lt;0.0001,0,S43/S36)</f>
        <v>378.72044738311</v>
      </c>
      <c r="T49" s="37" t="n">
        <f aca="false">IF(T36&lt;0.0001,0,T43/T36)</f>
        <v>385.897436613062</v>
      </c>
      <c r="U49" s="37" t="n">
        <f aca="false">IF(U36&lt;0.0001,0,U43/U36)</f>
        <v>399.891017424896</v>
      </c>
      <c r="V49" s="37" t="n">
        <f aca="false">IF(V36&lt;0.0001,0,V43/V36)</f>
        <v>412.071928950557</v>
      </c>
      <c r="W49" s="37" t="n">
        <f aca="false">IF(W36&lt;0.0001,0,W43/W36)</f>
        <v>422.816733382632</v>
      </c>
      <c r="X49" s="37" t="n">
        <f aca="false">IF(X36&lt;0.0001,0,X43/X36)</f>
        <v>432.40879778035</v>
      </c>
      <c r="Y49" s="37" t="n">
        <f aca="false">IF(Y36&lt;0.0001,0,Y43/Y36)</f>
        <v>441.065002921724</v>
      </c>
      <c r="Z49" s="37" t="n">
        <f aca="false">IF(Z36&lt;0.0001,0,Z43/Z36)</f>
        <v>448.95383363763</v>
      </c>
      <c r="AA49" s="37" t="n">
        <f aca="false">IF(AA36&lt;0.0001,0,AA43/AA36)</f>
        <v>456.207917329832</v>
      </c>
      <c r="AB49" s="37" t="n">
        <f aca="false">IF(AB36&lt;0.0001,0,AB43/AB36)</f>
        <v>462.932893063444</v>
      </c>
      <c r="AC49" s="37" t="n">
        <f aca="false">IF(AC36&lt;0.0001,0,AC43/AC36)</f>
        <v>469.213799604412</v>
      </c>
      <c r="AD49" s="37" t="n">
        <f aca="false">IF(AD36&lt;0.0001,0,AD43/AD36)</f>
        <v>475.119751566108</v>
      </c>
      <c r="AE49" s="37" t="n">
        <f aca="false">IF(AE36&lt;0.0001,0,AE43/AE36)</f>
        <v>483.921350093481</v>
      </c>
      <c r="AF49" s="37" t="n">
        <f aca="false">IF(AF36&lt;0.0001,0,AF43/AF36)</f>
        <v>492.080667533146</v>
      </c>
      <c r="AG49" s="37" t="n">
        <f aca="false">IF(AG36&lt;0.0001,0,AG43/AG36)</f>
        <v>499.691296346013</v>
      </c>
      <c r="AH49" s="37" t="n">
        <f aca="false">IF(AH36&lt;0.0001,0,AH43/AH36)</f>
        <v>506.956967225853</v>
      </c>
      <c r="AI49" s="37" t="n">
        <f aca="false">IF(AI36&lt;0.0001,0,AI43/AI36)</f>
        <v>514.352499518225</v>
      </c>
      <c r="AJ49" s="37" t="n">
        <f aca="false">IF(AJ36&lt;0.0001,0,AJ43/AJ36)</f>
        <v>521.866233146785</v>
      </c>
      <c r="AK49" s="37" t="n">
        <f aca="false">IF(AK36&lt;0.0001,0,AK43/AK36)</f>
        <v>529.488789601142</v>
      </c>
      <c r="AL49" s="37" t="n">
        <f aca="false">IF(AL36&lt;0.0001,0,AL43/AL36)</f>
        <v>537.212521282551</v>
      </c>
    </row>
    <row r="50" customFormat="false" ht="15" hidden="false" customHeight="false" outlineLevel="0" collapsed="false">
      <c r="A50" s="9" t="s">
        <v>594</v>
      </c>
      <c r="B50" s="2" t="s">
        <v>105</v>
      </c>
      <c r="C50" s="37" t="n">
        <f aca="false">C30*Pricing!$B$6*Assumptions!$E$154*Assumptions!$D$79</f>
        <v>0</v>
      </c>
      <c r="D50" s="37" t="n">
        <f aca="false">D30*Pricing!$B$6*Assumptions!$E$154*Assumptions!$D$79</f>
        <v>0</v>
      </c>
      <c r="E50" s="37" t="n">
        <f aca="false">E30*Pricing!$B$6*Assumptions!$E$154*Assumptions!$D$79</f>
        <v>0</v>
      </c>
      <c r="F50" s="37" t="n">
        <f aca="false">F30*Pricing!$B$6*Assumptions!$E$154*Assumptions!$D$79</f>
        <v>41.6</v>
      </c>
      <c r="G50" s="37" t="n">
        <f aca="false">G30*Pricing!$B$6*Assumptions!$E$154*Assumptions!$D$79</f>
        <v>89.648</v>
      </c>
      <c r="H50" s="37" t="n">
        <f aca="false">H30*Pricing!$B$6*Assumptions!$E$154*Assumptions!$D$79</f>
        <v>143.9828</v>
      </c>
      <c r="I50" s="37" t="n">
        <f aca="false">I30*Pricing!$B$6*Assumptions!$E$154*Assumptions!$D$79</f>
        <v>204.44723</v>
      </c>
      <c r="J50" s="37" t="n">
        <f aca="false">J30*Pricing!$B$6*Assumptions!$E$154*Assumptions!$D$79</f>
        <v>270.88804925</v>
      </c>
      <c r="K50" s="37" t="n">
        <f aca="false">K30*Pricing!$B$6*Assumptions!$E$154*Assumptions!$D$79</f>
        <v>343.15584801875</v>
      </c>
      <c r="L50" s="37" t="n">
        <f aca="false">L30*Pricing!$B$6*Assumptions!$E$154*Assumptions!$D$79</f>
        <v>421.104951818281</v>
      </c>
      <c r="M50" s="37" t="n">
        <f aca="false">M30*Pricing!$B$6*Assumptions!$E$154*Assumptions!$D$79</f>
        <v>504.593328022824</v>
      </c>
      <c r="N50" s="37" t="n">
        <f aca="false">N30*Pricing!$B$6*Assumptions!$E$154*Assumptions!$D$79</f>
        <v>593.482494822254</v>
      </c>
      <c r="O50" s="37" t="n">
        <f aca="false">O30*Pricing!$B$6*Assumptions!$E$154*Assumptions!$D$79</f>
        <v>687.637432451697</v>
      </c>
      <c r="P50" s="37" t="n">
        <f aca="false">P30*Pricing!$B$6*Assumptions!$E$154*Assumptions!$D$79</f>
        <v>786.926496640405</v>
      </c>
      <c r="Q50" s="37" t="n">
        <f aca="false">Q30*Pricing!$B$6*Assumptions!$E$154*Assumptions!$D$79</f>
        <v>891.221334224395</v>
      </c>
      <c r="R50" s="37" t="n">
        <f aca="false">R30*Pricing!$B$6*Assumptions!$E$154*Assumptions!$D$79</f>
        <v>1000.39680086878</v>
      </c>
      <c r="S50" s="37" t="n">
        <f aca="false">S30*Pricing!$B$6*Assumptions!$E$154*Assumptions!$D$79</f>
        <v>1114.33088084707</v>
      </c>
      <c r="T50" s="37" t="n">
        <f aca="false">T30*Pricing!$B$6*Assumptions!$E$154*Assumptions!$D$79</f>
        <v>1232.90460882589</v>
      </c>
      <c r="U50" s="37" t="n">
        <f aca="false">U30*Pricing!$B$6*Assumptions!$E$154*Assumptions!$D$79</f>
        <v>1356.00199360524</v>
      </c>
      <c r="V50" s="37" t="n">
        <f aca="false">V30*Pricing!$B$6*Assumptions!$E$154*Assumptions!$D$79</f>
        <v>1483.50994376511</v>
      </c>
      <c r="W50" s="37" t="n">
        <f aca="false">W30*Pricing!$B$6*Assumptions!$E$154*Assumptions!$D$79</f>
        <v>1615.31819517098</v>
      </c>
      <c r="X50" s="37" t="n">
        <f aca="false">X30*Pricing!$B$6*Assumptions!$E$154*Assumptions!$D$79</f>
        <v>1751.31924029171</v>
      </c>
      <c r="Y50" s="37" t="n">
        <f aca="false">Y30*Pricing!$B$6*Assumptions!$E$154*Assumptions!$D$79</f>
        <v>1891.40825928442</v>
      </c>
      <c r="Z50" s="37" t="n">
        <f aca="false">Z30*Pricing!$B$6*Assumptions!$E$154*Assumptions!$D$79</f>
        <v>2035.48305280231</v>
      </c>
      <c r="AA50" s="37" t="n">
        <f aca="false">AA30*Pricing!$B$6*Assumptions!$E$154*Assumptions!$D$79</f>
        <v>2183.44397648225</v>
      </c>
      <c r="AB50" s="37" t="n">
        <f aca="false">AB30*Pricing!$B$6*Assumptions!$E$154*Assumptions!$D$79</f>
        <v>2335.19387707019</v>
      </c>
      <c r="AC50" s="37" t="n">
        <f aca="false">AC30*Pricing!$B$6*Assumptions!$E$154*Assumptions!$D$79</f>
        <v>2490.63803014344</v>
      </c>
      <c r="AD50" s="37" t="n">
        <f aca="false">AD30*Pricing!$B$6*Assumptions!$E$154*Assumptions!$D$79</f>
        <v>2649.68407938985</v>
      </c>
      <c r="AE50" s="37" t="n">
        <f aca="false">AE30*Pricing!$B$6*Assumptions!$E$154*Assumptions!$D$79</f>
        <v>2812.2419774051</v>
      </c>
      <c r="AF50" s="37" t="n">
        <f aca="false">AF30*Pricing!$B$6*Assumptions!$E$154*Assumptions!$D$79</f>
        <v>2978.22392796998</v>
      </c>
      <c r="AG50" s="37" t="n">
        <f aca="false">AG30*Pricing!$B$6*Assumptions!$E$154*Assumptions!$D$79</f>
        <v>3147.54432977073</v>
      </c>
      <c r="AH50" s="37" t="n">
        <f aca="false">AH30*Pricing!$B$6*Assumptions!$E$154*Assumptions!$D$79</f>
        <v>3318.45572152646</v>
      </c>
      <c r="AI50" s="37" t="n">
        <f aca="false">AI30*Pricing!$B$6*Assumptions!$E$154*Assumptions!$D$79</f>
        <v>3485.0943284883</v>
      </c>
      <c r="AJ50" s="37" t="n">
        <f aca="false">AJ30*Pricing!$B$6*Assumptions!$E$154*Assumptions!$D$79</f>
        <v>3647.56697027609</v>
      </c>
      <c r="AK50" s="37" t="n">
        <f aca="false">AK30*Pricing!$B$6*Assumptions!$E$154*Assumptions!$D$79</f>
        <v>3805.97779601919</v>
      </c>
      <c r="AL50" s="37" t="n">
        <f aca="false">AL30*Pricing!$B$6*Assumptions!$E$154*Assumptions!$D$79</f>
        <v>3960.42835111871</v>
      </c>
    </row>
    <row r="51" customFormat="false" ht="15" hidden="false" customHeight="false" outlineLevel="0" collapsed="false">
      <c r="A51" s="9" t="s">
        <v>595</v>
      </c>
      <c r="B51" s="2" t="s">
        <v>105</v>
      </c>
      <c r="C51" s="37" t="n">
        <f aca="false">C31*Pricing!$C$6*Assumptions!$E$154*Assumptions!$D$80</f>
        <v>0</v>
      </c>
      <c r="D51" s="37" t="n">
        <f aca="false">D31*Pricing!$C$6*Assumptions!$E$154*Assumptions!$D$80</f>
        <v>0</v>
      </c>
      <c r="E51" s="37" t="n">
        <f aca="false">E31*Pricing!$C$6*Assumptions!$E$154*Assumptions!$D$80</f>
        <v>0</v>
      </c>
      <c r="F51" s="37" t="n">
        <f aca="false">F31*Pricing!$C$6*Assumptions!$E$154*Assumptions!$D$80</f>
        <v>0</v>
      </c>
      <c r="G51" s="37" t="n">
        <f aca="false">G31*Pricing!$C$6*Assumptions!$E$154*Assumptions!$D$80</f>
        <v>28.56</v>
      </c>
      <c r="H51" s="37" t="n">
        <f aca="false">H31*Pricing!$C$6*Assumptions!$E$154*Assumptions!$D$80</f>
        <v>63.9744</v>
      </c>
      <c r="I51" s="37" t="n">
        <f aca="false">I31*Pricing!$C$6*Assumptions!$E$154*Assumptions!$D$80</f>
        <v>106.106112</v>
      </c>
      <c r="J51" s="37" t="n">
        <f aca="false">J31*Pricing!$C$6*Assumptions!$E$154*Assumptions!$D$80</f>
        <v>154.82078976</v>
      </c>
      <c r="K51" s="37" t="n">
        <f aca="false">K31*Pricing!$C$6*Assumptions!$E$154*Assumptions!$D$80</f>
        <v>209.9867739648</v>
      </c>
      <c r="L51" s="37" t="n">
        <f aca="false">L31*Pricing!$C$6*Assumptions!$E$154*Assumptions!$D$80</f>
        <v>271.475038485504</v>
      </c>
      <c r="M51" s="37" t="n">
        <f aca="false">M31*Pricing!$C$6*Assumptions!$E$154*Assumptions!$D$80</f>
        <v>339.159137715794</v>
      </c>
      <c r="N51" s="37" t="n">
        <f aca="false">N31*Pricing!$C$6*Assumptions!$E$154*Assumptions!$D$80</f>
        <v>412.915154961478</v>
      </c>
      <c r="O51" s="37" t="n">
        <f aca="false">O31*Pricing!$C$6*Assumptions!$E$154*Assumptions!$D$80</f>
        <v>492.621651862249</v>
      </c>
      <c r="P51" s="37" t="n">
        <f aca="false">P31*Pricing!$C$6*Assumptions!$E$154*Assumptions!$D$80</f>
        <v>578.159618825004</v>
      </c>
      <c r="Q51" s="37" t="n">
        <f aca="false">Q31*Pricing!$C$6*Assumptions!$E$154*Assumptions!$D$80</f>
        <v>669.412426448504</v>
      </c>
      <c r="R51" s="37" t="n">
        <f aca="false">R31*Pricing!$C$6*Assumptions!$E$154*Assumptions!$D$80</f>
        <v>766.265777919533</v>
      </c>
      <c r="S51" s="37" t="n">
        <f aca="false">S31*Pricing!$C$6*Assumptions!$E$154*Assumptions!$D$80</f>
        <v>868.607662361143</v>
      </c>
      <c r="T51" s="37" t="n">
        <f aca="false">T31*Pricing!$C$6*Assumptions!$E$154*Assumptions!$D$80</f>
        <v>976.32830911392</v>
      </c>
      <c r="U51" s="37" t="n">
        <f aca="false">U31*Pricing!$C$6*Assumptions!$E$154*Assumptions!$D$80</f>
        <v>1089.32014293164</v>
      </c>
      <c r="V51" s="37" t="n">
        <f aca="false">V31*Pricing!$C$6*Assumptions!$E$154*Assumptions!$D$80</f>
        <v>1207.47774007301</v>
      </c>
      <c r="W51" s="37" t="n">
        <f aca="false">W31*Pricing!$C$6*Assumptions!$E$154*Assumptions!$D$80</f>
        <v>1330.69778527155</v>
      </c>
      <c r="X51" s="37" t="n">
        <f aca="false">X31*Pricing!$C$6*Assumptions!$E$154*Assumptions!$D$80</f>
        <v>1458.87902956612</v>
      </c>
      <c r="Y51" s="37" t="n">
        <f aca="false">Y31*Pricing!$C$6*Assumptions!$E$154*Assumptions!$D$80</f>
        <v>1591.9222489748</v>
      </c>
      <c r="Z51" s="37" t="n">
        <f aca="false">Z31*Pricing!$C$6*Assumptions!$E$154*Assumptions!$D$80</f>
        <v>1729.7302039953</v>
      </c>
      <c r="AA51" s="37" t="n">
        <f aca="false">AA31*Pricing!$C$6*Assumptions!$E$154*Assumptions!$D$80</f>
        <v>1872.20759991539</v>
      </c>
      <c r="AB51" s="37" t="n">
        <f aca="false">AB31*Pricing!$C$6*Assumptions!$E$154*Assumptions!$D$80</f>
        <v>2019.26104791709</v>
      </c>
      <c r="AC51" s="37" t="n">
        <f aca="false">AC31*Pricing!$C$6*Assumptions!$E$154*Assumptions!$D$80</f>
        <v>2170.79902695874</v>
      </c>
      <c r="AD51" s="37" t="n">
        <f aca="false">AD31*Pricing!$C$6*Assumptions!$E$154*Assumptions!$D$80</f>
        <v>2326.73184641957</v>
      </c>
      <c r="AE51" s="37" t="n">
        <f aca="false">AE31*Pricing!$C$6*Assumptions!$E$154*Assumptions!$D$80</f>
        <v>2486.97160949118</v>
      </c>
      <c r="AF51" s="37" t="n">
        <f aca="false">AF31*Pricing!$C$6*Assumptions!$E$154*Assumptions!$D$80</f>
        <v>2651.43217730135</v>
      </c>
      <c r="AG51" s="37" t="n">
        <f aca="false">AG31*Pricing!$C$6*Assumptions!$E$154*Assumptions!$D$80</f>
        <v>2820.02913375533</v>
      </c>
      <c r="AH51" s="37" t="n">
        <f aca="false">AH31*Pricing!$C$6*Assumptions!$E$154*Assumptions!$D$80</f>
        <v>2992.67975108022</v>
      </c>
      <c r="AI51" s="37" t="n">
        <f aca="false">AI31*Pricing!$C$6*Assumptions!$E$154*Assumptions!$D$80</f>
        <v>3169.30295605862</v>
      </c>
      <c r="AJ51" s="37" t="n">
        <f aca="false">AJ31*Pricing!$C$6*Assumptions!$E$154*Assumptions!$D$80</f>
        <v>3349.81929693744</v>
      </c>
      <c r="AK51" s="37" t="n">
        <f aca="false">AK31*Pricing!$C$6*Assumptions!$E$154*Assumptions!$D$80</f>
        <v>3534.15091099869</v>
      </c>
      <c r="AL51" s="37" t="n">
        <f aca="false">AL31*Pricing!$C$6*Assumptions!$E$154*Assumptions!$D$80</f>
        <v>3722.22149277872</v>
      </c>
    </row>
    <row r="52" customFormat="false" ht="15" hidden="false" customHeight="false" outlineLevel="0" collapsed="false">
      <c r="A52" s="9" t="s">
        <v>596</v>
      </c>
      <c r="B52" s="2" t="s">
        <v>105</v>
      </c>
      <c r="C52" s="37" t="n">
        <f aca="false">C32*Pricing!$D$6*Assumptions!$E$154*Assumptions!$D$81</f>
        <v>0</v>
      </c>
      <c r="D52" s="37" t="n">
        <f aca="false">D32*Pricing!$D$6*Assumptions!$E$154*Assumptions!$D$81</f>
        <v>0</v>
      </c>
      <c r="E52" s="37" t="n">
        <f aca="false">E32*Pricing!$D$6*Assumptions!$E$154*Assumptions!$D$81</f>
        <v>0</v>
      </c>
      <c r="F52" s="37" t="n">
        <f aca="false">F32*Pricing!$D$6*Assumptions!$E$154*Assumptions!$D$81</f>
        <v>0</v>
      </c>
      <c r="G52" s="37" t="n">
        <f aca="false">G32*Pricing!$D$6*Assumptions!$E$154*Assumptions!$D$81</f>
        <v>0</v>
      </c>
      <c r="H52" s="37" t="n">
        <f aca="false">H32*Pricing!$D$6*Assumptions!$E$154*Assumptions!$D$81</f>
        <v>31.968</v>
      </c>
      <c r="I52" s="37" t="n">
        <f aca="false">I32*Pricing!$D$6*Assumptions!$E$154*Assumptions!$D$81</f>
        <v>69.02424</v>
      </c>
      <c r="J52" s="37" t="n">
        <f aca="false">J32*Pricing!$D$6*Assumptions!$E$154*Assumptions!$D$81</f>
        <v>111.1305582</v>
      </c>
      <c r="K52" s="37" t="n">
        <f aca="false">K32*Pricing!$D$6*Assumptions!$E$154*Assumptions!$D$81</f>
        <v>158.2490790135</v>
      </c>
      <c r="L52" s="37" t="n">
        <f aca="false">L32*Pricing!$D$6*Assumptions!$E$154*Assumptions!$D$81</f>
        <v>210.342210920899</v>
      </c>
      <c r="M52" s="37" t="n">
        <f aca="false">M32*Pricing!$D$6*Assumptions!$E$154*Assumptions!$D$81</f>
        <v>267.372644338992</v>
      </c>
      <c r="N52" s="37" t="n">
        <f aca="false">N32*Pricing!$D$6*Assumptions!$E$154*Assumptions!$D$81</f>
        <v>329.30334950645</v>
      </c>
      <c r="O52" s="37" t="n">
        <f aca="false">O32*Pricing!$D$6*Assumptions!$E$154*Assumptions!$D$81</f>
        <v>396.097574385151</v>
      </c>
      <c r="P52" s="37" t="n">
        <f aca="false">P32*Pricing!$D$6*Assumptions!$E$154*Assumptions!$D$81</f>
        <v>467.718842577263</v>
      </c>
      <c r="Q52" s="37" t="n">
        <f aca="false">Q32*Pricing!$D$6*Assumptions!$E$154*Assumptions!$D$81</f>
        <v>544.130951257933</v>
      </c>
      <c r="R52" s="37" t="n">
        <f aca="false">R32*Pricing!$D$6*Assumptions!$E$154*Assumptions!$D$81</f>
        <v>625.297969123499</v>
      </c>
      <c r="S52" s="37" t="n">
        <f aca="false">S32*Pricing!$D$6*Assumptions!$E$154*Assumptions!$D$81</f>
        <v>711.184234355072</v>
      </c>
      <c r="T52" s="37" t="n">
        <f aca="false">T32*Pricing!$D$6*Assumptions!$E$154*Assumptions!$D$81</f>
        <v>801.754352597409</v>
      </c>
      <c r="U52" s="37" t="n">
        <f aca="false">U32*Pricing!$D$6*Assumptions!$E$154*Assumptions!$D$81</f>
        <v>939.597194952929</v>
      </c>
      <c r="V52" s="37" t="n">
        <f aca="false">V32*Pricing!$D$6*Assumptions!$E$154*Assumptions!$D$81</f>
        <v>1081.73421599078</v>
      </c>
      <c r="W52" s="37" t="n">
        <f aca="false">W32*Pricing!$D$6*Assumptions!$E$154*Assumptions!$D$81</f>
        <v>1228.13320937085</v>
      </c>
      <c r="X52" s="37" t="n">
        <f aca="false">X32*Pricing!$D$6*Assumptions!$E$154*Assumptions!$D$81</f>
        <v>1378.76221030057</v>
      </c>
      <c r="Y52" s="37" t="n">
        <f aca="false">Y32*Pricing!$D$6*Assumptions!$E$154*Assumptions!$D$81</f>
        <v>1533.58949372332</v>
      </c>
      <c r="Z52" s="37" t="n">
        <f aca="false">Z32*Pricing!$D$6*Assumptions!$E$154*Assumptions!$D$81</f>
        <v>1692.58357252039</v>
      </c>
      <c r="AA52" s="37" t="n">
        <f aca="false">AA32*Pricing!$D$6*Assumptions!$E$154*Assumptions!$D$81</f>
        <v>1855.71319572649</v>
      </c>
      <c r="AB52" s="37" t="n">
        <f aca="false">AB32*Pricing!$D$6*Assumptions!$E$154*Assumptions!$D$81</f>
        <v>2022.94734675854</v>
      </c>
      <c r="AC52" s="37" t="n">
        <f aca="false">AC32*Pricing!$D$6*Assumptions!$E$154*Assumptions!$D$81</f>
        <v>2194.25524165785</v>
      </c>
      <c r="AD52" s="37" t="n">
        <f aca="false">AD32*Pricing!$D$6*Assumptions!$E$154*Assumptions!$D$81</f>
        <v>2369.60632734542</v>
      </c>
      <c r="AE52" s="37" t="n">
        <f aca="false">AE32*Pricing!$D$6*Assumptions!$E$154*Assumptions!$D$81</f>
        <v>2591.59427989033</v>
      </c>
      <c r="AF52" s="37" t="n">
        <f aca="false">AF32*Pricing!$D$6*Assumptions!$E$154*Assumptions!$D$81</f>
        <v>2817.24532279115</v>
      </c>
      <c r="AG52" s="37" t="n">
        <f aca="false">AG32*Pricing!$D$6*Assumptions!$E$154*Assumptions!$D$81</f>
        <v>3046.53198287021</v>
      </c>
      <c r="AH52" s="37" t="n">
        <f aca="false">AH32*Pricing!$D$6*Assumptions!$E$154*Assumptions!$D$81</f>
        <v>3279.42699299869</v>
      </c>
      <c r="AI52" s="37" t="n">
        <f aca="false">AI32*Pricing!$D$6*Assumptions!$E$154*Assumptions!$D$81</f>
        <v>3515.9032905512</v>
      </c>
      <c r="AJ52" s="37" t="n">
        <f aca="false">AJ32*Pricing!$D$6*Assumptions!$E$154*Assumptions!$D$81</f>
        <v>3755.93401587206</v>
      </c>
      <c r="AK52" s="37" t="n">
        <f aca="false">AK32*Pricing!$D$6*Assumptions!$E$154*Assumptions!$D$81</f>
        <v>3999.49251075302</v>
      </c>
      <c r="AL52" s="37" t="n">
        <f aca="false">AL32*Pricing!$D$6*Assumptions!$E$154*Assumptions!$D$81</f>
        <v>4246.55231692238</v>
      </c>
    </row>
    <row r="53" customFormat="false" ht="15" hidden="false" customHeight="false" outlineLevel="0" collapsed="false">
      <c r="A53" s="9" t="s">
        <v>597</v>
      </c>
      <c r="B53" s="2" t="s">
        <v>105</v>
      </c>
      <c r="C53" s="37" t="n">
        <f aca="false">C33*Pricing!$E$6*Assumptions!$E$154*Assumptions!$D$82</f>
        <v>0</v>
      </c>
      <c r="D53" s="37" t="n">
        <f aca="false">D33*Pricing!$E$6*Assumptions!$E$154*Assumptions!$D$82</f>
        <v>0</v>
      </c>
      <c r="E53" s="37" t="n">
        <f aca="false">E33*Pricing!$E$6*Assumptions!$E$154*Assumptions!$D$82</f>
        <v>0</v>
      </c>
      <c r="F53" s="37" t="n">
        <f aca="false">F33*Pricing!$E$6*Assumptions!$E$154*Assumptions!$D$82</f>
        <v>0</v>
      </c>
      <c r="G53" s="37" t="n">
        <f aca="false">G33*Pricing!$E$6*Assumptions!$E$154*Assumptions!$D$82</f>
        <v>0</v>
      </c>
      <c r="H53" s="37" t="n">
        <f aca="false">H33*Pricing!$E$6*Assumptions!$E$154*Assumptions!$D$82</f>
        <v>0</v>
      </c>
      <c r="I53" s="37" t="n">
        <f aca="false">I33*Pricing!$E$6*Assumptions!$E$154*Assumptions!$D$82</f>
        <v>0</v>
      </c>
      <c r="J53" s="37" t="n">
        <f aca="false">J33*Pricing!$E$6*Assumptions!$E$154*Assumptions!$D$82</f>
        <v>0</v>
      </c>
      <c r="K53" s="37" t="n">
        <f aca="false">K33*Pricing!$E$6*Assumptions!$E$154*Assumptions!$D$82</f>
        <v>0</v>
      </c>
      <c r="L53" s="37" t="n">
        <f aca="false">L33*Pricing!$E$6*Assumptions!$E$154*Assumptions!$D$82</f>
        <v>44.976</v>
      </c>
      <c r="M53" s="37" t="n">
        <f aca="false">M33*Pricing!$E$6*Assumptions!$E$154*Assumptions!$D$82</f>
        <v>94.269696</v>
      </c>
      <c r="N53" s="37" t="n">
        <f aca="false">N33*Pricing!$E$6*Assumptions!$E$154*Assumptions!$D$82</f>
        <v>147.863817216</v>
      </c>
      <c r="O53" s="37" t="n">
        <f aca="false">O33*Pricing!$E$6*Assumptions!$E$154*Assumptions!$D$82</f>
        <v>205.741161947136</v>
      </c>
      <c r="P53" s="37" t="n">
        <f aca="false">P33*Pricing!$E$6*Assumptions!$E$154*Assumptions!$D$82</f>
        <v>267.884597299347</v>
      </c>
      <c r="Q53" s="37" t="n">
        <f aca="false">Q33*Pricing!$E$6*Assumptions!$E$154*Assumptions!$D$82</f>
        <v>334.27705891015</v>
      </c>
      <c r="R53" s="37" t="n">
        <f aca="false">R33*Pricing!$E$6*Assumptions!$E$154*Assumptions!$D$82</f>
        <v>404.90155067451</v>
      </c>
      <c r="S53" s="37" t="n">
        <f aca="false">S33*Pricing!$E$6*Assumptions!$E$154*Assumptions!$D$82</f>
        <v>479.741144471811</v>
      </c>
      <c r="T53" s="37" t="n">
        <f aca="false">T33*Pricing!$E$6*Assumptions!$E$154*Assumptions!$D$82</f>
        <v>558.778979893924</v>
      </c>
      <c r="U53" s="37" t="n">
        <f aca="false">U33*Pricing!$E$6*Assumptions!$E$154*Assumptions!$D$82</f>
        <v>671.982263974349</v>
      </c>
      <c r="V53" s="37" t="n">
        <f aca="false">V33*Pricing!$E$6*Assumptions!$E$154*Assumptions!$D$82</f>
        <v>789.230334918451</v>
      </c>
      <c r="W53" s="37" t="n">
        <f aca="false">W33*Pricing!$E$6*Assumptions!$E$154*Assumptions!$D$82</f>
        <v>910.507013578777</v>
      </c>
      <c r="X53" s="37" t="n">
        <f aca="false">X33*Pricing!$E$6*Assumptions!$E$154*Assumptions!$D$82</f>
        <v>1035.79618552446</v>
      </c>
      <c r="Y53" s="37" t="n">
        <f aca="false">Y33*Pricing!$E$6*Assumptions!$E$154*Assumptions!$D$82</f>
        <v>1165.08180078236</v>
      </c>
      <c r="Z53" s="37" t="n">
        <f aca="false">Z33*Pricing!$E$6*Assumptions!$E$154*Assumptions!$D$82</f>
        <v>1298.34787357923</v>
      </c>
      <c r="AA53" s="37" t="n">
        <f aca="false">AA33*Pricing!$E$6*Assumptions!$E$154*Assumptions!$D$82</f>
        <v>1435.57848208492</v>
      </c>
      <c r="AB53" s="37" t="n">
        <f aca="false">AB33*Pricing!$E$6*Assumptions!$E$154*Assumptions!$D$82</f>
        <v>1576.75776815658</v>
      </c>
      <c r="AC53" s="37" t="n">
        <f aca="false">AC33*Pricing!$E$6*Assumptions!$E$154*Assumptions!$D$82</f>
        <v>1721.86993708395</v>
      </c>
      <c r="AD53" s="37" t="n">
        <f aca="false">AD33*Pricing!$E$6*Assumptions!$E$154*Assumptions!$D$82</f>
        <v>1870.89925733562</v>
      </c>
      <c r="AE53" s="37" t="n">
        <f aca="false">AE33*Pricing!$E$6*Assumptions!$E$154*Assumptions!$D$82</f>
        <v>2053.81406030627</v>
      </c>
      <c r="AF53" s="37" t="n">
        <f aca="false">AF33*Pricing!$E$6*Assumptions!$E$154*Assumptions!$D$82</f>
        <v>2240.49480406505</v>
      </c>
      <c r="AG53" s="37" t="n">
        <f aca="false">AG33*Pricing!$E$6*Assumptions!$E$154*Assumptions!$D$82</f>
        <v>2430.92642484879</v>
      </c>
      <c r="AH53" s="37" t="n">
        <f aca="false">AH33*Pricing!$E$6*Assumptions!$E$154*Assumptions!$D$82</f>
        <v>2625.09391914939</v>
      </c>
      <c r="AI53" s="37" t="n">
        <f aca="false">AI33*Pricing!$E$6*Assumptions!$E$154*Assumptions!$D$82</f>
        <v>2822.9823434728</v>
      </c>
      <c r="AJ53" s="37" t="n">
        <f aca="false">AJ33*Pricing!$E$6*Assumptions!$E$154*Assumptions!$D$82</f>
        <v>3024.5768140989</v>
      </c>
      <c r="AK53" s="37" t="n">
        <f aca="false">AK33*Pricing!$E$6*Assumptions!$E$154*Assumptions!$D$82</f>
        <v>3229.86250684251</v>
      </c>
      <c r="AL53" s="37" t="n">
        <f aca="false">AL33*Pricing!$E$6*Assumptions!$E$154*Assumptions!$D$82</f>
        <v>3438.82465681514</v>
      </c>
    </row>
    <row r="54" customFormat="false" ht="15" hidden="false" customHeight="false" outlineLevel="0" collapsed="false">
      <c r="A54" s="9" t="s">
        <v>598</v>
      </c>
      <c r="B54" s="2" t="s">
        <v>105</v>
      </c>
      <c r="C54" s="37" t="n">
        <f aca="false">C22*Assumptions!$D$83*Assumptions!$E$155</f>
        <v>0</v>
      </c>
      <c r="D54" s="37" t="n">
        <f aca="false">D22*Assumptions!$D$83*Assumptions!$E$155</f>
        <v>0</v>
      </c>
      <c r="E54" s="37" t="n">
        <f aca="false">E22*Assumptions!$D$83*Assumptions!$E$155</f>
        <v>0</v>
      </c>
      <c r="F54" s="37" t="n">
        <f aca="false">F22*Assumptions!$D$83*Assumptions!$E$155</f>
        <v>0</v>
      </c>
      <c r="G54" s="37" t="n">
        <f aca="false">G22*Assumptions!$D$83*Assumptions!$E$155</f>
        <v>0</v>
      </c>
      <c r="H54" s="37" t="n">
        <f aca="false">H22*Assumptions!$D$83*Assumptions!$E$155</f>
        <v>0</v>
      </c>
      <c r="I54" s="37" t="n">
        <f aca="false">I22*Assumptions!$D$83*Assumptions!$E$155</f>
        <v>0</v>
      </c>
      <c r="J54" s="37" t="n">
        <f aca="false">J22*Assumptions!$D$83*Assumptions!$E$155</f>
        <v>0</v>
      </c>
      <c r="K54" s="37" t="n">
        <f aca="false">K22*Assumptions!$D$83*Assumptions!$E$155</f>
        <v>0</v>
      </c>
      <c r="L54" s="37" t="n">
        <f aca="false">L22*Assumptions!$D$83*Assumptions!$E$155</f>
        <v>0</v>
      </c>
      <c r="M54" s="37" t="n">
        <f aca="false">M22*Assumptions!$D$83*Assumptions!$E$155</f>
        <v>0</v>
      </c>
      <c r="N54" s="37" t="n">
        <f aca="false">N22*Assumptions!$D$83*Assumptions!$E$155</f>
        <v>0</v>
      </c>
      <c r="O54" s="37" t="n">
        <f aca="false">O22*Assumptions!$D$83*Assumptions!$E$155</f>
        <v>0</v>
      </c>
      <c r="P54" s="37" t="n">
        <f aca="false">P22*Assumptions!$D$83*Assumptions!$E$155</f>
        <v>0</v>
      </c>
      <c r="Q54" s="37" t="n">
        <f aca="false">Q22*Assumptions!$D$83*Assumptions!$E$155</f>
        <v>0</v>
      </c>
      <c r="R54" s="37" t="n">
        <f aca="false">R22*Assumptions!$D$83*Assumptions!$E$155</f>
        <v>0</v>
      </c>
      <c r="S54" s="37" t="n">
        <f aca="false">S22*Assumptions!$D$83*Assumptions!$E$155</f>
        <v>0</v>
      </c>
      <c r="T54" s="37" t="n">
        <f aca="false">T22*Assumptions!$D$83*Assumptions!$E$155</f>
        <v>0</v>
      </c>
      <c r="U54" s="37" t="n">
        <f aca="false">U22*Assumptions!$D$83*Assumptions!$E$155</f>
        <v>0</v>
      </c>
      <c r="V54" s="37" t="n">
        <f aca="false">V22*Assumptions!$D$83*Assumptions!$E$155</f>
        <v>0</v>
      </c>
      <c r="W54" s="37" t="n">
        <f aca="false">W22*Assumptions!$D$83*Assumptions!$E$155</f>
        <v>0</v>
      </c>
      <c r="X54" s="37" t="n">
        <f aca="false">X22*Assumptions!$D$83*Assumptions!$E$155</f>
        <v>0</v>
      </c>
      <c r="Y54" s="37" t="n">
        <f aca="false">Y22*Assumptions!$D$83*Assumptions!$E$155</f>
        <v>0</v>
      </c>
      <c r="Z54" s="37" t="n">
        <f aca="false">Z22*Assumptions!$D$83*Assumptions!$E$155</f>
        <v>0</v>
      </c>
      <c r="AA54" s="37" t="n">
        <f aca="false">AA22*Assumptions!$D$83*Assumptions!$E$155</f>
        <v>0</v>
      </c>
      <c r="AB54" s="37" t="n">
        <f aca="false">AB22*Assumptions!$D$83*Assumptions!$E$155</f>
        <v>0</v>
      </c>
      <c r="AC54" s="37" t="n">
        <f aca="false">AC22*Assumptions!$D$83*Assumptions!$E$155</f>
        <v>0</v>
      </c>
      <c r="AD54" s="37" t="n">
        <f aca="false">AD22*Assumptions!$D$83*Assumptions!$E$155</f>
        <v>0</v>
      </c>
      <c r="AE54" s="37" t="n">
        <f aca="false">AE22*Assumptions!$D$83*Assumptions!$E$155</f>
        <v>0</v>
      </c>
      <c r="AF54" s="37" t="n">
        <f aca="false">AF22*Assumptions!$D$83*Assumptions!$E$155</f>
        <v>0</v>
      </c>
      <c r="AG54" s="37" t="n">
        <f aca="false">AG22*Assumptions!$D$83*Assumptions!$E$155</f>
        <v>0</v>
      </c>
      <c r="AH54" s="37" t="n">
        <f aca="false">AH22*Assumptions!$D$83*Assumptions!$E$155</f>
        <v>0</v>
      </c>
      <c r="AI54" s="37" t="n">
        <f aca="false">AI22*Assumptions!$D$83*Assumptions!$E$155</f>
        <v>0</v>
      </c>
      <c r="AJ54" s="37" t="n">
        <f aca="false">AJ22*Assumptions!$D$83*Assumptions!$E$155</f>
        <v>0</v>
      </c>
      <c r="AK54" s="37" t="n">
        <f aca="false">AK22*Assumptions!$D$83*Assumptions!$E$155</f>
        <v>0</v>
      </c>
      <c r="AL54" s="37" t="n">
        <f aca="false">AL22*Assumptions!$D$83*Assumptions!$E$155</f>
        <v>0</v>
      </c>
    </row>
    <row r="55" customFormat="false" ht="15" hidden="false" customHeight="false" outlineLevel="0" collapsed="false">
      <c r="A55" s="9" t="s">
        <v>599</v>
      </c>
      <c r="B55" s="2" t="s">
        <v>105</v>
      </c>
      <c r="C55" s="37" t="n">
        <f aca="false">C23*Assumptions!$D$84*Assumptions!$E$155</f>
        <v>0</v>
      </c>
      <c r="D55" s="37" t="n">
        <f aca="false">D23*Assumptions!$D$84*Assumptions!$E$155</f>
        <v>0</v>
      </c>
      <c r="E55" s="37" t="n">
        <f aca="false">E23*Assumptions!$D$84*Assumptions!$E$155</f>
        <v>0</v>
      </c>
      <c r="F55" s="37" t="n">
        <f aca="false">F23*Assumptions!$D$84*Assumptions!$E$155</f>
        <v>0</v>
      </c>
      <c r="G55" s="37" t="n">
        <f aca="false">G23*Assumptions!$D$84*Assumptions!$E$155</f>
        <v>250</v>
      </c>
      <c r="H55" s="37" t="n">
        <f aca="false">H23*Assumptions!$D$84*Assumptions!$E$155</f>
        <v>315</v>
      </c>
      <c r="I55" s="37" t="n">
        <f aca="false">I23*Assumptions!$D$84*Assumptions!$E$155</f>
        <v>380</v>
      </c>
      <c r="J55" s="37" t="n">
        <f aca="false">J23*Assumptions!$D$84*Assumptions!$E$155</f>
        <v>445</v>
      </c>
      <c r="K55" s="37" t="n">
        <f aca="false">K23*Assumptions!$D$84*Assumptions!$E$155</f>
        <v>510</v>
      </c>
      <c r="L55" s="37" t="n">
        <f aca="false">L23*Assumptions!$D$84*Assumptions!$E$155</f>
        <v>575</v>
      </c>
      <c r="M55" s="37" t="n">
        <f aca="false">M23*Assumptions!$D$84*Assumptions!$E$155</f>
        <v>640</v>
      </c>
      <c r="N55" s="37" t="n">
        <f aca="false">N23*Assumptions!$D$84*Assumptions!$E$155</f>
        <v>705</v>
      </c>
      <c r="O55" s="37" t="n">
        <f aca="false">O23*Assumptions!$D$84*Assumptions!$E$155</f>
        <v>770</v>
      </c>
      <c r="P55" s="37" t="n">
        <f aca="false">P23*Assumptions!$D$84*Assumptions!$E$155</f>
        <v>835</v>
      </c>
      <c r="Q55" s="37" t="n">
        <f aca="false">Q23*Assumptions!$D$84*Assumptions!$E$155</f>
        <v>900</v>
      </c>
      <c r="R55" s="37" t="n">
        <f aca="false">R23*Assumptions!$D$84*Assumptions!$E$155</f>
        <v>965</v>
      </c>
      <c r="S55" s="37" t="n">
        <f aca="false">S23*Assumptions!$D$84*Assumptions!$E$155</f>
        <v>1030</v>
      </c>
      <c r="T55" s="37" t="n">
        <f aca="false">T23*Assumptions!$D$84*Assumptions!$E$155</f>
        <v>1095</v>
      </c>
      <c r="U55" s="37" t="n">
        <f aca="false">U23*Assumptions!$D$84*Assumptions!$E$155</f>
        <v>1160</v>
      </c>
      <c r="V55" s="37" t="n">
        <f aca="false">V23*Assumptions!$D$84*Assumptions!$E$155</f>
        <v>1225</v>
      </c>
      <c r="W55" s="37" t="n">
        <f aca="false">W23*Assumptions!$D$84*Assumptions!$E$155</f>
        <v>1290</v>
      </c>
      <c r="X55" s="37" t="n">
        <f aca="false">X23*Assumptions!$D$84*Assumptions!$E$155</f>
        <v>1355</v>
      </c>
      <c r="Y55" s="37" t="n">
        <f aca="false">Y23*Assumptions!$D$84*Assumptions!$E$155</f>
        <v>1420</v>
      </c>
      <c r="Z55" s="37" t="n">
        <f aca="false">Z23*Assumptions!$D$84*Assumptions!$E$155</f>
        <v>1485</v>
      </c>
      <c r="AA55" s="37" t="n">
        <f aca="false">AA23*Assumptions!$D$84*Assumptions!$E$155</f>
        <v>1550</v>
      </c>
      <c r="AB55" s="37" t="n">
        <f aca="false">AB23*Assumptions!$D$84*Assumptions!$E$155</f>
        <v>1615</v>
      </c>
      <c r="AC55" s="37" t="n">
        <f aca="false">AC23*Assumptions!$D$84*Assumptions!$E$155</f>
        <v>1680</v>
      </c>
      <c r="AD55" s="37" t="n">
        <f aca="false">AD23*Assumptions!$D$84*Assumptions!$E$155</f>
        <v>1745</v>
      </c>
      <c r="AE55" s="37" t="n">
        <f aca="false">AE23*Assumptions!$D$84*Assumptions!$E$155</f>
        <v>1810</v>
      </c>
      <c r="AF55" s="37" t="n">
        <f aca="false">AF23*Assumptions!$D$84*Assumptions!$E$155</f>
        <v>1875</v>
      </c>
      <c r="AG55" s="37" t="n">
        <f aca="false">AG23*Assumptions!$D$84*Assumptions!$E$155</f>
        <v>1940</v>
      </c>
      <c r="AH55" s="37" t="n">
        <f aca="false">AH23*Assumptions!$D$84*Assumptions!$E$155</f>
        <v>2005</v>
      </c>
      <c r="AI55" s="37" t="n">
        <f aca="false">AI23*Assumptions!$D$84*Assumptions!$E$155</f>
        <v>2070</v>
      </c>
      <c r="AJ55" s="37" t="n">
        <f aca="false">AJ23*Assumptions!$D$84*Assumptions!$E$155</f>
        <v>2135</v>
      </c>
      <c r="AK55" s="37" t="n">
        <f aca="false">AK23*Assumptions!$D$84*Assumptions!$E$155</f>
        <v>2200</v>
      </c>
      <c r="AL55" s="37" t="n">
        <f aca="false">AL23*Assumptions!$D$84*Assumptions!$E$155</f>
        <v>2265</v>
      </c>
    </row>
    <row r="56" customFormat="false" ht="15" hidden="false" customHeight="false" outlineLevel="0" collapsed="false">
      <c r="A56" s="9" t="s">
        <v>600</v>
      </c>
      <c r="B56" s="2" t="s">
        <v>105</v>
      </c>
      <c r="C56" s="37" t="n">
        <f aca="false">C24*Assumptions!$D$85*Assumptions!$E$155</f>
        <v>0</v>
      </c>
      <c r="D56" s="37" t="n">
        <f aca="false">D24*Assumptions!$D$85*Assumptions!$E$155</f>
        <v>0</v>
      </c>
      <c r="E56" s="37" t="n">
        <f aca="false">E24*Assumptions!$D$85*Assumptions!$E$155</f>
        <v>0</v>
      </c>
      <c r="F56" s="37" t="n">
        <f aca="false">F24*Assumptions!$D$85*Assumptions!$E$155</f>
        <v>0</v>
      </c>
      <c r="G56" s="37" t="n">
        <f aca="false">G24*Assumptions!$D$85*Assumptions!$E$155</f>
        <v>0</v>
      </c>
      <c r="H56" s="37" t="n">
        <f aca="false">H24*Assumptions!$D$85*Assumptions!$E$155</f>
        <v>450</v>
      </c>
      <c r="I56" s="37" t="n">
        <f aca="false">I24*Assumptions!$D$85*Assumptions!$E$155</f>
        <v>525</v>
      </c>
      <c r="J56" s="37" t="n">
        <f aca="false">J24*Assumptions!$D$85*Assumptions!$E$155</f>
        <v>600</v>
      </c>
      <c r="K56" s="37" t="n">
        <f aca="false">K24*Assumptions!$D$85*Assumptions!$E$155</f>
        <v>675</v>
      </c>
      <c r="L56" s="37" t="n">
        <f aca="false">L24*Assumptions!$D$85*Assumptions!$E$155</f>
        <v>750</v>
      </c>
      <c r="M56" s="37" t="n">
        <f aca="false">M24*Assumptions!$D$85*Assumptions!$E$155</f>
        <v>825</v>
      </c>
      <c r="N56" s="37" t="n">
        <f aca="false">N24*Assumptions!$D$85*Assumptions!$E$155</f>
        <v>900</v>
      </c>
      <c r="O56" s="37" t="n">
        <f aca="false">O24*Assumptions!$D$85*Assumptions!$E$155</f>
        <v>975</v>
      </c>
      <c r="P56" s="37" t="n">
        <f aca="false">P24*Assumptions!$D$85*Assumptions!$E$155</f>
        <v>1050</v>
      </c>
      <c r="Q56" s="37" t="n">
        <f aca="false">Q24*Assumptions!$D$85*Assumptions!$E$155</f>
        <v>1125</v>
      </c>
      <c r="R56" s="37" t="n">
        <f aca="false">R24*Assumptions!$D$85*Assumptions!$E$155</f>
        <v>1200</v>
      </c>
      <c r="S56" s="37" t="n">
        <f aca="false">S24*Assumptions!$D$85*Assumptions!$E$155</f>
        <v>1275</v>
      </c>
      <c r="T56" s="37" t="n">
        <f aca="false">T24*Assumptions!$D$85*Assumptions!$E$155</f>
        <v>1350</v>
      </c>
      <c r="U56" s="37" t="n">
        <f aca="false">U24*Assumptions!$D$85*Assumptions!$E$155</f>
        <v>2025</v>
      </c>
      <c r="V56" s="37" t="n">
        <f aca="false">V24*Assumptions!$D$85*Assumptions!$E$155</f>
        <v>2100</v>
      </c>
      <c r="W56" s="37" t="n">
        <f aca="false">W24*Assumptions!$D$85*Assumptions!$E$155</f>
        <v>2175</v>
      </c>
      <c r="X56" s="37" t="n">
        <f aca="false">X24*Assumptions!$D$85*Assumptions!$E$155</f>
        <v>2250</v>
      </c>
      <c r="Y56" s="37" t="n">
        <f aca="false">Y24*Assumptions!$D$85*Assumptions!$E$155</f>
        <v>2325</v>
      </c>
      <c r="Z56" s="37" t="n">
        <f aca="false">Z24*Assumptions!$D$85*Assumptions!$E$155</f>
        <v>2400</v>
      </c>
      <c r="AA56" s="37" t="n">
        <f aca="false">AA24*Assumptions!$D$85*Assumptions!$E$155</f>
        <v>2475</v>
      </c>
      <c r="AB56" s="37" t="n">
        <f aca="false">AB24*Assumptions!$D$85*Assumptions!$E$155</f>
        <v>2550</v>
      </c>
      <c r="AC56" s="37" t="n">
        <f aca="false">AC24*Assumptions!$D$85*Assumptions!$E$155</f>
        <v>2625</v>
      </c>
      <c r="AD56" s="37" t="n">
        <f aca="false">AD24*Assumptions!$D$85*Assumptions!$E$155</f>
        <v>2700</v>
      </c>
      <c r="AE56" s="37" t="n">
        <f aca="false">AE24*Assumptions!$D$85*Assumptions!$E$155</f>
        <v>3375</v>
      </c>
      <c r="AF56" s="37" t="n">
        <f aca="false">AF24*Assumptions!$D$85*Assumptions!$E$155</f>
        <v>3450</v>
      </c>
      <c r="AG56" s="37" t="n">
        <f aca="false">AG24*Assumptions!$D$85*Assumptions!$E$155</f>
        <v>3525</v>
      </c>
      <c r="AH56" s="37" t="n">
        <f aca="false">AH24*Assumptions!$D$85*Assumptions!$E$155</f>
        <v>3600</v>
      </c>
      <c r="AI56" s="37" t="n">
        <f aca="false">AI24*Assumptions!$D$85*Assumptions!$E$155</f>
        <v>3675</v>
      </c>
      <c r="AJ56" s="37" t="n">
        <f aca="false">AJ24*Assumptions!$D$85*Assumptions!$E$155</f>
        <v>3750</v>
      </c>
      <c r="AK56" s="37" t="n">
        <f aca="false">AK24*Assumptions!$D$85*Assumptions!$E$155</f>
        <v>3825</v>
      </c>
      <c r="AL56" s="37" t="n">
        <f aca="false">AL24*Assumptions!$D$85*Assumptions!$E$155</f>
        <v>3900</v>
      </c>
    </row>
    <row r="57" customFormat="false" ht="15" hidden="false" customHeight="false" outlineLevel="0" collapsed="false">
      <c r="A57" s="9" t="s">
        <v>601</v>
      </c>
      <c r="B57" s="2" t="s">
        <v>105</v>
      </c>
      <c r="C57" s="37" t="n">
        <f aca="false">C25*Assumptions!$D$86*Assumptions!$E$155</f>
        <v>0</v>
      </c>
      <c r="D57" s="37" t="n">
        <f aca="false">D25*Assumptions!$D$86*Assumptions!$E$155</f>
        <v>0</v>
      </c>
      <c r="E57" s="37" t="n">
        <f aca="false">E25*Assumptions!$D$86*Assumptions!$E$155</f>
        <v>0</v>
      </c>
      <c r="F57" s="37" t="n">
        <f aca="false">F25*Assumptions!$D$86*Assumptions!$E$155</f>
        <v>0</v>
      </c>
      <c r="G57" s="37" t="n">
        <f aca="false">G25*Assumptions!$D$86*Assumptions!$E$155</f>
        <v>0</v>
      </c>
      <c r="H57" s="37" t="n">
        <f aca="false">H25*Assumptions!$D$86*Assumptions!$E$155</f>
        <v>0</v>
      </c>
      <c r="I57" s="37" t="n">
        <f aca="false">I25*Assumptions!$D$86*Assumptions!$E$155</f>
        <v>0</v>
      </c>
      <c r="J57" s="37" t="n">
        <f aca="false">J25*Assumptions!$D$86*Assumptions!$E$155</f>
        <v>0</v>
      </c>
      <c r="K57" s="37" t="n">
        <f aca="false">K25*Assumptions!$D$86*Assumptions!$E$155</f>
        <v>0</v>
      </c>
      <c r="L57" s="37" t="n">
        <f aca="false">L25*Assumptions!$D$86*Assumptions!$E$155</f>
        <v>900</v>
      </c>
      <c r="M57" s="37" t="n">
        <f aca="false">M25*Assumptions!$D$86*Assumptions!$E$155</f>
        <v>990</v>
      </c>
      <c r="N57" s="37" t="n">
        <f aca="false">N25*Assumptions!$D$86*Assumptions!$E$155</f>
        <v>1080</v>
      </c>
      <c r="O57" s="37" t="n">
        <f aca="false">O25*Assumptions!$D$86*Assumptions!$E$155</f>
        <v>1170</v>
      </c>
      <c r="P57" s="37" t="n">
        <f aca="false">P25*Assumptions!$D$86*Assumptions!$E$155</f>
        <v>1260</v>
      </c>
      <c r="Q57" s="37" t="n">
        <f aca="false">Q25*Assumptions!$D$86*Assumptions!$E$155</f>
        <v>1350</v>
      </c>
      <c r="R57" s="37" t="n">
        <f aca="false">R25*Assumptions!$D$86*Assumptions!$E$155</f>
        <v>1440</v>
      </c>
      <c r="S57" s="37" t="n">
        <f aca="false">S25*Assumptions!$D$86*Assumptions!$E$155</f>
        <v>1530</v>
      </c>
      <c r="T57" s="37" t="n">
        <f aca="false">T25*Assumptions!$D$86*Assumptions!$E$155</f>
        <v>1620</v>
      </c>
      <c r="U57" s="37" t="n">
        <f aca="false">U25*Assumptions!$D$86*Assumptions!$E$155</f>
        <v>2310</v>
      </c>
      <c r="V57" s="37" t="n">
        <f aca="false">V25*Assumptions!$D$86*Assumptions!$E$155</f>
        <v>2400</v>
      </c>
      <c r="W57" s="37" t="n">
        <f aca="false">W25*Assumptions!$D$86*Assumptions!$E$155</f>
        <v>2490</v>
      </c>
      <c r="X57" s="37" t="n">
        <f aca="false">X25*Assumptions!$D$86*Assumptions!$E$155</f>
        <v>2580</v>
      </c>
      <c r="Y57" s="37" t="n">
        <f aca="false">Y25*Assumptions!$D$86*Assumptions!$E$155</f>
        <v>2670</v>
      </c>
      <c r="Z57" s="37" t="n">
        <f aca="false">Z25*Assumptions!$D$86*Assumptions!$E$155</f>
        <v>2760</v>
      </c>
      <c r="AA57" s="37" t="n">
        <f aca="false">AA25*Assumptions!$D$86*Assumptions!$E$155</f>
        <v>2850</v>
      </c>
      <c r="AB57" s="37" t="n">
        <f aca="false">AB25*Assumptions!$D$86*Assumptions!$E$155</f>
        <v>2940</v>
      </c>
      <c r="AC57" s="37" t="n">
        <f aca="false">AC25*Assumptions!$D$86*Assumptions!$E$155</f>
        <v>3030</v>
      </c>
      <c r="AD57" s="37" t="n">
        <f aca="false">AD25*Assumptions!$D$86*Assumptions!$E$155</f>
        <v>3120</v>
      </c>
      <c r="AE57" s="37" t="n">
        <f aca="false">AE25*Assumptions!$D$86*Assumptions!$E$155</f>
        <v>3810</v>
      </c>
      <c r="AF57" s="37" t="n">
        <f aca="false">AF25*Assumptions!$D$86*Assumptions!$E$155</f>
        <v>3900</v>
      </c>
      <c r="AG57" s="37" t="n">
        <f aca="false">AG25*Assumptions!$D$86*Assumptions!$E$155</f>
        <v>3990</v>
      </c>
      <c r="AH57" s="37" t="n">
        <f aca="false">AH25*Assumptions!$D$86*Assumptions!$E$155</f>
        <v>4080</v>
      </c>
      <c r="AI57" s="37" t="n">
        <f aca="false">AI25*Assumptions!$D$86*Assumptions!$E$155</f>
        <v>4170</v>
      </c>
      <c r="AJ57" s="37" t="n">
        <f aca="false">AJ25*Assumptions!$D$86*Assumptions!$E$155</f>
        <v>4260</v>
      </c>
      <c r="AK57" s="37" t="n">
        <f aca="false">AK25*Assumptions!$D$86*Assumptions!$E$155</f>
        <v>4350</v>
      </c>
      <c r="AL57" s="37" t="n">
        <f aca="false">AL25*Assumptions!$D$86*Assumptions!$E$155</f>
        <v>4440</v>
      </c>
    </row>
    <row r="58" customFormat="false" ht="15" hidden="false" customHeight="false" outlineLevel="0" collapsed="false">
      <c r="A58" s="9" t="s">
        <v>602</v>
      </c>
      <c r="B58" s="2" t="s">
        <v>603</v>
      </c>
      <c r="C58" s="41" t="n">
        <f aca="false">C32*Assumptions!$E$156/12</f>
        <v>0</v>
      </c>
      <c r="D58" s="41" t="n">
        <f aca="false">D32*Assumptions!$E$156/12</f>
        <v>0</v>
      </c>
      <c r="E58" s="41" t="n">
        <f aca="false">E32*Assumptions!$E$156/12</f>
        <v>0</v>
      </c>
      <c r="F58" s="41" t="n">
        <f aca="false">F32*Assumptions!$E$156/12</f>
        <v>0</v>
      </c>
      <c r="G58" s="41" t="n">
        <f aca="false">G32*Assumptions!$E$156/12</f>
        <v>0</v>
      </c>
      <c r="H58" s="41" t="n">
        <f aca="false">H32*Assumptions!$E$156/12</f>
        <v>0.0375</v>
      </c>
      <c r="I58" s="41" t="n">
        <f aca="false">I32*Assumptions!$E$156/12</f>
        <v>0.08096875</v>
      </c>
      <c r="J58" s="41" t="n">
        <f aca="false">J32*Assumptions!$E$156/12</f>
        <v>0.130361484375</v>
      </c>
      <c r="K58" s="41" t="n">
        <f aca="false">K32*Assumptions!$E$156/12</f>
        <v>0.185633773242187</v>
      </c>
      <c r="L58" s="41" t="n">
        <f aca="false">L32*Assumptions!$E$156/12</f>
        <v>0.246741519942871</v>
      </c>
      <c r="M58" s="41" t="n">
        <f aca="false">M32*Assumptions!$E$156/12</f>
        <v>0.3136409585433</v>
      </c>
      <c r="N58" s="41" t="n">
        <f aca="false">N32*Assumptions!$E$156/12</f>
        <v>0.386288651354225</v>
      </c>
      <c r="O58" s="41" t="n">
        <f aca="false">O32*Assumptions!$E$156/12</f>
        <v>0.464641486469068</v>
      </c>
      <c r="P58" s="41" t="n">
        <f aca="false">P32*Assumptions!$E$156/12</f>
        <v>0.54865667532055</v>
      </c>
      <c r="Q58" s="41" t="n">
        <f aca="false">Q32*Assumptions!$E$156/12</f>
        <v>0.638291750255646</v>
      </c>
      <c r="R58" s="41" t="n">
        <f aca="false">R32*Assumptions!$E$156/12</f>
        <v>0.733504562128729</v>
      </c>
      <c r="S58" s="41" t="n">
        <f aca="false">S32*Assumptions!$E$156/12</f>
        <v>0.834253277912763</v>
      </c>
      <c r="T58" s="41" t="n">
        <f aca="false">T32*Assumptions!$E$156/12</f>
        <v>0.940496378328417</v>
      </c>
      <c r="U58" s="41" t="n">
        <f aca="false">U32*Assumptions!$E$156/12</f>
        <v>1.10219265549095</v>
      </c>
      <c r="V58" s="41" t="n">
        <f aca="false">V32*Assumptions!$E$156/12</f>
        <v>1.26892621057477</v>
      </c>
      <c r="W58" s="41" t="n">
        <f aca="false">W32*Assumptions!$E$156/12</f>
        <v>1.44065926399546</v>
      </c>
      <c r="X58" s="41" t="n">
        <f aca="false">X32*Assumptions!$E$156/12</f>
        <v>1.6173543195155</v>
      </c>
      <c r="Y58" s="41" t="n">
        <f aca="false">Y32*Assumptions!$E$156/12</f>
        <v>1.79897416211913</v>
      </c>
      <c r="Z58" s="41" t="n">
        <f aca="false">Z32*Assumptions!$E$156/12</f>
        <v>1.98548185590324</v>
      </c>
      <c r="AA58" s="41" t="n">
        <f aca="false">AA32*Assumptions!$E$156/12</f>
        <v>2.17684074198396</v>
      </c>
      <c r="AB58" s="41" t="n">
        <f aca="false">AB32*Assumptions!$E$156/12</f>
        <v>2.37301443641908</v>
      </c>
      <c r="AC58" s="41" t="n">
        <f aca="false">AC32*Assumptions!$E$156/12</f>
        <v>2.57396682814594</v>
      </c>
      <c r="AD58" s="41" t="n">
        <f aca="false">AD32*Assumptions!$E$156/12</f>
        <v>2.77966207693484</v>
      </c>
      <c r="AE58" s="41" t="n">
        <f aca="false">AE32*Assumptions!$E$156/12</f>
        <v>3.04006461135783</v>
      </c>
      <c r="AF58" s="41" t="n">
        <f aca="false">AF32*Assumptions!$E$156/12</f>
        <v>3.30476412677265</v>
      </c>
      <c r="AG58" s="41" t="n">
        <f aca="false">AG32*Assumptions!$E$156/12</f>
        <v>3.57372839582185</v>
      </c>
      <c r="AH58" s="41" t="n">
        <f aca="false">AH32*Assumptions!$E$156/12</f>
        <v>3.84692543285319</v>
      </c>
      <c r="AI58" s="41" t="n">
        <f aca="false">AI32*Assumptions!$E$156/12</f>
        <v>4.12432349210679</v>
      </c>
      <c r="AJ58" s="41" t="n">
        <f aca="false">AJ32*Assumptions!$E$156/12</f>
        <v>4.40589106591599</v>
      </c>
      <c r="AK58" s="41" t="n">
        <f aca="false">AK32*Assumptions!$E$156/12</f>
        <v>4.69159688292162</v>
      </c>
      <c r="AL58" s="41" t="n">
        <f aca="false">AL32*Assumptions!$E$156/12</f>
        <v>4.98140990629971</v>
      </c>
    </row>
    <row r="59" customFormat="false" ht="15" hidden="false" customHeight="false" outlineLevel="0" collapsed="false">
      <c r="A59" s="9" t="s">
        <v>604</v>
      </c>
      <c r="B59" s="2" t="s">
        <v>105</v>
      </c>
      <c r="C59" s="37" t="n">
        <f aca="false">C58*Assumptions!$D$48*Assumptions!$D$87</f>
        <v>0</v>
      </c>
      <c r="D59" s="37" t="n">
        <f aca="false">D58*Assumptions!$D$48*Assumptions!$D$87</f>
        <v>0</v>
      </c>
      <c r="E59" s="37" t="n">
        <f aca="false">E58*Assumptions!$D$48*Assumptions!$D$87</f>
        <v>0</v>
      </c>
      <c r="F59" s="37" t="n">
        <f aca="false">F58*Assumptions!$D$48*Assumptions!$D$87</f>
        <v>0</v>
      </c>
      <c r="G59" s="37" t="n">
        <f aca="false">G58*Assumptions!$D$48*Assumptions!$D$87</f>
        <v>0</v>
      </c>
      <c r="H59" s="37" t="n">
        <f aca="false">H58*Assumptions!$D$48*Assumptions!$D$87</f>
        <v>78.75</v>
      </c>
      <c r="I59" s="37" t="n">
        <f aca="false">I58*Assumptions!$D$48*Assumptions!$D$87</f>
        <v>170.034375</v>
      </c>
      <c r="J59" s="37" t="n">
        <f aca="false">J58*Assumptions!$D$48*Assumptions!$D$87</f>
        <v>273.7591171875</v>
      </c>
      <c r="K59" s="37" t="n">
        <f aca="false">K58*Assumptions!$D$48*Assumptions!$D$87</f>
        <v>389.830923808594</v>
      </c>
      <c r="L59" s="37" t="n">
        <f aca="false">L58*Assumptions!$D$48*Assumptions!$D$87</f>
        <v>518.157191880029</v>
      </c>
      <c r="M59" s="37" t="n">
        <f aca="false">M58*Assumptions!$D$48*Assumptions!$D$87</f>
        <v>658.646012940929</v>
      </c>
      <c r="N59" s="37" t="n">
        <f aca="false">N58*Assumptions!$D$48*Assumptions!$D$87</f>
        <v>811.206167843872</v>
      </c>
      <c r="O59" s="37" t="n">
        <f aca="false">O58*Assumptions!$D$48*Assumptions!$D$87</f>
        <v>975.747121585043</v>
      </c>
      <c r="P59" s="37" t="n">
        <f aca="false">P58*Assumptions!$D$48*Assumptions!$D$87</f>
        <v>1152.17901817316</v>
      </c>
      <c r="Q59" s="37" t="n">
        <f aca="false">Q58*Assumptions!$D$48*Assumptions!$D$87</f>
        <v>1340.41267553686</v>
      </c>
      <c r="R59" s="37" t="n">
        <f aca="false">R58*Assumptions!$D$48*Assumptions!$D$87</f>
        <v>1540.35958047033</v>
      </c>
      <c r="S59" s="37" t="n">
        <f aca="false">S58*Assumptions!$D$48*Assumptions!$D$87</f>
        <v>1751.9318836168</v>
      </c>
      <c r="T59" s="37" t="n">
        <f aca="false">T58*Assumptions!$D$48*Assumptions!$D$87</f>
        <v>1975.04239448968</v>
      </c>
      <c r="U59" s="37" t="n">
        <f aca="false">U58*Assumptions!$D$48*Assumptions!$D$87</f>
        <v>2314.604576531</v>
      </c>
      <c r="V59" s="37" t="n">
        <f aca="false">V58*Assumptions!$D$48*Assumptions!$D$87</f>
        <v>2664.74504220702</v>
      </c>
      <c r="W59" s="37" t="n">
        <f aca="false">W58*Assumptions!$D$48*Assumptions!$D$87</f>
        <v>3025.38445439047</v>
      </c>
      <c r="X59" s="37" t="n">
        <f aca="false">X58*Assumptions!$D$48*Assumptions!$D$87</f>
        <v>3396.44407098254</v>
      </c>
      <c r="Y59" s="37" t="n">
        <f aca="false">Y58*Assumptions!$D$48*Assumptions!$D$87</f>
        <v>3777.84574045017</v>
      </c>
      <c r="Z59" s="37" t="n">
        <f aca="false">Z58*Assumptions!$D$48*Assumptions!$D$87</f>
        <v>4169.5118973968</v>
      </c>
      <c r="AA59" s="37" t="n">
        <f aca="false">AA58*Assumptions!$D$48*Assumptions!$D$87</f>
        <v>4571.36555816632</v>
      </c>
      <c r="AB59" s="37" t="n">
        <f aca="false">AB58*Assumptions!$D$48*Assumptions!$D$87</f>
        <v>4983.33031648007</v>
      </c>
      <c r="AC59" s="37" t="n">
        <f aca="false">AC58*Assumptions!$D$48*Assumptions!$D$87</f>
        <v>5405.33033910647</v>
      </c>
      <c r="AD59" s="37" t="n">
        <f aca="false">AD58*Assumptions!$D$48*Assumptions!$D$87</f>
        <v>5837.29036156317</v>
      </c>
      <c r="AE59" s="37" t="n">
        <f aca="false">AE58*Assumptions!$D$48*Assumptions!$D$87</f>
        <v>6384.13568385145</v>
      </c>
      <c r="AF59" s="37" t="n">
        <f aca="false">AF58*Assumptions!$D$48*Assumptions!$D$87</f>
        <v>6940.00466622256</v>
      </c>
      <c r="AG59" s="37" t="n">
        <f aca="false">AG58*Assumptions!$D$48*Assumptions!$D$87</f>
        <v>7504.82963122589</v>
      </c>
      <c r="AH59" s="37" t="n">
        <f aca="false">AH58*Assumptions!$D$48*Assumptions!$D$87</f>
        <v>8078.5434089917</v>
      </c>
      <c r="AI59" s="37" t="n">
        <f aca="false">AI58*Assumptions!$D$48*Assumptions!$D$87</f>
        <v>8661.07933342426</v>
      </c>
      <c r="AJ59" s="37" t="n">
        <f aca="false">AJ58*Assumptions!$D$48*Assumptions!$D$87</f>
        <v>9252.37123842358</v>
      </c>
      <c r="AK59" s="37" t="n">
        <f aca="false">AK58*Assumptions!$D$48*Assumptions!$D$87</f>
        <v>9852.3534541354</v>
      </c>
      <c r="AL59" s="37" t="n">
        <f aca="false">AL58*Assumptions!$D$48*Assumptions!$D$87</f>
        <v>10460.9608032294</v>
      </c>
    </row>
    <row r="60" customFormat="false" ht="15" hidden="false" customHeight="false" outlineLevel="0" collapsed="false">
      <c r="A60" s="9" t="s">
        <v>605</v>
      </c>
      <c r="B60" s="2" t="s">
        <v>105</v>
      </c>
      <c r="C60" s="37" t="n">
        <f aca="false">C43</f>
        <v>0</v>
      </c>
      <c r="D60" s="37" t="n">
        <f aca="false">D43</f>
        <v>0</v>
      </c>
      <c r="E60" s="37" t="n">
        <f aca="false">E43</f>
        <v>0</v>
      </c>
      <c r="F60" s="37" t="n">
        <f aca="false">F43</f>
        <v>353.875</v>
      </c>
      <c r="G60" s="37" t="n">
        <f aca="false">G43</f>
        <v>988.5307375</v>
      </c>
      <c r="H60" s="37" t="n">
        <f aca="false">H43</f>
        <v>2161.09821593875</v>
      </c>
      <c r="I60" s="37" t="n">
        <f aca="false">I43</f>
        <v>3515.61078533212</v>
      </c>
      <c r="J60" s="37" t="n">
        <f aca="false">J43</f>
        <v>5050.58532443617</v>
      </c>
      <c r="K60" s="37" t="n">
        <f aca="false">K43</f>
        <v>6764.57225159824</v>
      </c>
      <c r="L60" s="37" t="n">
        <f aca="false">L43</f>
        <v>9316.15492600482</v>
      </c>
      <c r="M60" s="37" t="n">
        <f aca="false">M43</f>
        <v>12117.1694608392</v>
      </c>
      <c r="N60" s="37" t="n">
        <f aca="false">N43</f>
        <v>15167.0643792852</v>
      </c>
      <c r="O60" s="37" t="n">
        <f aca="false">O43</f>
        <v>18465.328182895</v>
      </c>
      <c r="P60" s="37" t="n">
        <f aca="false">P43</f>
        <v>22011.4888949275</v>
      </c>
      <c r="Q60" s="37" t="n">
        <f aca="false">Q43</f>
        <v>25805.1136157147</v>
      </c>
      <c r="R60" s="37" t="n">
        <f aca="false">R43</f>
        <v>29845.8080898474</v>
      </c>
      <c r="S60" s="37" t="n">
        <f aca="false">S43</f>
        <v>34133.2162849765</v>
      </c>
      <c r="T60" s="37" t="n">
        <f aca="false">T43</f>
        <v>38667.0199820272</v>
      </c>
      <c r="U60" s="37" t="n">
        <f aca="false">U43</f>
        <v>44456.558376634</v>
      </c>
      <c r="V60" s="37" t="n">
        <f aca="false">V43</f>
        <v>50499.2933158026</v>
      </c>
      <c r="W60" s="37" t="n">
        <f aca="false">W43</f>
        <v>56795.081411624</v>
      </c>
      <c r="X60" s="37" t="n">
        <f aca="false">X43</f>
        <v>63343.8161855888</v>
      </c>
      <c r="Y60" s="37" t="n">
        <f aca="false">Y43</f>
        <v>70145.4277195471</v>
      </c>
      <c r="Z60" s="37" t="n">
        <f aca="false">Z43</f>
        <v>77199.8823170435</v>
      </c>
      <c r="AA60" s="37" t="n">
        <f aca="false">AA43</f>
        <v>84507.1821748584</v>
      </c>
      <c r="AB60" s="37" t="n">
        <f aca="false">AB43</f>
        <v>92067.3650645889</v>
      </c>
      <c r="AC60" s="37" t="n">
        <f aca="false">AC43</f>
        <v>99880.5040241079</v>
      </c>
      <c r="AD60" s="37" t="n">
        <f aca="false">AD43</f>
        <v>107946.707058742</v>
      </c>
      <c r="AE60" s="37" t="n">
        <f aca="false">AE43</f>
        <v>117275.736852016</v>
      </c>
      <c r="AF60" s="37" t="n">
        <f aca="false">AF43</f>
        <v>126865.47611001</v>
      </c>
      <c r="AG60" s="37" t="n">
        <f aca="false">AG43</f>
        <v>136716.199781195</v>
      </c>
      <c r="AH60" s="37" t="n">
        <f aca="false">AH43</f>
        <v>146814.062305334</v>
      </c>
      <c r="AI60" s="37" t="n">
        <f aca="false">AI43</f>
        <v>157110.163538028</v>
      </c>
      <c r="AJ60" s="37" t="n">
        <f aca="false">AJ43</f>
        <v>167606.218887981</v>
      </c>
      <c r="AK60" s="37" t="n">
        <f aca="false">AK43</f>
        <v>178303.949318153</v>
      </c>
      <c r="AL60" s="37" t="n">
        <f aca="false">AL43</f>
        <v>189205.081721715</v>
      </c>
    </row>
    <row r="61" customFormat="false" ht="15" hidden="false" customHeight="false" outlineLevel="0" collapsed="false">
      <c r="A61" s="9" t="s">
        <v>606</v>
      </c>
      <c r="B61" s="2" t="s">
        <v>105</v>
      </c>
      <c r="C61" s="37" t="n">
        <f aca="false">C50+C51+C52+C53</f>
        <v>0</v>
      </c>
      <c r="D61" s="37" t="n">
        <f aca="false">D50+D51+D52+D53</f>
        <v>0</v>
      </c>
      <c r="E61" s="37" t="n">
        <f aca="false">E50+E51+E52+E53</f>
        <v>0</v>
      </c>
      <c r="F61" s="37" t="n">
        <f aca="false">F50+F51+F52+F53</f>
        <v>41.6</v>
      </c>
      <c r="G61" s="37" t="n">
        <f aca="false">G50+G51+G52+G53</f>
        <v>118.208</v>
      </c>
      <c r="H61" s="37" t="n">
        <f aca="false">H50+H51+H52+H53</f>
        <v>239.9252</v>
      </c>
      <c r="I61" s="37" t="n">
        <f aca="false">I50+I51+I52+I53</f>
        <v>379.577582</v>
      </c>
      <c r="J61" s="37" t="n">
        <f aca="false">J50+J51+J52+J53</f>
        <v>536.83939721</v>
      </c>
      <c r="K61" s="37" t="n">
        <f aca="false">K50+K51+K52+K53</f>
        <v>711.39170099705</v>
      </c>
      <c r="L61" s="37" t="n">
        <f aca="false">L50+L51+L52+L53</f>
        <v>947.898201224684</v>
      </c>
      <c r="M61" s="37" t="n">
        <f aca="false">M50+M51+M52+M53</f>
        <v>1205.39480607761</v>
      </c>
      <c r="N61" s="37" t="n">
        <f aca="false">N50+N51+N52+N53</f>
        <v>1483.56481650618</v>
      </c>
      <c r="O61" s="37" t="n">
        <f aca="false">O50+O51+O52+O53</f>
        <v>1782.09782064623</v>
      </c>
      <c r="P61" s="37" t="n">
        <f aca="false">P50+P51+P52+P53</f>
        <v>2100.68955534202</v>
      </c>
      <c r="Q61" s="37" t="n">
        <f aca="false">Q50+Q51+Q52+Q53</f>
        <v>2439.04177084098</v>
      </c>
      <c r="R61" s="37" t="n">
        <f aca="false">R50+R51+R52+R53</f>
        <v>2796.86209858633</v>
      </c>
      <c r="S61" s="37" t="n">
        <f aca="false">S50+S51+S52+S53</f>
        <v>3173.86392203509</v>
      </c>
      <c r="T61" s="37" t="n">
        <f aca="false">T50+T51+T52+T53</f>
        <v>3569.76625043114</v>
      </c>
      <c r="U61" s="37" t="n">
        <f aca="false">U50+U51+U52+U53</f>
        <v>4056.90159546416</v>
      </c>
      <c r="V61" s="37" t="n">
        <f aca="false">V50+V51+V52+V53</f>
        <v>4561.95223474735</v>
      </c>
      <c r="W61" s="37" t="n">
        <f aca="false">W50+W51+W52+W53</f>
        <v>5084.65620339216</v>
      </c>
      <c r="X61" s="37" t="n">
        <f aca="false">X50+X51+X52+X53</f>
        <v>5624.75666568286</v>
      </c>
      <c r="Y61" s="37" t="n">
        <f aca="false">Y50+Y51+Y52+Y53</f>
        <v>6182.00180276489</v>
      </c>
      <c r="Z61" s="37" t="n">
        <f aca="false">Z50+Z51+Z52+Z53</f>
        <v>6756.14470289723</v>
      </c>
      <c r="AA61" s="37" t="n">
        <f aca="false">AA50+AA51+AA52+AA53</f>
        <v>7346.94325420905</v>
      </c>
      <c r="AB61" s="37" t="n">
        <f aca="false">AB50+AB51+AB52+AB53</f>
        <v>7954.16003990239</v>
      </c>
      <c r="AC61" s="37" t="n">
        <f aca="false">AC50+AC51+AC52+AC53</f>
        <v>8577.56223584398</v>
      </c>
      <c r="AD61" s="37" t="n">
        <f aca="false">AD50+AD51+AD52+AD53</f>
        <v>9216.92151049045</v>
      </c>
      <c r="AE61" s="37" t="n">
        <f aca="false">AE50+AE51+AE52+AE53</f>
        <v>9944.62192709288</v>
      </c>
      <c r="AF61" s="37" t="n">
        <f aca="false">AF50+AF51+AF52+AF53</f>
        <v>10687.3962321275</v>
      </c>
      <c r="AG61" s="37" t="n">
        <f aca="false">AG50+AG51+AG52+AG53</f>
        <v>11445.0318712451</v>
      </c>
      <c r="AH61" s="37" t="n">
        <f aca="false">AH50+AH51+AH52+AH53</f>
        <v>12215.6563847548</v>
      </c>
      <c r="AI61" s="37" t="n">
        <f aca="false">AI50+AI51+AI52+AI53</f>
        <v>12993.2829185709</v>
      </c>
      <c r="AJ61" s="37" t="n">
        <f aca="false">AJ50+AJ51+AJ52+AJ53</f>
        <v>13777.8970971845</v>
      </c>
      <c r="AK61" s="37" t="n">
        <f aca="false">AK50+AK51+AK52+AK53</f>
        <v>14569.4837246134</v>
      </c>
      <c r="AL61" s="37" t="n">
        <f aca="false">AL50+AL51+AL52+AL53</f>
        <v>15368.0268176349</v>
      </c>
    </row>
    <row r="62" customFormat="false" ht="15" hidden="false" customHeight="false" outlineLevel="0" collapsed="false">
      <c r="A62" s="9" t="s">
        <v>607</v>
      </c>
      <c r="B62" s="2" t="s">
        <v>105</v>
      </c>
      <c r="C62" s="37" t="n">
        <f aca="false">C54+C55+C56+C57+C59</f>
        <v>0</v>
      </c>
      <c r="D62" s="37" t="n">
        <f aca="false">D54+D55+D56+D57+D59</f>
        <v>0</v>
      </c>
      <c r="E62" s="37" t="n">
        <f aca="false">E54+E55+E56+E57+E59</f>
        <v>0</v>
      </c>
      <c r="F62" s="37" t="n">
        <f aca="false">F54+F55+F56+F57+F59</f>
        <v>0</v>
      </c>
      <c r="G62" s="37" t="n">
        <f aca="false">G54+G55+G56+G57+G59</f>
        <v>250</v>
      </c>
      <c r="H62" s="37" t="n">
        <f aca="false">H54+H55+H56+H57+H59</f>
        <v>843.75</v>
      </c>
      <c r="I62" s="37" t="n">
        <f aca="false">I54+I55+I56+I57+I59</f>
        <v>1075.034375</v>
      </c>
      <c r="J62" s="37" t="n">
        <f aca="false">J54+J55+J56+J57+J59</f>
        <v>1318.7591171875</v>
      </c>
      <c r="K62" s="37" t="n">
        <f aca="false">K54+K55+K56+K57+K59</f>
        <v>1574.83092380859</v>
      </c>
      <c r="L62" s="37" t="n">
        <f aca="false">L54+L55+L56+L57+L59</f>
        <v>2743.15719188003</v>
      </c>
      <c r="M62" s="37" t="n">
        <f aca="false">M54+M55+M56+M57+M59</f>
        <v>3113.64601294093</v>
      </c>
      <c r="N62" s="37" t="n">
        <f aca="false">N54+N55+N56+N57+N59</f>
        <v>3496.20616784387</v>
      </c>
      <c r="O62" s="37" t="n">
        <f aca="false">O54+O55+O56+O57+O59</f>
        <v>3890.74712158504</v>
      </c>
      <c r="P62" s="37" t="n">
        <f aca="false">P54+P55+P56+P57+P59</f>
        <v>4297.17901817316</v>
      </c>
      <c r="Q62" s="37" t="n">
        <f aca="false">Q54+Q55+Q56+Q57+Q59</f>
        <v>4715.41267553686</v>
      </c>
      <c r="R62" s="37" t="n">
        <f aca="false">R54+R55+R56+R57+R59</f>
        <v>5145.35958047033</v>
      </c>
      <c r="S62" s="37" t="n">
        <f aca="false">S54+S55+S56+S57+S59</f>
        <v>5586.9318836168</v>
      </c>
      <c r="T62" s="37" t="n">
        <f aca="false">T54+T55+T56+T57+T59</f>
        <v>6040.04239448968</v>
      </c>
      <c r="U62" s="37" t="n">
        <f aca="false">U54+U55+U56+U57+U59</f>
        <v>7809.604576531</v>
      </c>
      <c r="V62" s="37" t="n">
        <f aca="false">V54+V55+V56+V57+V59</f>
        <v>8389.74504220702</v>
      </c>
      <c r="W62" s="37" t="n">
        <f aca="false">W54+W55+W56+W57+W59</f>
        <v>8980.38445439047</v>
      </c>
      <c r="X62" s="37" t="n">
        <f aca="false">X54+X55+X56+X57+X59</f>
        <v>9581.44407098254</v>
      </c>
      <c r="Y62" s="37" t="n">
        <f aca="false">Y54+Y55+Y56+Y57+Y59</f>
        <v>10192.8457404502</v>
      </c>
      <c r="Z62" s="37" t="n">
        <f aca="false">Z54+Z55+Z56+Z57+Z59</f>
        <v>10814.5118973968</v>
      </c>
      <c r="AA62" s="37" t="n">
        <f aca="false">AA54+AA55+AA56+AA57+AA59</f>
        <v>11446.3655581663</v>
      </c>
      <c r="AB62" s="37" t="n">
        <f aca="false">AB54+AB55+AB56+AB57+AB59</f>
        <v>12088.3303164801</v>
      </c>
      <c r="AC62" s="37" t="n">
        <f aca="false">AC54+AC55+AC56+AC57+AC59</f>
        <v>12740.3303391065</v>
      </c>
      <c r="AD62" s="37" t="n">
        <f aca="false">AD54+AD55+AD56+AD57+AD59</f>
        <v>13402.2903615632</v>
      </c>
      <c r="AE62" s="37" t="n">
        <f aca="false">AE54+AE55+AE56+AE57+AE59</f>
        <v>15379.1356838514</v>
      </c>
      <c r="AF62" s="37" t="n">
        <f aca="false">AF54+AF55+AF56+AF57+AF59</f>
        <v>16165.0046662226</v>
      </c>
      <c r="AG62" s="37" t="n">
        <f aca="false">AG54+AG55+AG56+AG57+AG59</f>
        <v>16959.8296312259</v>
      </c>
      <c r="AH62" s="37" t="n">
        <f aca="false">AH54+AH55+AH56+AH57+AH59</f>
        <v>17763.5434089917</v>
      </c>
      <c r="AI62" s="37" t="n">
        <f aca="false">AI54+AI55+AI56+AI57+AI59</f>
        <v>18576.0793334243</v>
      </c>
      <c r="AJ62" s="37" t="n">
        <f aca="false">AJ54+AJ55+AJ56+AJ57+AJ59</f>
        <v>19397.3712384236</v>
      </c>
      <c r="AK62" s="37" t="n">
        <f aca="false">AK54+AK55+AK56+AK57+AK59</f>
        <v>20227.3534541354</v>
      </c>
      <c r="AL62" s="37" t="n">
        <f aca="false">AL54+AL55+AL56+AL57+AL59</f>
        <v>21065.9608032294</v>
      </c>
    </row>
    <row r="63" customFormat="false" ht="15" hidden="false" customHeight="false" outlineLevel="0" collapsed="false">
      <c r="A63" s="3" t="s">
        <v>608</v>
      </c>
      <c r="B63" s="2" t="s">
        <v>105</v>
      </c>
      <c r="C63" s="45" t="n">
        <f aca="false">C60+C61+C62</f>
        <v>0</v>
      </c>
      <c r="D63" s="45" t="n">
        <f aca="false">D60+D61+D62</f>
        <v>0</v>
      </c>
      <c r="E63" s="45" t="n">
        <f aca="false">E60+E61+E62</f>
        <v>0</v>
      </c>
      <c r="F63" s="45" t="n">
        <f aca="false">F60+F61+F62</f>
        <v>395.475</v>
      </c>
      <c r="G63" s="45" t="n">
        <f aca="false">G60+G61+G62</f>
        <v>1356.7387375</v>
      </c>
      <c r="H63" s="45" t="n">
        <f aca="false">H60+H61+H62</f>
        <v>3244.77341593875</v>
      </c>
      <c r="I63" s="45" t="n">
        <f aca="false">I60+I61+I62</f>
        <v>4970.22274233212</v>
      </c>
      <c r="J63" s="45" t="n">
        <f aca="false">J60+J61+J62</f>
        <v>6906.18383883367</v>
      </c>
      <c r="K63" s="45" t="n">
        <f aca="false">K60+K61+K62</f>
        <v>9050.79487640389</v>
      </c>
      <c r="L63" s="45" t="n">
        <f aca="false">L60+L61+L62</f>
        <v>13007.2103191095</v>
      </c>
      <c r="M63" s="45" t="n">
        <f aca="false">M60+M61+M62</f>
        <v>16436.2102798577</v>
      </c>
      <c r="N63" s="45" t="n">
        <f aca="false">N60+N61+N62</f>
        <v>20146.8353636352</v>
      </c>
      <c r="O63" s="45" t="n">
        <f aca="false">O60+O61+O62</f>
        <v>24138.1731251263</v>
      </c>
      <c r="P63" s="45" t="n">
        <f aca="false">P60+P61+P62</f>
        <v>28409.3574684427</v>
      </c>
      <c r="Q63" s="45" t="n">
        <f aca="false">Q60+Q61+Q62</f>
        <v>32959.5680620925</v>
      </c>
      <c r="R63" s="45" t="n">
        <f aca="false">R60+R61+R62</f>
        <v>37788.0297689041</v>
      </c>
      <c r="S63" s="45" t="n">
        <f aca="false">S60+S61+S62</f>
        <v>42894.0120906284</v>
      </c>
      <c r="T63" s="45" t="n">
        <f aca="false">T60+T61+T62</f>
        <v>48276.828626948</v>
      </c>
      <c r="U63" s="45" t="n">
        <f aca="false">U60+U61+U62</f>
        <v>56323.0645486292</v>
      </c>
      <c r="V63" s="45" t="n">
        <f aca="false">V60+V61+V62</f>
        <v>63450.990592757</v>
      </c>
      <c r="W63" s="45" t="n">
        <f aca="false">W60+W61+W62</f>
        <v>70860.1220694066</v>
      </c>
      <c r="X63" s="45" t="n">
        <f aca="false">X60+X61+X62</f>
        <v>78550.0169222543</v>
      </c>
      <c r="Y63" s="45" t="n">
        <f aca="false">Y60+Y61+Y62</f>
        <v>86520.2752627622</v>
      </c>
      <c r="Z63" s="45" t="n">
        <f aca="false">Z60+Z61+Z62</f>
        <v>94770.5389173375</v>
      </c>
      <c r="AA63" s="45" t="n">
        <f aca="false">AA60+AA61+AA62</f>
        <v>103300.490987234</v>
      </c>
      <c r="AB63" s="45" t="n">
        <f aca="false">AB60+AB61+AB62</f>
        <v>112109.855420971</v>
      </c>
      <c r="AC63" s="45" t="n">
        <f aca="false">AC60+AC61+AC62</f>
        <v>121198.396599058</v>
      </c>
      <c r="AD63" s="45" t="n">
        <f aca="false">AD60+AD61+AD62</f>
        <v>130565.918930796</v>
      </c>
      <c r="AE63" s="45" t="n">
        <f aca="false">AE60+AE61+AE62</f>
        <v>142599.49446296</v>
      </c>
      <c r="AF63" s="45" t="n">
        <f aca="false">AF60+AF61+AF62</f>
        <v>153717.87700836</v>
      </c>
      <c r="AG63" s="45" t="n">
        <f aca="false">AG60+AG61+AG62</f>
        <v>165121.061283666</v>
      </c>
      <c r="AH63" s="45" t="n">
        <f aca="false">AH60+AH61+AH62</f>
        <v>176793.262099081</v>
      </c>
      <c r="AI63" s="45" t="n">
        <f aca="false">AI60+AI61+AI62</f>
        <v>188679.525790023</v>
      </c>
      <c r="AJ63" s="45" t="n">
        <f aca="false">AJ60+AJ61+AJ62</f>
        <v>200781.487223589</v>
      </c>
      <c r="AK63" s="45" t="n">
        <f aca="false">AK60+AK61+AK62</f>
        <v>213100.786496902</v>
      </c>
      <c r="AL63" s="45" t="n">
        <f aca="false">AL60+AL61+AL62</f>
        <v>225639.069342579</v>
      </c>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row>
    <row r="65" customFormat="false" ht="15" hidden="false" customHeight="false" outlineLevel="0" collapsed="false">
      <c r="A65" s="5" t="s">
        <v>609</v>
      </c>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row>
    <row r="66" customFormat="false" ht="15" hidden="false" customHeight="false" outlineLevel="0" collapsed="false">
      <c r="A66" s="9" t="s">
        <v>610</v>
      </c>
      <c r="B66" s="2" t="s">
        <v>105</v>
      </c>
      <c r="C66" s="37" t="n">
        <f aca="false">C30*Pricing!$B$6*Assumptions!$E$153*CHOOSE(Assumptions!$E$121,Pricing!$B$20,Pricing!$B$30,Pricing!$B$40)</f>
        <v>0</v>
      </c>
      <c r="D66" s="37" t="n">
        <f aca="false">D30*Pricing!$B$6*Assumptions!$E$153*CHOOSE(Assumptions!$E$121,Pricing!$B$20,Pricing!$B$30,Pricing!$B$40)</f>
        <v>0</v>
      </c>
      <c r="E66" s="37" t="n">
        <f aca="false">E30*Pricing!$B$6*Assumptions!$E$153*CHOOSE(Assumptions!$E$121,Pricing!$B$20,Pricing!$B$30,Pricing!$B$40)</f>
        <v>0</v>
      </c>
      <c r="F66" s="37" t="n">
        <f aca="false">F30*Pricing!$B$6*Assumptions!$E$153*CHOOSE(Assumptions!$E$121,Pricing!$B$20,Pricing!$B$30,Pricing!$B$40)</f>
        <v>84.5935975</v>
      </c>
      <c r="G66" s="37" t="n">
        <f aca="false">G30*Pricing!$B$6*Assumptions!$E$153*CHOOSE(Assumptions!$E$121,Pricing!$B$20,Pricing!$B$30,Pricing!$B$40)</f>
        <v>182.2992026125</v>
      </c>
      <c r="H66" s="37" t="n">
        <f aca="false">H30*Pricing!$B$6*Assumptions!$E$153*CHOOSE(Assumptions!$E$121,Pricing!$B$20,Pricing!$B$30,Pricing!$B$40)</f>
        <v>292.789015147187</v>
      </c>
      <c r="I66" s="37" t="n">
        <f aca="false">I30*Pricing!$B$6*Assumptions!$E$153*CHOOSE(Assumptions!$E$121,Pricing!$B$20,Pricing!$B$30,Pricing!$B$40)</f>
        <v>415.743429918508</v>
      </c>
      <c r="J66" s="37" t="n">
        <f aca="false">J30*Pricing!$B$6*Assumptions!$E$153*CHOOSE(Assumptions!$E$121,Pricing!$B$20,Pricing!$B$30,Pricing!$B$40)</f>
        <v>550.850831870545</v>
      </c>
      <c r="K66" s="37" t="n">
        <f aca="false">K30*Pricing!$B$6*Assumptions!$E$153*CHOOSE(Assumptions!$E$121,Pricing!$B$20,Pricing!$B$30,Pricing!$B$40)</f>
        <v>697.807396323782</v>
      </c>
      <c r="L66" s="37" t="n">
        <f aca="false">L30*Pricing!$B$6*Assumptions!$E$153*CHOOSE(Assumptions!$E$121,Pricing!$B$20,Pricing!$B$30,Pricing!$B$40)</f>
        <v>856.316894215687</v>
      </c>
      <c r="M66" s="37" t="n">
        <f aca="false">M30*Pricing!$B$6*Assumptions!$E$153*CHOOSE(Assumptions!$E$121,Pricing!$B$20,Pricing!$B$30,Pricing!$B$40)</f>
        <v>1026.09050221029</v>
      </c>
      <c r="N66" s="37" t="n">
        <f aca="false">N30*Pricing!$B$6*Assumptions!$E$153*CHOOSE(Assumptions!$E$121,Pricing!$B$20,Pricing!$B$30,Pricing!$B$40)</f>
        <v>1206.84661755504</v>
      </c>
      <c r="O66" s="37" t="n">
        <f aca="false">O30*Pricing!$B$6*Assumptions!$E$153*CHOOSE(Assumptions!$E$121,Pricing!$B$20,Pricing!$B$30,Pricing!$B$40)</f>
        <v>1398.31067756616</v>
      </c>
      <c r="P66" s="37" t="n">
        <f aca="false">P30*Pricing!$B$6*Assumptions!$E$153*CHOOSE(Assumptions!$E$121,Pricing!$B$20,Pricing!$B$30,Pricing!$B$40)</f>
        <v>1600.21498362701</v>
      </c>
      <c r="Q66" s="37" t="n">
        <f aca="false">Q30*Pricing!$B$6*Assumptions!$E$153*CHOOSE(Assumptions!$E$121,Pricing!$B$20,Pricing!$B$30,Pricing!$B$40)</f>
        <v>1812.29852958633</v>
      </c>
      <c r="R66" s="37" t="n">
        <f aca="false">R30*Pricing!$B$6*Assumptions!$E$153*CHOOSE(Assumptions!$E$121,Pricing!$B$20,Pricing!$B$30,Pricing!$B$40)</f>
        <v>2034.30683444667</v>
      </c>
      <c r="S66" s="37" t="n">
        <f aca="false">S30*Pricing!$B$6*Assumptions!$E$153*CHOOSE(Assumptions!$E$121,Pricing!$B$20,Pricing!$B$30,Pricing!$B$40)</f>
        <v>2265.99177923551</v>
      </c>
      <c r="T66" s="37" t="n">
        <f aca="false">T30*Pricing!$B$6*Assumptions!$E$153*CHOOSE(Assumptions!$E$121,Pricing!$B$20,Pricing!$B$30,Pricing!$B$40)</f>
        <v>2507.11144795462</v>
      </c>
      <c r="U66" s="37" t="n">
        <f aca="false">U30*Pricing!$B$6*Assumptions!$E$153*CHOOSE(Assumptions!$E$121,Pricing!$B$20,Pricing!$B$30,Pricing!$B$40)</f>
        <v>2757.42997250575</v>
      </c>
      <c r="V66" s="37" t="n">
        <f aca="false">V30*Pricing!$B$6*Assumptions!$E$153*CHOOSE(Assumptions!$E$121,Pricing!$B$20,Pricing!$B$30,Pricing!$B$40)</f>
        <v>3016.71738149311</v>
      </c>
      <c r="W66" s="37" t="n">
        <f aca="false">W30*Pricing!$B$6*Assumptions!$E$153*CHOOSE(Assumptions!$E$121,Pricing!$B$20,Pricing!$B$30,Pricing!$B$40)</f>
        <v>3284.74945280578</v>
      </c>
      <c r="X66" s="37" t="n">
        <f aca="false">X30*Pricing!$B$6*Assumptions!$E$153*CHOOSE(Assumptions!$E$121,Pricing!$B$20,Pricing!$B$30,Pricing!$B$40)</f>
        <v>3561.30756988564</v>
      </c>
      <c r="Y66" s="37" t="n">
        <f aca="false">Y30*Pricing!$B$6*Assumptions!$E$153*CHOOSE(Assumptions!$E$121,Pricing!$B$20,Pricing!$B$30,Pricing!$B$40)</f>
        <v>3846.1785815885</v>
      </c>
      <c r="Z66" s="37" t="n">
        <f aca="false">Z30*Pricing!$B$6*Assumptions!$E$153*CHOOSE(Assumptions!$E$121,Pricing!$B$20,Pricing!$B$30,Pricing!$B$40)</f>
        <v>4139.15466554879</v>
      </c>
      <c r="AA66" s="37" t="n">
        <f aca="false">AA30*Pricing!$B$6*Assumptions!$E$153*CHOOSE(Assumptions!$E$121,Pricing!$B$20,Pricing!$B$30,Pricing!$B$40)</f>
        <v>4440.03319496006</v>
      </c>
      <c r="AB66" s="37" t="n">
        <f aca="false">AB30*Pricing!$B$6*Assumptions!$E$153*CHOOSE(Assumptions!$E$121,Pricing!$B$20,Pricing!$B$30,Pricing!$B$40)</f>
        <v>4748.61660868606</v>
      </c>
      <c r="AC66" s="37" t="n">
        <f aca="false">AC30*Pricing!$B$6*Assumptions!$E$153*CHOOSE(Assumptions!$E$121,Pricing!$B$20,Pricing!$B$30,Pricing!$B$40)</f>
        <v>5064.71228461891</v>
      </c>
      <c r="AD66" s="37" t="n">
        <f aca="false">AD30*Pricing!$B$6*Assumptions!$E$153*CHOOSE(Assumptions!$E$121,Pricing!$B$20,Pricing!$B$30,Pricing!$B$40)</f>
        <v>5388.13241620344</v>
      </c>
      <c r="AE66" s="37" t="n">
        <f aca="false">AE30*Pricing!$B$6*Assumptions!$E$153*CHOOSE(Assumptions!$E$121,Pricing!$B$20,Pricing!$B$30,Pricing!$B$40)</f>
        <v>5718.69389204835</v>
      </c>
      <c r="AF66" s="37" t="n">
        <f aca="false">AF30*Pricing!$B$6*Assumptions!$E$153*CHOOSE(Assumptions!$E$121,Pricing!$B$20,Pricing!$B$30,Pricing!$B$40)</f>
        <v>6056.21817854715</v>
      </c>
      <c r="AG66" s="37" t="n">
        <f aca="false">AG30*Pricing!$B$6*Assumptions!$E$153*CHOOSE(Assumptions!$E$121,Pricing!$B$20,Pricing!$B$30,Pricing!$B$40)</f>
        <v>6400.53120543347</v>
      </c>
      <c r="AH66" s="37" t="n">
        <f aca="false">AH30*Pricing!$B$6*Assumptions!$E$153*CHOOSE(Assumptions!$E$121,Pricing!$B$20,Pricing!$B$30,Pricing!$B$40)</f>
        <v>6748.07951029763</v>
      </c>
      <c r="AI66" s="37" t="n">
        <f aca="false">AI30*Pricing!$B$6*Assumptions!$E$153*CHOOSE(Assumptions!$E$121,Pricing!$B$20,Pricing!$B$30,Pricing!$B$40)</f>
        <v>7086.93910754019</v>
      </c>
      <c r="AJ66" s="37" t="n">
        <f aca="false">AJ30*Pricing!$B$6*Assumptions!$E$153*CHOOSE(Assumptions!$E$121,Pricing!$B$20,Pricing!$B$30,Pricing!$B$40)</f>
        <v>7417.32721485168</v>
      </c>
      <c r="AK66" s="37" t="n">
        <f aca="false">AK30*Pricing!$B$6*Assumptions!$E$153*CHOOSE(Assumptions!$E$121,Pricing!$B$20,Pricing!$B$30,Pricing!$B$40)</f>
        <v>7739.45561948039</v>
      </c>
      <c r="AL66" s="37" t="n">
        <f aca="false">AL30*Pricing!$B$6*Assumptions!$E$153*CHOOSE(Assumptions!$E$121,Pricing!$B$20,Pricing!$B$30,Pricing!$B$40)</f>
        <v>8053.53081399338</v>
      </c>
    </row>
    <row r="67" customFormat="false" ht="15" hidden="false" customHeight="false" outlineLevel="0" collapsed="false">
      <c r="A67" s="9" t="s">
        <v>611</v>
      </c>
      <c r="B67" s="2" t="s">
        <v>105</v>
      </c>
      <c r="C67" s="37" t="n">
        <f aca="false">C31*Pricing!$C$6*Assumptions!$E$153*CHOOSE(Assumptions!$E$121,Pricing!$C$20,Pricing!$C$30,Pricing!$C$40)</f>
        <v>0</v>
      </c>
      <c r="D67" s="37" t="n">
        <f aca="false">D31*Pricing!$C$6*Assumptions!$E$153*CHOOSE(Assumptions!$E$121,Pricing!$C$20,Pricing!$C$30,Pricing!$C$40)</f>
        <v>0</v>
      </c>
      <c r="E67" s="37" t="n">
        <f aca="false">E31*Pricing!$C$6*Assumptions!$E$153*CHOOSE(Assumptions!$E$121,Pricing!$C$20,Pricing!$C$30,Pricing!$C$40)</f>
        <v>0</v>
      </c>
      <c r="F67" s="37" t="n">
        <f aca="false">F31*Pricing!$C$6*Assumptions!$E$153*CHOOSE(Assumptions!$E$121,Pricing!$C$20,Pricing!$C$30,Pricing!$C$40)</f>
        <v>0</v>
      </c>
      <c r="G67" s="37" t="n">
        <f aca="false">G31*Pricing!$C$6*Assumptions!$E$153*CHOOSE(Assumptions!$E$121,Pricing!$C$20,Pricing!$C$30,Pricing!$C$40)</f>
        <v>61.6453502941176</v>
      </c>
      <c r="H67" s="37" t="n">
        <f aca="false">H31*Pricing!$C$6*Assumptions!$E$153*CHOOSE(Assumptions!$E$121,Pricing!$C$20,Pricing!$C$30,Pricing!$C$40)</f>
        <v>138.085584658824</v>
      </c>
      <c r="I67" s="37" t="n">
        <f aca="false">I31*Pricing!$C$6*Assumptions!$E$153*CHOOSE(Assumptions!$E$121,Pricing!$C$20,Pricing!$C$30,Pricing!$C$40)</f>
        <v>229.024805412706</v>
      </c>
      <c r="J67" s="37" t="n">
        <f aca="false">J31*Pricing!$C$6*Assumptions!$E$153*CHOOSE(Assumptions!$E$121,Pricing!$C$20,Pricing!$C$30,Pricing!$C$40)</f>
        <v>334.173032827981</v>
      </c>
      <c r="K67" s="37" t="n">
        <f aca="false">K31*Pricing!$C$6*Assumptions!$E$153*CHOOSE(Assumptions!$E$121,Pricing!$C$20,Pricing!$C$30,Pricing!$C$40)</f>
        <v>453.246086771421</v>
      </c>
      <c r="L67" s="37" t="n">
        <f aca="false">L31*Pricing!$C$6*Assumptions!$E$153*CHOOSE(Assumptions!$E$121,Pricing!$C$20,Pricing!$C$30,Pricing!$C$40)</f>
        <v>585.965470712464</v>
      </c>
      <c r="M67" s="37" t="n">
        <f aca="false">M31*Pricing!$C$6*Assumptions!$E$153*CHOOSE(Assumptions!$E$121,Pricing!$C$20,Pricing!$C$30,Pricing!$C$40)</f>
        <v>732.058258051156</v>
      </c>
      <c r="N67" s="37" t="n">
        <f aca="false">N31*Pricing!$C$6*Assumptions!$E$153*CHOOSE(Assumptions!$E$121,Pricing!$C$20,Pricing!$C$30,Pricing!$C$40)</f>
        <v>891.256980719544</v>
      </c>
      <c r="O67" s="37" t="n">
        <f aca="false">O31*Pricing!$C$6*Assumptions!$E$153*CHOOSE(Assumptions!$E$121,Pricing!$C$20,Pricing!$C$30,Pricing!$C$40)</f>
        <v>1063.29952001104</v>
      </c>
      <c r="P67" s="37" t="n">
        <f aca="false">P31*Pricing!$C$6*Assumptions!$E$153*CHOOSE(Assumptions!$E$121,Pricing!$C$20,Pricing!$C$30,Pricing!$C$40)</f>
        <v>1247.92899959317</v>
      </c>
      <c r="Q67" s="37" t="n">
        <f aca="false">Q31*Pricing!$C$6*Assumptions!$E$153*CHOOSE(Assumptions!$E$121,Pricing!$C$20,Pricing!$C$30,Pricing!$C$40)</f>
        <v>1444.89368066013</v>
      </c>
      <c r="R67" s="37" t="n">
        <f aca="false">R31*Pricing!$C$6*Assumptions!$E$153*CHOOSE(Assumptions!$E$121,Pricing!$C$20,Pricing!$C$30,Pricing!$C$40)</f>
        <v>1653.94685918222</v>
      </c>
      <c r="S67" s="37" t="n">
        <f aca="false">S31*Pricing!$C$6*Assumptions!$E$153*CHOOSE(Assumptions!$E$121,Pricing!$C$20,Pricing!$C$30,Pricing!$C$40)</f>
        <v>1874.84676521034</v>
      </c>
      <c r="T67" s="37" t="n">
        <f aca="false">T31*Pricing!$C$6*Assumptions!$E$153*CHOOSE(Assumptions!$E$121,Pricing!$C$20,Pricing!$C$30,Pricing!$C$40)</f>
        <v>2107.35646419437</v>
      </c>
      <c r="U67" s="37" t="n">
        <f aca="false">U31*Pricing!$C$6*Assumptions!$E$153*CHOOSE(Assumptions!$E$121,Pricing!$C$20,Pricing!$C$30,Pricing!$C$40)</f>
        <v>2351.24376027519</v>
      </c>
      <c r="V67" s="37" t="n">
        <f aca="false">V31*Pricing!$C$6*Assumptions!$E$153*CHOOSE(Assumptions!$E$121,Pricing!$C$20,Pricing!$C$30,Pricing!$C$40)</f>
        <v>2606.28110151086</v>
      </c>
      <c r="W67" s="37" t="n">
        <f aca="false">W31*Pricing!$C$6*Assumptions!$E$153*CHOOSE(Assumptions!$E$121,Pricing!$C$20,Pricing!$C$30,Pricing!$C$40)</f>
        <v>2872.24548699829</v>
      </c>
      <c r="X67" s="37" t="n">
        <f aca="false">X31*Pricing!$C$6*Assumptions!$E$153*CHOOSE(Assumptions!$E$121,Pricing!$C$20,Pricing!$C$30,Pricing!$C$40)</f>
        <v>3148.91837585244</v>
      </c>
      <c r="Y67" s="37" t="n">
        <f aca="false">Y31*Pricing!$C$6*Assumptions!$E$153*CHOOSE(Assumptions!$E$121,Pricing!$C$20,Pricing!$C$30,Pricing!$C$40)</f>
        <v>3436.08559800598</v>
      </c>
      <c r="Z67" s="37" t="n">
        <f aca="false">Z31*Pricing!$C$6*Assumptions!$E$153*CHOOSE(Assumptions!$E$121,Pricing!$C$20,Pricing!$C$30,Pricing!$C$40)</f>
        <v>3733.53726679292</v>
      </c>
      <c r="AA67" s="37" t="n">
        <f aca="false">AA31*Pricing!$C$6*Assumptions!$E$153*CHOOSE(Assumptions!$E$121,Pricing!$C$20,Pricing!$C$30,Pricing!$C$40)</f>
        <v>4041.06769328059</v>
      </c>
      <c r="AB67" s="37" t="n">
        <f aca="false">AB31*Pricing!$C$6*Assumptions!$E$153*CHOOSE(Assumptions!$E$121,Pricing!$C$20,Pricing!$C$30,Pricing!$C$40)</f>
        <v>4358.47530231498</v>
      </c>
      <c r="AC67" s="37" t="n">
        <f aca="false">AC31*Pricing!$C$6*Assumptions!$E$153*CHOOSE(Assumptions!$E$121,Pricing!$C$20,Pricing!$C$30,Pricing!$C$40)</f>
        <v>4685.56255024515</v>
      </c>
      <c r="AD67" s="37" t="n">
        <f aca="false">AD31*Pricing!$C$6*Assumptions!$E$153*CHOOSE(Assumptions!$E$121,Pricing!$C$20,Pricing!$C$30,Pricing!$C$40)</f>
        <v>5022.13584429319</v>
      </c>
      <c r="AE67" s="37" t="n">
        <f aca="false">AE31*Pricing!$C$6*Assumptions!$E$153*CHOOSE(Assumptions!$E$121,Pricing!$C$20,Pricing!$C$30,Pricing!$C$40)</f>
        <v>5368.00546353674</v>
      </c>
      <c r="AF67" s="37" t="n">
        <f aca="false">AF31*Pricing!$C$6*Assumptions!$E$153*CHOOSE(Assumptions!$E$121,Pricing!$C$20,Pricing!$C$30,Pricing!$C$40)</f>
        <v>5722.98548147188</v>
      </c>
      <c r="AG67" s="37" t="n">
        <f aca="false">AG31*Pricing!$C$6*Assumptions!$E$153*CHOOSE(Assumptions!$E$121,Pricing!$C$20,Pricing!$C$30,Pricing!$C$40)</f>
        <v>6086.8936901248</v>
      </c>
      <c r="AH67" s="37" t="n">
        <f aca="false">AH31*Pricing!$C$6*Assumptions!$E$153*CHOOSE(Assumptions!$E$121,Pricing!$C$20,Pricing!$C$30,Pricing!$C$40)</f>
        <v>6459.55152568113</v>
      </c>
      <c r="AI67" s="37" t="n">
        <f aca="false">AI31*Pricing!$C$6*Assumptions!$E$153*CHOOSE(Assumptions!$E$121,Pricing!$C$20,Pricing!$C$30,Pricing!$C$40)</f>
        <v>6840.7839956028</v>
      </c>
      <c r="AJ67" s="37" t="n">
        <f aca="false">AJ31*Pricing!$C$6*Assumptions!$E$153*CHOOSE(Assumptions!$E$121,Pricing!$C$20,Pricing!$C$30,Pricing!$C$40)</f>
        <v>7230.41960720251</v>
      </c>
      <c r="AK67" s="37" t="n">
        <f aca="false">AK31*Pricing!$C$6*Assumptions!$E$153*CHOOSE(Assumptions!$E$121,Pricing!$C$20,Pricing!$C$30,Pricing!$C$40)</f>
        <v>7628.29029764669</v>
      </c>
      <c r="AL67" s="37" t="n">
        <f aca="false">AL31*Pricing!$C$6*Assumptions!$E$153*CHOOSE(Assumptions!$E$121,Pricing!$C$20,Pricing!$C$30,Pricing!$C$40)</f>
        <v>8034.23136535846</v>
      </c>
    </row>
    <row r="68" customFormat="false" ht="15" hidden="false" customHeight="false" outlineLevel="0" collapsed="false">
      <c r="A68" s="9" t="s">
        <v>612</v>
      </c>
      <c r="B68" s="2" t="s">
        <v>105</v>
      </c>
      <c r="C68" s="37" t="n">
        <f aca="false">C32*Pricing!$D$6*Assumptions!$E$153*CHOOSE(Assumptions!$E$121,Pricing!$D$20,Pricing!$D$30,Pricing!$D$40)</f>
        <v>0</v>
      </c>
      <c r="D68" s="37" t="n">
        <f aca="false">D32*Pricing!$D$6*Assumptions!$E$153*CHOOSE(Assumptions!$E$121,Pricing!$D$20,Pricing!$D$30,Pricing!$D$40)</f>
        <v>0</v>
      </c>
      <c r="E68" s="37" t="n">
        <f aca="false">E32*Pricing!$D$6*Assumptions!$E$153*CHOOSE(Assumptions!$E$121,Pricing!$D$20,Pricing!$D$30,Pricing!$D$40)</f>
        <v>0</v>
      </c>
      <c r="F68" s="37" t="n">
        <f aca="false">F32*Pricing!$D$6*Assumptions!$E$153*CHOOSE(Assumptions!$E$121,Pricing!$D$20,Pricing!$D$30,Pricing!$D$40)</f>
        <v>0</v>
      </c>
      <c r="G68" s="37" t="n">
        <f aca="false">G32*Pricing!$D$6*Assumptions!$E$153*CHOOSE(Assumptions!$E$121,Pricing!$D$20,Pricing!$D$30,Pricing!$D$40)</f>
        <v>0</v>
      </c>
      <c r="H68" s="37" t="n">
        <f aca="false">H32*Pricing!$D$6*Assumptions!$E$153*CHOOSE(Assumptions!$E$121,Pricing!$D$20,Pricing!$D$30,Pricing!$D$40)</f>
        <v>62.7534238235294</v>
      </c>
      <c r="I68" s="37" t="n">
        <f aca="false">I32*Pricing!$D$6*Assumptions!$E$153*CHOOSE(Assumptions!$E$121,Pricing!$D$20,Pricing!$D$30,Pricing!$D$40)</f>
        <v>135.495100938971</v>
      </c>
      <c r="J68" s="37" t="n">
        <f aca="false">J32*Pricing!$D$6*Assumptions!$E$153*CHOOSE(Assumptions!$E$121,Pricing!$D$20,Pricing!$D$30,Pricing!$D$40)</f>
        <v>218.150119446634</v>
      </c>
      <c r="K68" s="37" t="n">
        <f aca="false">K32*Pricing!$D$6*Assumptions!$E$153*CHOOSE(Assumptions!$E$121,Pricing!$D$20,Pricing!$D$30,Pricing!$D$40)</f>
        <v>310.644129286079</v>
      </c>
      <c r="L68" s="37" t="n">
        <f aca="false">L32*Pricing!$D$6*Assumptions!$E$153*CHOOSE(Assumptions!$E$121,Pricing!$D$20,Pricing!$D$30,Pricing!$D$40)</f>
        <v>412.903338022315</v>
      </c>
      <c r="M68" s="37" t="n">
        <f aca="false">M32*Pricing!$D$6*Assumptions!$E$153*CHOOSE(Assumptions!$E$121,Pricing!$D$20,Pricing!$D$30,Pricing!$D$40)</f>
        <v>524.854506663619</v>
      </c>
      <c r="N68" s="37" t="n">
        <f aca="false">N32*Pricing!$D$6*Assumptions!$E$153*CHOOSE(Assumptions!$E$121,Pricing!$D$20,Pricing!$D$30,Pricing!$D$40)</f>
        <v>646.4249455107</v>
      </c>
      <c r="O68" s="37" t="n">
        <f aca="false">O32*Pricing!$D$6*Assumptions!$E$153*CHOOSE(Assumptions!$E$121,Pricing!$D$20,Pricing!$D$30,Pricing!$D$40)</f>
        <v>777.542510037017</v>
      </c>
      <c r="P68" s="37" t="n">
        <f aca="false">P32*Pricing!$D$6*Assumptions!$E$153*CHOOSE(Assumptions!$E$121,Pricing!$D$20,Pricing!$D$30,Pricing!$D$40)</f>
        <v>918.135596799975</v>
      </c>
      <c r="Q68" s="37" t="n">
        <f aca="false">Q32*Pricing!$D$6*Assumptions!$E$153*CHOOSE(Assumptions!$E$121,Pricing!$D$20,Pricing!$D$30,Pricing!$D$40)</f>
        <v>1068.1331393828</v>
      </c>
      <c r="R68" s="37" t="n">
        <f aca="false">R32*Pricing!$D$6*Assumptions!$E$153*CHOOSE(Assumptions!$E$121,Pricing!$D$20,Pricing!$D$30,Pricing!$D$40)</f>
        <v>1227.46460436684</v>
      </c>
      <c r="S68" s="37" t="n">
        <f aca="false">S32*Pricing!$D$6*Assumptions!$E$153*CHOOSE(Assumptions!$E$121,Pricing!$D$20,Pricing!$D$30,Pricing!$D$40)</f>
        <v>1396.05998733409</v>
      </c>
      <c r="T68" s="37" t="n">
        <f aca="false">T32*Pricing!$D$6*Assumptions!$E$153*CHOOSE(Assumptions!$E$121,Pricing!$D$20,Pricing!$D$30,Pricing!$D$40)</f>
        <v>1573.84980889967</v>
      </c>
      <c r="U68" s="37" t="n">
        <f aca="false">U32*Pricing!$D$6*Assumptions!$E$153*CHOOSE(Assumptions!$E$121,Pricing!$D$20,Pricing!$D$30,Pricing!$D$40)</f>
        <v>1844.43634253881</v>
      </c>
      <c r="V68" s="37" t="n">
        <f aca="false">V32*Pricing!$D$6*Assumptions!$E$153*CHOOSE(Assumptions!$E$121,Pricing!$D$20,Pricing!$D$30,Pricing!$D$40)</f>
        <v>2123.45238114624</v>
      </c>
      <c r="W68" s="37" t="n">
        <f aca="false">W32*Pricing!$D$6*Assumptions!$E$153*CHOOSE(Assumptions!$E$121,Pricing!$D$20,Pricing!$D$30,Pricing!$D$40)</f>
        <v>2410.8347034347</v>
      </c>
      <c r="X68" s="37" t="n">
        <f aca="false">X32*Pricing!$D$6*Assumptions!$E$153*CHOOSE(Assumptions!$E$121,Pricing!$D$20,Pricing!$D$30,Pricing!$D$40)</f>
        <v>2706.52056227658</v>
      </c>
      <c r="Y68" s="37" t="n">
        <f aca="false">Y32*Pricing!$D$6*Assumptions!$E$153*CHOOSE(Assumptions!$E$121,Pricing!$D$20,Pricing!$D$30,Pricing!$D$40)</f>
        <v>3010.44768114774</v>
      </c>
      <c r="Z68" s="37" t="n">
        <f aca="false">Z32*Pricing!$D$6*Assumptions!$E$153*CHOOSE(Assumptions!$E$121,Pricing!$D$20,Pricing!$D$30,Pricing!$D$40)</f>
        <v>3322.55425059796</v>
      </c>
      <c r="AA68" s="37" t="n">
        <f aca="false">AA32*Pricing!$D$6*Assumptions!$E$153*CHOOSE(Assumptions!$E$121,Pricing!$D$20,Pricing!$D$30,Pricing!$D$40)</f>
        <v>3642.77892474789</v>
      </c>
      <c r="AB68" s="37" t="n">
        <f aca="false">AB32*Pricing!$D$6*Assumptions!$E$153*CHOOSE(Assumptions!$E$121,Pricing!$D$20,Pricing!$D$30,Pricing!$D$40)</f>
        <v>3971.06081781228</v>
      </c>
      <c r="AC68" s="37" t="n">
        <f aca="false">AC32*Pricing!$D$6*Assumptions!$E$153*CHOOSE(Assumptions!$E$121,Pricing!$D$20,Pricing!$D$30,Pricing!$D$40)</f>
        <v>4307.33950064927</v>
      </c>
      <c r="AD68" s="37" t="n">
        <f aca="false">AD32*Pricing!$D$6*Assumptions!$E$153*CHOOSE(Assumptions!$E$121,Pricing!$D$20,Pricing!$D$30,Pricing!$D$40)</f>
        <v>4651.55499733558</v>
      </c>
      <c r="AE68" s="37" t="n">
        <f aca="false">AE32*Pricing!$D$6*Assumptions!$E$153*CHOOSE(Assumptions!$E$121,Pricing!$D$20,Pricing!$D$30,Pricing!$D$40)</f>
        <v>5087.31901353203</v>
      </c>
      <c r="AF68" s="37" t="n">
        <f aca="false">AF32*Pricing!$D$6*Assumptions!$E$153*CHOOSE(Assumptions!$E$121,Pricing!$D$20,Pricing!$D$30,Pricing!$D$40)</f>
        <v>5530.2737035776</v>
      </c>
      <c r="AG68" s="37" t="n">
        <f aca="false">AG32*Pricing!$D$6*Assumptions!$E$153*CHOOSE(Assumptions!$E$121,Pricing!$D$20,Pricing!$D$30,Pricing!$D$40)</f>
        <v>5980.36513741842</v>
      </c>
      <c r="AH68" s="37" t="n">
        <f aca="false">AH32*Pricing!$D$6*Assumptions!$E$153*CHOOSE(Assumptions!$E$121,Pricing!$D$20,Pricing!$D$30,Pricing!$D$40)</f>
        <v>6437.53978947601</v>
      </c>
      <c r="AI68" s="37" t="n">
        <f aca="false">AI32*Pricing!$D$6*Assumptions!$E$153*CHOOSE(Assumptions!$E$121,Pricing!$D$20,Pricing!$D$30,Pricing!$D$40)</f>
        <v>6901.74453561377</v>
      </c>
      <c r="AJ68" s="37" t="n">
        <f aca="false">AJ32*Pricing!$D$6*Assumptions!$E$153*CHOOSE(Assumptions!$E$121,Pricing!$D$20,Pricing!$D$30,Pricing!$D$40)</f>
        <v>7372.92665012608</v>
      </c>
      <c r="AK68" s="37" t="n">
        <f aca="false">AK32*Pricing!$D$6*Assumptions!$E$153*CHOOSE(Assumptions!$E$121,Pricing!$D$20,Pricing!$D$30,Pricing!$D$40)</f>
        <v>7851.03380275013</v>
      </c>
      <c r="AL68" s="37" t="n">
        <f aca="false">AL32*Pricing!$D$6*Assumptions!$E$153*CHOOSE(Assumptions!$E$121,Pricing!$D$20,Pricing!$D$30,Pricing!$D$40)</f>
        <v>8336.01405570009</v>
      </c>
    </row>
    <row r="69" customFormat="false" ht="15" hidden="false" customHeight="false" outlineLevel="0" collapsed="false">
      <c r="A69" s="9" t="s">
        <v>613</v>
      </c>
      <c r="B69" s="2" t="s">
        <v>105</v>
      </c>
      <c r="C69" s="37" t="n">
        <f aca="false">C33*Pricing!$E$6*Assumptions!$E$153*CHOOSE(Assumptions!$E$121,Pricing!$E$20,Pricing!$E$30,Pricing!$E$40)</f>
        <v>0</v>
      </c>
      <c r="D69" s="37" t="n">
        <f aca="false">D33*Pricing!$E$6*Assumptions!$E$153*CHOOSE(Assumptions!$E$121,Pricing!$E$20,Pricing!$E$30,Pricing!$E$40)</f>
        <v>0</v>
      </c>
      <c r="E69" s="37" t="n">
        <f aca="false">E33*Pricing!$E$6*Assumptions!$E$153*CHOOSE(Assumptions!$E$121,Pricing!$E$20,Pricing!$E$30,Pricing!$E$40)</f>
        <v>0</v>
      </c>
      <c r="F69" s="37" t="n">
        <f aca="false">F33*Pricing!$E$6*Assumptions!$E$153*CHOOSE(Assumptions!$E$121,Pricing!$E$20,Pricing!$E$30,Pricing!$E$40)</f>
        <v>0</v>
      </c>
      <c r="G69" s="37" t="n">
        <f aca="false">G33*Pricing!$E$6*Assumptions!$E$153*CHOOSE(Assumptions!$E$121,Pricing!$E$20,Pricing!$E$30,Pricing!$E$40)</f>
        <v>0</v>
      </c>
      <c r="H69" s="37" t="n">
        <f aca="false">H33*Pricing!$E$6*Assumptions!$E$153*CHOOSE(Assumptions!$E$121,Pricing!$E$20,Pricing!$E$30,Pricing!$E$40)</f>
        <v>0</v>
      </c>
      <c r="I69" s="37" t="n">
        <f aca="false">I33*Pricing!$E$6*Assumptions!$E$153*CHOOSE(Assumptions!$E$121,Pricing!$E$20,Pricing!$E$30,Pricing!$E$40)</f>
        <v>0</v>
      </c>
      <c r="J69" s="37" t="n">
        <f aca="false">J33*Pricing!$E$6*Assumptions!$E$153*CHOOSE(Assumptions!$E$121,Pricing!$E$20,Pricing!$E$30,Pricing!$E$40)</f>
        <v>0</v>
      </c>
      <c r="K69" s="37" t="n">
        <f aca="false">K33*Pricing!$E$6*Assumptions!$E$153*CHOOSE(Assumptions!$E$121,Pricing!$E$20,Pricing!$E$30,Pricing!$E$40)</f>
        <v>0</v>
      </c>
      <c r="L69" s="37" t="n">
        <f aca="false">L33*Pricing!$E$6*Assumptions!$E$153*CHOOSE(Assumptions!$E$121,Pricing!$E$20,Pricing!$E$30,Pricing!$E$40)</f>
        <v>105.889624023529</v>
      </c>
      <c r="M69" s="37" t="n">
        <f aca="false">M33*Pricing!$E$6*Assumptions!$E$153*CHOOSE(Assumptions!$E$121,Pricing!$E$20,Pricing!$E$30,Pricing!$E$40)</f>
        <v>221.944651953318</v>
      </c>
      <c r="N69" s="37" t="n">
        <f aca="false">N33*Pricing!$E$6*Assumptions!$E$153*CHOOSE(Assumptions!$E$121,Pricing!$E$20,Pricing!$E$30,Pricing!$E$40)</f>
        <v>348.12442217374</v>
      </c>
      <c r="O69" s="37" t="n">
        <f aca="false">O33*Pricing!$E$6*Assumptions!$E$153*CHOOSE(Assumptions!$E$121,Pricing!$E$20,Pricing!$E$30,Pricing!$E$40)</f>
        <v>484.388435715633</v>
      </c>
      <c r="P69" s="37" t="n">
        <f aca="false">P33*Pricing!$E$6*Assumptions!$E$153*CHOOSE(Assumptions!$E$121,Pricing!$E$20,Pricing!$E$30,Pricing!$E$40)</f>
        <v>630.696355605711</v>
      </c>
      <c r="Q69" s="37" t="n">
        <f aca="false">Q33*Pricing!$E$6*Assumptions!$E$153*CHOOSE(Assumptions!$E$121,Pricing!$E$20,Pricing!$E$30,Pricing!$E$40)</f>
        <v>787.008006218583</v>
      </c>
      <c r="R69" s="37" t="n">
        <f aca="false">R33*Pricing!$E$6*Assumptions!$E$153*CHOOSE(Assumptions!$E$121,Pricing!$E$20,Pricing!$E$30,Pricing!$E$40)</f>
        <v>953.283372631355</v>
      </c>
      <c r="S69" s="37" t="n">
        <f aca="false">S33*Pricing!$E$6*Assumptions!$E$153*CHOOSE(Assumptions!$E$121,Pricing!$E$20,Pricing!$E$30,Pricing!$E$40)</f>
        <v>1129.48259998083</v>
      </c>
      <c r="T69" s="37" t="n">
        <f aca="false">T33*Pricing!$E$6*Assumptions!$E$153*CHOOSE(Assumptions!$E$121,Pricing!$E$20,Pricing!$E$30,Pricing!$E$40)</f>
        <v>1315.56599282326</v>
      </c>
      <c r="U69" s="37" t="n">
        <f aca="false">U33*Pricing!$E$6*Assumptions!$E$153*CHOOSE(Assumptions!$E$121,Pricing!$E$20,Pricing!$E$30,Pricing!$E$40)</f>
        <v>1582.08709717903</v>
      </c>
      <c r="V69" s="37" t="n">
        <f aca="false">V33*Pricing!$E$6*Assumptions!$E$153*CHOOSE(Assumptions!$E$121,Pricing!$E$20,Pricing!$E$30,Pricing!$E$40)</f>
        <v>1858.13107951972</v>
      </c>
      <c r="W69" s="37" t="n">
        <f aca="false">W33*Pricing!$E$6*Assumptions!$E$153*CHOOSE(Assumptions!$E$121,Pricing!$E$20,Pricing!$E$30,Pricing!$E$40)</f>
        <v>2143.65984833341</v>
      </c>
      <c r="X69" s="37" t="n">
        <f aca="false">X33*Pricing!$E$6*Assumptions!$E$153*CHOOSE(Assumptions!$E$121,Pricing!$E$20,Pricing!$E$30,Pricing!$E$40)</f>
        <v>2438.63546447419</v>
      </c>
      <c r="Y69" s="37" t="n">
        <f aca="false">Y33*Pricing!$E$6*Assumptions!$E$153*CHOOSE(Assumptions!$E$121,Pricing!$E$20,Pricing!$E$30,Pricing!$E$40)</f>
        <v>2743.02014055276</v>
      </c>
      <c r="Z69" s="37" t="n">
        <f aca="false">Z33*Pricing!$E$6*Assumptions!$E$153*CHOOSE(Assumptions!$E$121,Pricing!$E$20,Pricing!$E$30,Pricing!$E$40)</f>
        <v>3056.77624032938</v>
      </c>
      <c r="AA69" s="37" t="n">
        <f aca="false">AA33*Pricing!$E$6*Assumptions!$E$153*CHOOSE(Assumptions!$E$121,Pricing!$E$20,Pricing!$E$30,Pricing!$E$40)</f>
        <v>3379.86627810923</v>
      </c>
      <c r="AB69" s="37" t="n">
        <f aca="false">AB33*Pricing!$E$6*Assumptions!$E$153*CHOOSE(Assumptions!$E$121,Pricing!$E$20,Pricing!$E$30,Pricing!$E$40)</f>
        <v>3712.25291814033</v>
      </c>
      <c r="AC69" s="37" t="n">
        <f aca="false">AC33*Pricing!$E$6*Assumptions!$E$153*CHOOSE(Assumptions!$E$121,Pricing!$E$20,Pricing!$E$30,Pricing!$E$40)</f>
        <v>4053.89897401365</v>
      </c>
      <c r="AD69" s="37" t="n">
        <f aca="false">AD33*Pricing!$E$6*Assumptions!$E$153*CHOOSE(Assumptions!$E$121,Pricing!$E$20,Pricing!$E$30,Pricing!$E$40)</f>
        <v>4404.76740806583</v>
      </c>
      <c r="AE69" s="37" t="n">
        <f aca="false">AE33*Pricing!$E$6*Assumptions!$E$153*CHOOSE(Assumptions!$E$121,Pricing!$E$20,Pricing!$E$30,Pricing!$E$40)</f>
        <v>4835.41441346651</v>
      </c>
      <c r="AF69" s="37" t="n">
        <f aca="false">AF33*Pricing!$E$6*Assumptions!$E$153*CHOOSE(Assumptions!$E$121,Pricing!$E$20,Pricing!$E$30,Pricing!$E$40)</f>
        <v>5274.92779324793</v>
      </c>
      <c r="AG69" s="37" t="n">
        <f aca="false">AG33*Pricing!$E$6*Assumptions!$E$153*CHOOSE(Assumptions!$E$121,Pricing!$E$20,Pricing!$E$30,Pricing!$E$40)</f>
        <v>5723.27208191259</v>
      </c>
      <c r="AH69" s="37" t="n">
        <f aca="false">AH33*Pricing!$E$6*Assumptions!$E$153*CHOOSE(Assumptions!$E$121,Pricing!$E$20,Pricing!$E$30,Pricing!$E$40)</f>
        <v>6180.41195582494</v>
      </c>
      <c r="AI69" s="37" t="n">
        <f aca="false">AI33*Pricing!$E$6*Assumptions!$E$153*CHOOSE(Assumptions!$E$121,Pricing!$E$20,Pricing!$E$30,Pricing!$E$40)</f>
        <v>6646.31223264399</v>
      </c>
      <c r="AJ69" s="37" t="n">
        <f aca="false">AJ33*Pricing!$E$6*Assumptions!$E$153*CHOOSE(Assumptions!$E$121,Pricing!$E$20,Pricing!$E$30,Pricing!$E$40)</f>
        <v>7120.93787075812</v>
      </c>
      <c r="AK69" s="37" t="n">
        <f aca="false">AK33*Pricing!$E$6*Assumptions!$E$153*CHOOSE(Assumptions!$E$121,Pricing!$E$20,Pricing!$E$30,Pricing!$E$40)</f>
        <v>7604.25396872215</v>
      </c>
      <c r="AL69" s="37" t="n">
        <f aca="false">AL33*Pricing!$E$6*Assumptions!$E$153*CHOOSE(Assumptions!$E$121,Pricing!$E$20,Pricing!$E$30,Pricing!$E$40)</f>
        <v>8096.22576469667</v>
      </c>
    </row>
    <row r="70" customFormat="false" ht="15" hidden="false" customHeight="false" outlineLevel="0" collapsed="false">
      <c r="A70" s="9" t="s">
        <v>614</v>
      </c>
      <c r="B70" s="2" t="s">
        <v>105</v>
      </c>
      <c r="C70" s="37" t="n">
        <f aca="false">C30*Pricing!$B$6*Assumptions!$E$154*CHOOSE(Assumptions!$E$121,Pricing!$B$20,Pricing!$B$30,Pricing!$B$40)+C31*Pricing!$C$6*Assumptions!$E$154*CHOOSE(Assumptions!$E$121,Pricing!$C$20,Pricing!$C$30,Pricing!$C$40)+C32*Pricing!$D$6*Assumptions!$E$154*CHOOSE(Assumptions!$E$121,Pricing!$D$20,Pricing!$D$30,Pricing!$D$40)+C33*Pricing!$E$6*Assumptions!$E$154*CHOOSE(Assumptions!$E$121,Pricing!$E$20,Pricing!$E$30,Pricing!$E$40)</f>
        <v>0</v>
      </c>
      <c r="D70" s="37" t="n">
        <f aca="false">D30*Pricing!$B$6*Assumptions!$E$154*CHOOSE(Assumptions!$E$121,Pricing!$B$20,Pricing!$B$30,Pricing!$B$40)+D31*Pricing!$C$6*Assumptions!$E$154*CHOOSE(Assumptions!$E$121,Pricing!$C$20,Pricing!$C$30,Pricing!$C$40)+D32*Pricing!$D$6*Assumptions!$E$154*CHOOSE(Assumptions!$E$121,Pricing!$D$20,Pricing!$D$30,Pricing!$D$40)+D33*Pricing!$E$6*Assumptions!$E$154*CHOOSE(Assumptions!$E$121,Pricing!$E$20,Pricing!$E$30,Pricing!$E$40)</f>
        <v>0</v>
      </c>
      <c r="E70" s="37" t="n">
        <f aca="false">E30*Pricing!$B$6*Assumptions!$E$154*CHOOSE(Assumptions!$E$121,Pricing!$B$20,Pricing!$B$30,Pricing!$B$40)+E31*Pricing!$C$6*Assumptions!$E$154*CHOOSE(Assumptions!$E$121,Pricing!$C$20,Pricing!$C$30,Pricing!$C$40)+E32*Pricing!$D$6*Assumptions!$E$154*CHOOSE(Assumptions!$E$121,Pricing!$D$20,Pricing!$D$30,Pricing!$D$40)+E33*Pricing!$E$6*Assumptions!$E$154*CHOOSE(Assumptions!$E$121,Pricing!$E$20,Pricing!$E$30,Pricing!$E$40)</f>
        <v>0</v>
      </c>
      <c r="F70" s="37" t="n">
        <f aca="false">F30*Pricing!$B$6*Assumptions!$E$154*CHOOSE(Assumptions!$E$121,Pricing!$B$20,Pricing!$B$30,Pricing!$B$40)+F31*Pricing!$C$6*Assumptions!$E$154*CHOOSE(Assumptions!$E$121,Pricing!$C$20,Pricing!$C$30,Pricing!$C$40)+F32*Pricing!$D$6*Assumptions!$E$154*CHOOSE(Assumptions!$E$121,Pricing!$D$20,Pricing!$D$30,Pricing!$D$40)+F33*Pricing!$E$6*Assumptions!$E$154*CHOOSE(Assumptions!$E$121,Pricing!$E$20,Pricing!$E$30,Pricing!$E$40)</f>
        <v>11.2791463333333</v>
      </c>
      <c r="G70" s="37" t="n">
        <f aca="false">G30*Pricing!$B$6*Assumptions!$E$154*CHOOSE(Assumptions!$E$121,Pricing!$B$20,Pricing!$B$30,Pricing!$B$40)+G31*Pricing!$C$6*Assumptions!$E$154*CHOOSE(Assumptions!$E$121,Pricing!$C$20,Pricing!$C$30,Pricing!$C$40)+G32*Pricing!$D$6*Assumptions!$E$154*CHOOSE(Assumptions!$E$121,Pricing!$D$20,Pricing!$D$30,Pricing!$D$40)+G33*Pricing!$E$6*Assumptions!$E$154*CHOOSE(Assumptions!$E$121,Pricing!$E$20,Pricing!$E$30,Pricing!$E$40)</f>
        <v>32.525940387549</v>
      </c>
      <c r="H70" s="37" t="n">
        <f aca="false">H30*Pricing!$B$6*Assumptions!$E$154*CHOOSE(Assumptions!$E$121,Pricing!$B$20,Pricing!$B$30,Pricing!$B$40)+H31*Pricing!$C$6*Assumptions!$E$154*CHOOSE(Assumptions!$E$121,Pricing!$C$20,Pricing!$C$30,Pricing!$C$40)+H32*Pricing!$D$6*Assumptions!$E$154*CHOOSE(Assumptions!$E$121,Pricing!$D$20,Pricing!$D$30,Pricing!$D$40)+H33*Pricing!$E$6*Assumptions!$E$154*CHOOSE(Assumptions!$E$121,Pricing!$E$20,Pricing!$E$30,Pricing!$E$40)</f>
        <v>65.8170698172721</v>
      </c>
      <c r="I70" s="37" t="n">
        <f aca="false">I30*Pricing!$B$6*Assumptions!$E$154*CHOOSE(Assumptions!$E$121,Pricing!$B$20,Pricing!$B$30,Pricing!$B$40)+I31*Pricing!$C$6*Assumptions!$E$154*CHOOSE(Assumptions!$E$121,Pricing!$C$20,Pricing!$C$30,Pricing!$C$40)+I32*Pricing!$D$6*Assumptions!$E$154*CHOOSE(Assumptions!$E$121,Pricing!$D$20,Pricing!$D$30,Pricing!$D$40)+I33*Pricing!$E$6*Assumptions!$E$154*CHOOSE(Assumptions!$E$121,Pricing!$E$20,Pricing!$E$30,Pricing!$E$40)</f>
        <v>104.035111502691</v>
      </c>
      <c r="J70" s="37" t="n">
        <f aca="false">J30*Pricing!$B$6*Assumptions!$E$154*CHOOSE(Assumptions!$E$121,Pricing!$B$20,Pricing!$B$30,Pricing!$B$40)+J31*Pricing!$C$6*Assumptions!$E$154*CHOOSE(Assumptions!$E$121,Pricing!$C$20,Pricing!$C$30,Pricing!$C$40)+J32*Pricing!$D$6*Assumptions!$E$154*CHOOSE(Assumptions!$E$121,Pricing!$D$20,Pricing!$D$30,Pricing!$D$40)+J33*Pricing!$E$6*Assumptions!$E$154*CHOOSE(Assumptions!$E$121,Pricing!$E$20,Pricing!$E$30,Pricing!$E$40)</f>
        <v>147.089864552688</v>
      </c>
      <c r="K70" s="37" t="n">
        <f aca="false">K30*Pricing!$B$6*Assumptions!$E$154*CHOOSE(Assumptions!$E$121,Pricing!$B$20,Pricing!$B$30,Pricing!$B$40)+K31*Pricing!$C$6*Assumptions!$E$154*CHOOSE(Assumptions!$E$121,Pricing!$C$20,Pricing!$C$30,Pricing!$C$40)+K32*Pricing!$D$6*Assumptions!$E$154*CHOOSE(Assumptions!$E$121,Pricing!$D$20,Pricing!$D$30,Pricing!$D$40)+K33*Pricing!$E$6*Assumptions!$E$154*CHOOSE(Assumptions!$E$121,Pricing!$E$20,Pricing!$E$30,Pricing!$E$40)</f>
        <v>194.893014984171</v>
      </c>
      <c r="L70" s="37" t="n">
        <f aca="false">L30*Pricing!$B$6*Assumptions!$E$154*CHOOSE(Assumptions!$E$121,Pricing!$B$20,Pricing!$B$30,Pricing!$B$40)+L31*Pricing!$C$6*Assumptions!$E$154*CHOOSE(Assumptions!$E$121,Pricing!$C$20,Pricing!$C$30,Pricing!$C$40)+L32*Pricing!$D$6*Assumptions!$E$154*CHOOSE(Assumptions!$E$121,Pricing!$D$20,Pricing!$D$30,Pricing!$D$40)+L33*Pricing!$E$6*Assumptions!$E$154*CHOOSE(Assumptions!$E$121,Pricing!$E$20,Pricing!$E$30,Pricing!$E$40)</f>
        <v>261.476710263199</v>
      </c>
      <c r="M70" s="37" t="n">
        <f aca="false">M30*Pricing!$B$6*Assumptions!$E$154*CHOOSE(Assumptions!$E$121,Pricing!$B$20,Pricing!$B$30,Pricing!$B$40)+M31*Pricing!$C$6*Assumptions!$E$154*CHOOSE(Assumptions!$E$121,Pricing!$C$20,Pricing!$C$30,Pricing!$C$40)+M32*Pricing!$D$6*Assumptions!$E$154*CHOOSE(Assumptions!$E$121,Pricing!$D$20,Pricing!$D$30,Pricing!$D$40)+M33*Pricing!$E$6*Assumptions!$E$154*CHOOSE(Assumptions!$E$121,Pricing!$E$20,Pricing!$E$30,Pricing!$E$40)</f>
        <v>333.993055850452</v>
      </c>
      <c r="N70" s="37" t="n">
        <f aca="false">N30*Pricing!$B$6*Assumptions!$E$154*CHOOSE(Assumptions!$E$121,Pricing!$B$20,Pricing!$B$30,Pricing!$B$40)+N31*Pricing!$C$6*Assumptions!$E$154*CHOOSE(Assumptions!$E$121,Pricing!$C$20,Pricing!$C$30,Pricing!$C$40)+N32*Pricing!$D$6*Assumptions!$E$154*CHOOSE(Assumptions!$E$121,Pricing!$D$20,Pricing!$D$30,Pricing!$D$40)+N33*Pricing!$E$6*Assumptions!$E$154*CHOOSE(Assumptions!$E$121,Pricing!$E$20,Pricing!$E$30,Pricing!$E$40)</f>
        <v>412.353728794536</v>
      </c>
      <c r="O70" s="37" t="n">
        <f aca="false">O30*Pricing!$B$6*Assumptions!$E$154*CHOOSE(Assumptions!$E$121,Pricing!$B$20,Pricing!$B$30,Pricing!$B$40)+O31*Pricing!$C$6*Assumptions!$E$154*CHOOSE(Assumptions!$E$121,Pricing!$C$20,Pricing!$C$30,Pricing!$C$40)+O32*Pricing!$D$6*Assumptions!$E$154*CHOOSE(Assumptions!$E$121,Pricing!$D$20,Pricing!$D$30,Pricing!$D$40)+O33*Pricing!$E$6*Assumptions!$E$154*CHOOSE(Assumptions!$E$121,Pricing!$E$20,Pricing!$E$30,Pricing!$E$40)</f>
        <v>496.47215244398</v>
      </c>
      <c r="P70" s="37" t="n">
        <f aca="false">P30*Pricing!$B$6*Assumptions!$E$154*CHOOSE(Assumptions!$E$121,Pricing!$B$20,Pricing!$B$30,Pricing!$B$40)+P31*Pricing!$C$6*Assumptions!$E$154*CHOOSE(Assumptions!$E$121,Pricing!$C$20,Pricing!$C$30,Pricing!$C$40)+P32*Pricing!$D$6*Assumptions!$E$154*CHOOSE(Assumptions!$E$121,Pricing!$D$20,Pricing!$D$30,Pricing!$D$40)+P33*Pricing!$E$6*Assumptions!$E$154*CHOOSE(Assumptions!$E$121,Pricing!$E$20,Pricing!$E$30,Pricing!$E$40)</f>
        <v>586.263458083448</v>
      </c>
      <c r="Q70" s="37" t="n">
        <f aca="false">Q30*Pricing!$B$6*Assumptions!$E$154*CHOOSE(Assumptions!$E$121,Pricing!$B$20,Pricing!$B$30,Pricing!$B$40)+Q31*Pricing!$C$6*Assumptions!$E$154*CHOOSE(Assumptions!$E$121,Pricing!$C$20,Pricing!$C$30,Pricing!$C$40)+Q32*Pricing!$D$6*Assumptions!$E$154*CHOOSE(Assumptions!$E$121,Pricing!$D$20,Pricing!$D$30,Pricing!$D$40)+Q33*Pricing!$E$6*Assumptions!$E$154*CHOOSE(Assumptions!$E$121,Pricing!$E$20,Pricing!$E$30,Pricing!$E$40)</f>
        <v>681.644447446379</v>
      </c>
      <c r="R70" s="37" t="n">
        <f aca="false">R30*Pricing!$B$6*Assumptions!$E$154*CHOOSE(Assumptions!$E$121,Pricing!$B$20,Pricing!$B$30,Pricing!$B$40)+R31*Pricing!$C$6*Assumptions!$E$154*CHOOSE(Assumptions!$E$121,Pricing!$C$20,Pricing!$C$30,Pricing!$C$40)+R32*Pricing!$D$6*Assumptions!$E$154*CHOOSE(Assumptions!$E$121,Pricing!$D$20,Pricing!$D$30,Pricing!$D$40)+R33*Pricing!$E$6*Assumptions!$E$154*CHOOSE(Assumptions!$E$121,Pricing!$E$20,Pricing!$E$30,Pricing!$E$40)</f>
        <v>782.533556083612</v>
      </c>
      <c r="S70" s="37" t="n">
        <f aca="false">S30*Pricing!$B$6*Assumptions!$E$154*CHOOSE(Assumptions!$E$121,Pricing!$B$20,Pricing!$B$30,Pricing!$B$40)+S31*Pricing!$C$6*Assumptions!$E$154*CHOOSE(Assumptions!$E$121,Pricing!$C$20,Pricing!$C$30,Pricing!$C$40)+S32*Pricing!$D$6*Assumptions!$E$154*CHOOSE(Assumptions!$E$121,Pricing!$D$20,Pricing!$D$30,Pricing!$D$40)+S33*Pricing!$E$6*Assumptions!$E$154*CHOOSE(Assumptions!$E$121,Pricing!$E$20,Pricing!$E$30,Pricing!$E$40)</f>
        <v>888.850817568102</v>
      </c>
      <c r="T70" s="37" t="n">
        <f aca="false">T30*Pricing!$B$6*Assumptions!$E$154*CHOOSE(Assumptions!$E$121,Pricing!$B$20,Pricing!$B$30,Pricing!$B$40)+T31*Pricing!$C$6*Assumptions!$E$154*CHOOSE(Assumptions!$E$121,Pricing!$C$20,Pricing!$C$30,Pricing!$C$40)+T32*Pricing!$D$6*Assumptions!$E$154*CHOOSE(Assumptions!$E$121,Pricing!$D$20,Pricing!$D$30,Pricing!$D$40)+T33*Pricing!$E$6*Assumptions!$E$154*CHOOSE(Assumptions!$E$121,Pricing!$E$20,Pricing!$E$30,Pricing!$E$40)</f>
        <v>1000.51782851626</v>
      </c>
      <c r="U70" s="37" t="n">
        <f aca="false">U30*Pricing!$B$6*Assumptions!$E$154*CHOOSE(Assumptions!$E$121,Pricing!$B$20,Pricing!$B$30,Pricing!$B$40)+U31*Pricing!$C$6*Assumptions!$E$154*CHOOSE(Assumptions!$E$121,Pricing!$C$20,Pricing!$C$30,Pricing!$C$40)+U32*Pricing!$D$6*Assumptions!$E$154*CHOOSE(Assumptions!$E$121,Pricing!$D$20,Pricing!$D$30,Pricing!$D$40)+U33*Pricing!$E$6*Assumptions!$E$154*CHOOSE(Assumptions!$E$121,Pricing!$E$20,Pricing!$E$30,Pricing!$E$40)</f>
        <v>1138.0262896665</v>
      </c>
      <c r="V70" s="37" t="n">
        <f aca="false">V30*Pricing!$B$6*Assumptions!$E$154*CHOOSE(Assumptions!$E$121,Pricing!$B$20,Pricing!$B$30,Pricing!$B$40)+V31*Pricing!$C$6*Assumptions!$E$154*CHOOSE(Assumptions!$E$121,Pricing!$C$20,Pricing!$C$30,Pricing!$C$40)+V32*Pricing!$D$6*Assumptions!$E$154*CHOOSE(Assumptions!$E$121,Pricing!$D$20,Pricing!$D$30,Pricing!$D$40)+V33*Pricing!$E$6*Assumptions!$E$154*CHOOSE(Assumptions!$E$121,Pricing!$E$20,Pricing!$E$30,Pricing!$E$40)</f>
        <v>1280.61092582266</v>
      </c>
      <c r="W70" s="37" t="n">
        <f aca="false">W30*Pricing!$B$6*Assumptions!$E$154*CHOOSE(Assumptions!$E$121,Pricing!$B$20,Pricing!$B$30,Pricing!$B$40)+W31*Pricing!$C$6*Assumptions!$E$154*CHOOSE(Assumptions!$E$121,Pricing!$C$20,Pricing!$C$30,Pricing!$C$40)+W32*Pricing!$D$6*Assumptions!$E$154*CHOOSE(Assumptions!$E$121,Pricing!$D$20,Pricing!$D$30,Pricing!$D$40)+W33*Pricing!$E$6*Assumptions!$E$154*CHOOSE(Assumptions!$E$121,Pricing!$E$20,Pricing!$E$30,Pricing!$E$40)</f>
        <v>1428.19859887629</v>
      </c>
      <c r="X70" s="37" t="n">
        <f aca="false">X30*Pricing!$B$6*Assumptions!$E$154*CHOOSE(Assumptions!$E$121,Pricing!$B$20,Pricing!$B$30,Pricing!$B$40)+X31*Pricing!$C$6*Assumptions!$E$154*CHOOSE(Assumptions!$E$121,Pricing!$C$20,Pricing!$C$30,Pricing!$C$40)+X32*Pricing!$D$6*Assumptions!$E$154*CHOOSE(Assumptions!$E$121,Pricing!$D$20,Pricing!$D$30,Pricing!$D$40)+X33*Pricing!$E$6*Assumptions!$E$154*CHOOSE(Assumptions!$E$121,Pricing!$E$20,Pricing!$E$30,Pricing!$E$40)</f>
        <v>1580.71759633185</v>
      </c>
      <c r="Y70" s="37" t="n">
        <f aca="false">Y30*Pricing!$B$6*Assumptions!$E$154*CHOOSE(Assumptions!$E$121,Pricing!$B$20,Pricing!$B$30,Pricing!$B$40)+Y31*Pricing!$C$6*Assumptions!$E$154*CHOOSE(Assumptions!$E$121,Pricing!$C$20,Pricing!$C$30,Pricing!$C$40)+Y32*Pricing!$D$6*Assumptions!$E$154*CHOOSE(Assumptions!$E$121,Pricing!$D$20,Pricing!$D$30,Pricing!$D$40)+Y33*Pricing!$E$6*Assumptions!$E$154*CHOOSE(Assumptions!$E$121,Pricing!$E$20,Pricing!$E$30,Pricing!$E$40)</f>
        <v>1738.09760017267</v>
      </c>
      <c r="Z70" s="37" t="n">
        <f aca="false">Z30*Pricing!$B$6*Assumptions!$E$154*CHOOSE(Assumptions!$E$121,Pricing!$B$20,Pricing!$B$30,Pricing!$B$40)+Z31*Pricing!$C$6*Assumptions!$E$154*CHOOSE(Assumptions!$E$121,Pricing!$C$20,Pricing!$C$30,Pricing!$C$40)+Z32*Pricing!$D$6*Assumptions!$E$154*CHOOSE(Assumptions!$E$121,Pricing!$D$20,Pricing!$D$30,Pricing!$D$40)+Z33*Pricing!$E$6*Assumptions!$E$154*CHOOSE(Assumptions!$E$121,Pricing!$E$20,Pricing!$E$30,Pricing!$E$40)</f>
        <v>1900.26965643587</v>
      </c>
      <c r="AA70" s="37" t="n">
        <f aca="false">AA30*Pricing!$B$6*Assumptions!$E$154*CHOOSE(Assumptions!$E$121,Pricing!$B$20,Pricing!$B$30,Pricing!$B$40)+AA31*Pricing!$C$6*Assumptions!$E$154*CHOOSE(Assumptions!$E$121,Pricing!$C$20,Pricing!$C$30,Pricing!$C$40)+AA32*Pricing!$D$6*Assumptions!$E$154*CHOOSE(Assumptions!$E$121,Pricing!$D$20,Pricing!$D$30,Pricing!$D$40)+AA33*Pricing!$E$6*Assumptions!$E$154*CHOOSE(Assumptions!$E$121,Pricing!$E$20,Pricing!$E$30,Pricing!$E$40)</f>
        <v>2067.1661454797</v>
      </c>
      <c r="AB70" s="37" t="n">
        <f aca="false">AB30*Pricing!$B$6*Assumptions!$E$154*CHOOSE(Assumptions!$E$121,Pricing!$B$20,Pricing!$B$30,Pricing!$B$40)+AB31*Pricing!$C$6*Assumptions!$E$154*CHOOSE(Assumptions!$E$121,Pricing!$C$20,Pricing!$C$30,Pricing!$C$40)+AB32*Pricing!$D$6*Assumptions!$E$154*CHOOSE(Assumptions!$E$121,Pricing!$D$20,Pricing!$D$30,Pricing!$D$40)+AB33*Pricing!$E$6*Assumptions!$E$154*CHOOSE(Assumptions!$E$121,Pricing!$E$20,Pricing!$E$30,Pricing!$E$40)</f>
        <v>2238.72075292715</v>
      </c>
      <c r="AC70" s="37" t="n">
        <f aca="false">AC30*Pricing!$B$6*Assumptions!$E$154*CHOOSE(Assumptions!$E$121,Pricing!$B$20,Pricing!$B$30,Pricing!$B$40)+AC31*Pricing!$C$6*Assumptions!$E$154*CHOOSE(Assumptions!$E$121,Pricing!$C$20,Pricing!$C$30,Pricing!$C$40)+AC32*Pricing!$D$6*Assumptions!$E$154*CHOOSE(Assumptions!$E$121,Pricing!$D$20,Pricing!$D$30,Pricing!$D$40)+AC33*Pricing!$E$6*Assumptions!$E$154*CHOOSE(Assumptions!$E$121,Pricing!$E$20,Pricing!$E$30,Pricing!$E$40)</f>
        <v>2414.86844127026</v>
      </c>
      <c r="AD70" s="37" t="n">
        <f aca="false">AD30*Pricing!$B$6*Assumptions!$E$154*CHOOSE(Assumptions!$E$121,Pricing!$B$20,Pricing!$B$30,Pricing!$B$40)+AD31*Pricing!$C$6*Assumptions!$E$154*CHOOSE(Assumptions!$E$121,Pricing!$C$20,Pricing!$C$30,Pricing!$C$40)+AD32*Pricing!$D$6*Assumptions!$E$154*CHOOSE(Assumptions!$E$121,Pricing!$D$20,Pricing!$D$30,Pricing!$D$40)+AD33*Pricing!$E$6*Assumptions!$E$154*CHOOSE(Assumptions!$E$121,Pricing!$E$20,Pricing!$E$30,Pricing!$E$40)</f>
        <v>2595.54542211974</v>
      </c>
      <c r="AE70" s="37" t="n">
        <f aca="false">AE30*Pricing!$B$6*Assumptions!$E$154*CHOOSE(Assumptions!$E$121,Pricing!$B$20,Pricing!$B$30,Pricing!$B$40)+AE31*Pricing!$C$6*Assumptions!$E$154*CHOOSE(Assumptions!$E$121,Pricing!$C$20,Pricing!$C$30,Pricing!$C$40)+AE32*Pricing!$D$6*Assumptions!$E$154*CHOOSE(Assumptions!$E$121,Pricing!$D$20,Pricing!$D$30,Pricing!$D$40)+AE33*Pricing!$E$6*Assumptions!$E$154*CHOOSE(Assumptions!$E$121,Pricing!$E$20,Pricing!$E$30,Pricing!$E$40)</f>
        <v>2801.25770434448</v>
      </c>
      <c r="AF70" s="37" t="n">
        <f aca="false">AF30*Pricing!$B$6*Assumptions!$E$154*CHOOSE(Assumptions!$E$121,Pricing!$B$20,Pricing!$B$30,Pricing!$B$40)+AF31*Pricing!$C$6*Assumptions!$E$154*CHOOSE(Assumptions!$E$121,Pricing!$C$20,Pricing!$C$30,Pricing!$C$40)+AF32*Pricing!$D$6*Assumptions!$E$154*CHOOSE(Assumptions!$E$121,Pricing!$D$20,Pricing!$D$30,Pricing!$D$40)+AF33*Pricing!$E$6*Assumptions!$E$154*CHOOSE(Assumptions!$E$121,Pricing!$E$20,Pricing!$E$30,Pricing!$E$40)</f>
        <v>3011.25402091261</v>
      </c>
      <c r="AG70" s="37" t="n">
        <f aca="false">AG30*Pricing!$B$6*Assumptions!$E$154*CHOOSE(Assumptions!$E$121,Pricing!$B$20,Pricing!$B$30,Pricing!$B$40)+AG31*Pricing!$C$6*Assumptions!$E$154*CHOOSE(Assumptions!$E$121,Pricing!$C$20,Pricing!$C$30,Pricing!$C$40)+AG32*Pricing!$D$6*Assumptions!$E$154*CHOOSE(Assumptions!$E$121,Pricing!$D$20,Pricing!$D$30,Pricing!$D$40)+AG33*Pricing!$E$6*Assumptions!$E$154*CHOOSE(Assumptions!$E$121,Pricing!$E$20,Pricing!$E$30,Pricing!$E$40)</f>
        <v>3225.4749486519</v>
      </c>
      <c r="AH70" s="37" t="n">
        <f aca="false">AH30*Pricing!$B$6*Assumptions!$E$154*CHOOSE(Assumptions!$E$121,Pricing!$B$20,Pricing!$B$30,Pricing!$B$40)+AH31*Pricing!$C$6*Assumptions!$E$154*CHOOSE(Assumptions!$E$121,Pricing!$C$20,Pricing!$C$30,Pricing!$C$40)+AH32*Pricing!$D$6*Assumptions!$E$154*CHOOSE(Assumptions!$E$121,Pricing!$D$20,Pricing!$D$30,Pricing!$D$40)+AH33*Pricing!$E$6*Assumptions!$E$154*CHOOSE(Assumptions!$E$121,Pricing!$E$20,Pricing!$E$30,Pricing!$E$40)</f>
        <v>3443.41103750396</v>
      </c>
      <c r="AI70" s="37" t="n">
        <f aca="false">AI30*Pricing!$B$6*Assumptions!$E$154*CHOOSE(Assumptions!$E$121,Pricing!$B$20,Pricing!$B$30,Pricing!$B$40)+AI31*Pricing!$C$6*Assumptions!$E$154*CHOOSE(Assumptions!$E$121,Pricing!$C$20,Pricing!$C$30,Pricing!$C$40)+AI32*Pricing!$D$6*Assumptions!$E$154*CHOOSE(Assumptions!$E$121,Pricing!$D$20,Pricing!$D$30,Pricing!$D$40)+AI33*Pricing!$E$6*Assumptions!$E$154*CHOOSE(Assumptions!$E$121,Pricing!$E$20,Pricing!$E$30,Pricing!$E$40)</f>
        <v>3663.43731618677</v>
      </c>
      <c r="AJ70" s="37" t="n">
        <f aca="false">AJ30*Pricing!$B$6*Assumptions!$E$154*CHOOSE(Assumptions!$E$121,Pricing!$B$20,Pricing!$B$30,Pricing!$B$40)+AJ31*Pricing!$C$6*Assumptions!$E$154*CHOOSE(Assumptions!$E$121,Pricing!$C$20,Pricing!$C$30,Pricing!$C$40)+AJ32*Pricing!$D$6*Assumptions!$E$154*CHOOSE(Assumptions!$E$121,Pricing!$D$20,Pricing!$D$30,Pricing!$D$40)+AJ33*Pricing!$E$6*Assumptions!$E$154*CHOOSE(Assumptions!$E$121,Pricing!$E$20,Pricing!$E$30,Pricing!$E$40)</f>
        <v>3885.54817905845</v>
      </c>
      <c r="AK70" s="37" t="n">
        <f aca="false">AK30*Pricing!$B$6*Assumptions!$E$154*CHOOSE(Assumptions!$E$121,Pricing!$B$20,Pricing!$B$30,Pricing!$B$40)+AK31*Pricing!$C$6*Assumptions!$E$154*CHOOSE(Assumptions!$E$121,Pricing!$C$20,Pricing!$C$30,Pricing!$C$40)+AK32*Pricing!$D$6*Assumptions!$E$154*CHOOSE(Assumptions!$E$121,Pricing!$D$20,Pricing!$D$30,Pricing!$D$40)+AK33*Pricing!$E$6*Assumptions!$E$154*CHOOSE(Assumptions!$E$121,Pricing!$E$20,Pricing!$E$30,Pricing!$E$40)</f>
        <v>4109.73782514658</v>
      </c>
      <c r="AL70" s="37" t="n">
        <f aca="false">AL30*Pricing!$B$6*Assumptions!$E$154*CHOOSE(Assumptions!$E$121,Pricing!$B$20,Pricing!$B$30,Pricing!$B$40)+AL31*Pricing!$C$6*Assumptions!$E$154*CHOOSE(Assumptions!$E$121,Pricing!$C$20,Pricing!$C$30,Pricing!$C$40)+AL32*Pricing!$D$6*Assumptions!$E$154*CHOOSE(Assumptions!$E$121,Pricing!$D$20,Pricing!$D$30,Pricing!$D$40)+AL33*Pricing!$E$6*Assumptions!$E$154*CHOOSE(Assumptions!$E$121,Pricing!$E$20,Pricing!$E$30,Pricing!$E$40)</f>
        <v>4336.00026663315</v>
      </c>
    </row>
    <row r="71" customFormat="false" ht="15" hidden="false" customHeight="false" outlineLevel="0" collapsed="false">
      <c r="A71" s="9" t="s">
        <v>615</v>
      </c>
      <c r="B71" s="2" t="s">
        <v>105</v>
      </c>
      <c r="C71" s="37" t="n">
        <f aca="false">C30*Assumptions!$D$88*CHOOSE(Assumptions!$E$121,Unit_Costs!$Q$16,Unit_Costs!$Q$30,Unit_Costs!$Q$44)+C31*Assumptions!$D$89*CHOOSE(Assumptions!$E$121,Unit_Costs!$Q$16,Unit_Costs!$Q$30,Unit_Costs!$Q$44)+C32*Assumptions!$D$90*CHOOSE(Assumptions!$E$121,Unit_Costs!$Q$16,Unit_Costs!$Q$30,Unit_Costs!$Q$44)+C33*Assumptions!$D$91*CHOOSE(Assumptions!$E$121,Unit_Costs!$Q$16,Unit_Costs!$Q$30,Unit_Costs!$Q$44)</f>
        <v>0</v>
      </c>
      <c r="D71" s="37" t="n">
        <f aca="false">D30*Assumptions!$D$88*CHOOSE(Assumptions!$E$121,Unit_Costs!$Q$16,Unit_Costs!$Q$30,Unit_Costs!$Q$44)+D31*Assumptions!$D$89*CHOOSE(Assumptions!$E$121,Unit_Costs!$Q$16,Unit_Costs!$Q$30,Unit_Costs!$Q$44)+D32*Assumptions!$D$90*CHOOSE(Assumptions!$E$121,Unit_Costs!$Q$16,Unit_Costs!$Q$30,Unit_Costs!$Q$44)+D33*Assumptions!$D$91*CHOOSE(Assumptions!$E$121,Unit_Costs!$Q$16,Unit_Costs!$Q$30,Unit_Costs!$Q$44)</f>
        <v>0</v>
      </c>
      <c r="E71" s="37" t="n">
        <f aca="false">E30*Assumptions!$D$88*CHOOSE(Assumptions!$E$121,Unit_Costs!$Q$16,Unit_Costs!$Q$30,Unit_Costs!$Q$44)+E31*Assumptions!$D$89*CHOOSE(Assumptions!$E$121,Unit_Costs!$Q$16,Unit_Costs!$Q$30,Unit_Costs!$Q$44)+E32*Assumptions!$D$90*CHOOSE(Assumptions!$E$121,Unit_Costs!$Q$16,Unit_Costs!$Q$30,Unit_Costs!$Q$44)+E33*Assumptions!$D$91*CHOOSE(Assumptions!$E$121,Unit_Costs!$Q$16,Unit_Costs!$Q$30,Unit_Costs!$Q$44)</f>
        <v>0</v>
      </c>
      <c r="F71" s="37" t="n">
        <f aca="false">F30*Assumptions!$D$88*CHOOSE(Assumptions!$E$121,Unit_Costs!$Q$16,Unit_Costs!$Q$30,Unit_Costs!$Q$44)+F31*Assumptions!$D$89*CHOOSE(Assumptions!$E$121,Unit_Costs!$Q$16,Unit_Costs!$Q$30,Unit_Costs!$Q$44)+F32*Assumptions!$D$90*CHOOSE(Assumptions!$E$121,Unit_Costs!$Q$16,Unit_Costs!$Q$30,Unit_Costs!$Q$44)+F33*Assumptions!$D$91*CHOOSE(Assumptions!$E$121,Unit_Costs!$Q$16,Unit_Costs!$Q$30,Unit_Costs!$Q$44)</f>
        <v>7.115875</v>
      </c>
      <c r="G71" s="37" t="n">
        <f aca="false">G30*Assumptions!$D$88*CHOOSE(Assumptions!$E$121,Unit_Costs!$Q$16,Unit_Costs!$Q$30,Unit_Costs!$Q$44)+G31*Assumptions!$D$89*CHOOSE(Assumptions!$E$121,Unit_Costs!$Q$16,Unit_Costs!$Q$30,Unit_Costs!$Q$44)+G32*Assumptions!$D$90*CHOOSE(Assumptions!$E$121,Unit_Costs!$Q$16,Unit_Costs!$Q$30,Unit_Costs!$Q$44)+G33*Assumptions!$D$91*CHOOSE(Assumptions!$E$121,Unit_Costs!$Q$16,Unit_Costs!$Q$30,Unit_Costs!$Q$44)</f>
        <v>22.450585625</v>
      </c>
      <c r="H71" s="37" t="n">
        <f aca="false">H30*Assumptions!$D$88*CHOOSE(Assumptions!$E$121,Unit_Costs!$Q$16,Unit_Costs!$Q$30,Unit_Costs!$Q$44)+H31*Assumptions!$D$89*CHOOSE(Assumptions!$E$121,Unit_Costs!$Q$16,Unit_Costs!$Q$30,Unit_Costs!$Q$44)+H32*Assumptions!$D$90*CHOOSE(Assumptions!$E$121,Unit_Costs!$Q$16,Unit_Costs!$Q$30,Unit_Costs!$Q$44)+H33*Assumptions!$D$91*CHOOSE(Assumptions!$E$121,Unit_Costs!$Q$16,Unit_Costs!$Q$30,Unit_Costs!$Q$44)</f>
        <v>53.377067859375</v>
      </c>
      <c r="I71" s="37" t="n">
        <f aca="false">I30*Assumptions!$D$88*CHOOSE(Assumptions!$E$121,Unit_Costs!$Q$16,Unit_Costs!$Q$30,Unit_Costs!$Q$44)+I31*Assumptions!$D$89*CHOOSE(Assumptions!$E$121,Unit_Costs!$Q$16,Unit_Costs!$Q$30,Unit_Costs!$Q$44)+I32*Assumptions!$D$90*CHOOSE(Assumptions!$E$121,Unit_Costs!$Q$16,Unit_Costs!$Q$30,Unit_Costs!$Q$44)+I33*Assumptions!$D$91*CHOOSE(Assumptions!$E$121,Unit_Costs!$Q$16,Unit_Costs!$Q$30,Unit_Costs!$Q$44)</f>
        <v>89.0644040253906</v>
      </c>
      <c r="J71" s="37" t="n">
        <f aca="false">J30*Assumptions!$D$88*CHOOSE(Assumptions!$E$121,Unit_Costs!$Q$16,Unit_Costs!$Q$30,Unit_Costs!$Q$44)+J31*Assumptions!$D$89*CHOOSE(Assumptions!$E$121,Unit_Costs!$Q$16,Unit_Costs!$Q$30,Unit_Costs!$Q$44)+J32*Assumptions!$D$90*CHOOSE(Assumptions!$E$121,Unit_Costs!$Q$16,Unit_Costs!$Q$30,Unit_Costs!$Q$44)+J33*Assumptions!$D$91*CHOOSE(Assumptions!$E$121,Unit_Costs!$Q$16,Unit_Costs!$Q$30,Unit_Costs!$Q$44)</f>
        <v>129.437618262037</v>
      </c>
      <c r="K71" s="37" t="n">
        <f aca="false">K30*Assumptions!$D$88*CHOOSE(Assumptions!$E$121,Unit_Costs!$Q$16,Unit_Costs!$Q$30,Unit_Costs!$Q$44)+K31*Assumptions!$D$89*CHOOSE(Assumptions!$E$121,Unit_Costs!$Q$16,Unit_Costs!$Q$30,Unit_Costs!$Q$44)+K32*Assumptions!$D$90*CHOOSE(Assumptions!$E$121,Unit_Costs!$Q$16,Unit_Costs!$Q$30,Unit_Costs!$Q$44)+K33*Assumptions!$D$91*CHOOSE(Assumptions!$E$121,Unit_Costs!$Q$16,Unit_Costs!$Q$30,Unit_Costs!$Q$44)</f>
        <v>174.423174160313</v>
      </c>
      <c r="L71" s="37" t="n">
        <f aca="false">L30*Assumptions!$D$88*CHOOSE(Assumptions!$E$121,Unit_Costs!$Q$16,Unit_Costs!$Q$30,Unit_Costs!$Q$44)+L31*Assumptions!$D$89*CHOOSE(Assumptions!$E$121,Unit_Costs!$Q$16,Unit_Costs!$Q$30,Unit_Costs!$Q$44)+L32*Assumptions!$D$90*CHOOSE(Assumptions!$E$121,Unit_Costs!$Q$16,Unit_Costs!$Q$30,Unit_Costs!$Q$44)+L33*Assumptions!$D$91*CHOOSE(Assumptions!$E$121,Unit_Costs!$Q$16,Unit_Costs!$Q$30,Unit_Costs!$Q$44)</f>
        <v>241.027044131075</v>
      </c>
      <c r="M71" s="37" t="n">
        <f aca="false">M30*Assumptions!$D$88*CHOOSE(Assumptions!$E$121,Unit_Costs!$Q$16,Unit_Costs!$Q$30,Unit_Costs!$Q$44)+M31*Assumptions!$D$89*CHOOSE(Assumptions!$E$121,Unit_Costs!$Q$16,Unit_Costs!$Q$30,Unit_Costs!$Q$44)+M32*Assumptions!$D$90*CHOOSE(Assumptions!$E$121,Unit_Costs!$Q$16,Unit_Costs!$Q$30,Unit_Costs!$Q$44)+M33*Assumptions!$D$91*CHOOSE(Assumptions!$E$121,Unit_Costs!$Q$16,Unit_Costs!$Q$30,Unit_Costs!$Q$44)</f>
        <v>313.739877056698</v>
      </c>
      <c r="N71" s="37" t="n">
        <f aca="false">N30*Assumptions!$D$88*CHOOSE(Assumptions!$E$121,Unit_Costs!$Q$16,Unit_Costs!$Q$30,Unit_Costs!$Q$44)+N31*Assumptions!$D$89*CHOOSE(Assumptions!$E$121,Unit_Costs!$Q$16,Unit_Costs!$Q$30,Unit_Costs!$Q$44)+N32*Assumptions!$D$90*CHOOSE(Assumptions!$E$121,Unit_Costs!$Q$16,Unit_Costs!$Q$30,Unit_Costs!$Q$44)+N33*Assumptions!$D$91*CHOOSE(Assumptions!$E$121,Unit_Costs!$Q$16,Unit_Costs!$Q$30,Unit_Costs!$Q$44)</f>
        <v>392.485715820491</v>
      </c>
      <c r="O71" s="37" t="n">
        <f aca="false">O30*Assumptions!$D$88*CHOOSE(Assumptions!$E$121,Unit_Costs!$Q$16,Unit_Costs!$Q$30,Unit_Costs!$Q$44)+O31*Assumptions!$D$89*CHOOSE(Assumptions!$E$121,Unit_Costs!$Q$16,Unit_Costs!$Q$30,Unit_Costs!$Q$44)+O32*Assumptions!$D$90*CHOOSE(Assumptions!$E$121,Unit_Costs!$Q$16,Unit_Costs!$Q$30,Unit_Costs!$Q$44)+O33*Assumptions!$D$91*CHOOSE(Assumptions!$E$121,Unit_Costs!$Q$16,Unit_Costs!$Q$30,Unit_Costs!$Q$44)</f>
        <v>477.189950501765</v>
      </c>
      <c r="P71" s="37" t="n">
        <f aca="false">P30*Assumptions!$D$88*CHOOSE(Assumptions!$E$121,Unit_Costs!$Q$16,Unit_Costs!$Q$30,Unit_Costs!$Q$44)+P31*Assumptions!$D$89*CHOOSE(Assumptions!$E$121,Unit_Costs!$Q$16,Unit_Costs!$Q$30,Unit_Costs!$Q$44)+P32*Assumptions!$D$90*CHOOSE(Assumptions!$E$121,Unit_Costs!$Q$16,Unit_Costs!$Q$30,Unit_Costs!$Q$44)+P33*Assumptions!$D$91*CHOOSE(Assumptions!$E$121,Unit_Costs!$Q$16,Unit_Costs!$Q$30,Unit_Costs!$Q$44)</f>
        <v>567.779290281566</v>
      </c>
      <c r="Q71" s="37" t="n">
        <f aca="false">Q30*Assumptions!$D$88*CHOOSE(Assumptions!$E$121,Unit_Costs!$Q$16,Unit_Costs!$Q$30,Unit_Costs!$Q$44)+Q31*Assumptions!$D$89*CHOOSE(Assumptions!$E$121,Unit_Costs!$Q$16,Unit_Costs!$Q$30,Unit_Costs!$Q$44)+Q32*Assumptions!$D$90*CHOOSE(Assumptions!$E$121,Unit_Costs!$Q$16,Unit_Costs!$Q$30,Unit_Costs!$Q$44)+Q33*Assumptions!$D$91*CHOOSE(Assumptions!$E$121,Unit_Costs!$Q$16,Unit_Costs!$Q$30,Unit_Costs!$Q$44)</f>
        <v>664.181735972205</v>
      </c>
      <c r="R71" s="37" t="n">
        <f aca="false">R30*Assumptions!$D$88*CHOOSE(Assumptions!$E$121,Unit_Costs!$Q$16,Unit_Costs!$Q$30,Unit_Costs!$Q$44)+R31*Assumptions!$D$89*CHOOSE(Assumptions!$E$121,Unit_Costs!$Q$16,Unit_Costs!$Q$30,Unit_Costs!$Q$44)+R32*Assumptions!$D$90*CHOOSE(Assumptions!$E$121,Unit_Costs!$Q$16,Unit_Costs!$Q$30,Unit_Costs!$Q$44)+R33*Assumptions!$D$91*CHOOSE(Assumptions!$E$121,Unit_Costs!$Q$16,Unit_Costs!$Q$30,Unit_Costs!$Q$44)</f>
        <v>766.326553156352</v>
      </c>
      <c r="S71" s="37" t="n">
        <f aca="false">S30*Assumptions!$D$88*CHOOSE(Assumptions!$E$121,Unit_Costs!$Q$16,Unit_Costs!$Q$30,Unit_Costs!$Q$44)+S31*Assumptions!$D$89*CHOOSE(Assumptions!$E$121,Unit_Costs!$Q$16,Unit_Costs!$Q$30,Unit_Costs!$Q$44)+S32*Assumptions!$D$90*CHOOSE(Assumptions!$E$121,Unit_Costs!$Q$16,Unit_Costs!$Q$30,Unit_Costs!$Q$44)+S33*Assumptions!$D$91*CHOOSE(Assumptions!$E$121,Unit_Costs!$Q$16,Unit_Costs!$Q$30,Unit_Costs!$Q$44)</f>
        <v>874.144245921771</v>
      </c>
      <c r="T71" s="37" t="n">
        <f aca="false">T30*Assumptions!$D$88*CHOOSE(Assumptions!$E$121,Unit_Costs!$Q$16,Unit_Costs!$Q$30,Unit_Costs!$Q$44)+T31*Assumptions!$D$89*CHOOSE(Assumptions!$E$121,Unit_Costs!$Q$16,Unit_Costs!$Q$30,Unit_Costs!$Q$44)+T32*Assumptions!$D$90*CHOOSE(Assumptions!$E$121,Unit_Costs!$Q$16,Unit_Costs!$Q$30,Unit_Costs!$Q$44)+T33*Assumptions!$D$91*CHOOSE(Assumptions!$E$121,Unit_Costs!$Q$16,Unit_Costs!$Q$30,Unit_Costs!$Q$44)</f>
        <v>987.566531178112</v>
      </c>
      <c r="U71" s="37" t="n">
        <f aca="false">U30*Assumptions!$D$88*CHOOSE(Assumptions!$E$121,Unit_Costs!$Q$16,Unit_Costs!$Q$30,Unit_Costs!$Q$44)+U31*Assumptions!$D$89*CHOOSE(Assumptions!$E$121,Unit_Costs!$Q$16,Unit_Costs!$Q$30,Unit_Costs!$Q$44)+U32*Assumptions!$D$90*CHOOSE(Assumptions!$E$121,Unit_Costs!$Q$16,Unit_Costs!$Q$30,Unit_Costs!$Q$44)+U33*Assumptions!$D$91*CHOOSE(Assumptions!$E$121,Unit_Costs!$Q$16,Unit_Costs!$Q$30,Unit_Costs!$Q$44)</f>
        <v>1134.9898135425</v>
      </c>
      <c r="V71" s="37" t="n">
        <f aca="false">V30*Assumptions!$D$88*CHOOSE(Assumptions!$E$121,Unit_Costs!$Q$16,Unit_Costs!$Q$30,Unit_Costs!$Q$44)+V31*Assumptions!$D$89*CHOOSE(Assumptions!$E$121,Unit_Costs!$Q$16,Unit_Costs!$Q$30,Unit_Costs!$Q$44)+V32*Assumptions!$D$90*CHOOSE(Assumptions!$E$121,Unit_Costs!$Q$16,Unit_Costs!$Q$30,Unit_Costs!$Q$44)+V33*Assumptions!$D$91*CHOOSE(Assumptions!$E$121,Unit_Costs!$Q$16,Unit_Costs!$Q$30,Unit_Costs!$Q$44)</f>
        <v>1287.71103343092</v>
      </c>
      <c r="W71" s="37" t="n">
        <f aca="false">W30*Assumptions!$D$88*CHOOSE(Assumptions!$E$121,Unit_Costs!$Q$16,Unit_Costs!$Q$30,Unit_Costs!$Q$44)+W31*Assumptions!$D$89*CHOOSE(Assumptions!$E$121,Unit_Costs!$Q$16,Unit_Costs!$Q$30,Unit_Costs!$Q$44)+W32*Assumptions!$D$90*CHOOSE(Assumptions!$E$121,Unit_Costs!$Q$16,Unit_Costs!$Q$30,Unit_Costs!$Q$44)+W33*Assumptions!$D$91*CHOOSE(Assumptions!$E$121,Unit_Costs!$Q$16,Unit_Costs!$Q$30,Unit_Costs!$Q$44)</f>
        <v>1445.6665405523</v>
      </c>
      <c r="X71" s="37" t="n">
        <f aca="false">X30*Assumptions!$D$88*CHOOSE(Assumptions!$E$121,Unit_Costs!$Q$16,Unit_Costs!$Q$30,Unit_Costs!$Q$44)+X31*Assumptions!$D$89*CHOOSE(Assumptions!$E$121,Unit_Costs!$Q$16,Unit_Costs!$Q$30,Unit_Costs!$Q$44)+X32*Assumptions!$D$90*CHOOSE(Assumptions!$E$121,Unit_Costs!$Q$16,Unit_Costs!$Q$30,Unit_Costs!$Q$44)+X33*Assumptions!$D$91*CHOOSE(Assumptions!$E$121,Unit_Costs!$Q$16,Unit_Costs!$Q$30,Unit_Costs!$Q$44)</f>
        <v>1608.79379233085</v>
      </c>
      <c r="Y71" s="37" t="n">
        <f aca="false">Y30*Assumptions!$D$88*CHOOSE(Assumptions!$E$121,Unit_Costs!$Q$16,Unit_Costs!$Q$30,Unit_Costs!$Q$44)+Y31*Assumptions!$D$89*CHOOSE(Assumptions!$E$121,Unit_Costs!$Q$16,Unit_Costs!$Q$30,Unit_Costs!$Q$44)+Y32*Assumptions!$D$90*CHOOSE(Assumptions!$E$121,Unit_Costs!$Q$16,Unit_Costs!$Q$30,Unit_Costs!$Q$44)+Y33*Assumptions!$D$91*CHOOSE(Assumptions!$E$121,Unit_Costs!$Q$16,Unit_Costs!$Q$30,Unit_Costs!$Q$44)</f>
        <v>1777.03133099703</v>
      </c>
      <c r="Z71" s="37" t="n">
        <f aca="false">Z30*Assumptions!$D$88*CHOOSE(Assumptions!$E$121,Unit_Costs!$Q$16,Unit_Costs!$Q$30,Unit_Costs!$Q$44)+Z31*Assumptions!$D$89*CHOOSE(Assumptions!$E$121,Unit_Costs!$Q$16,Unit_Costs!$Q$30,Unit_Costs!$Q$44)+Z32*Assumptions!$D$90*CHOOSE(Assumptions!$E$121,Unit_Costs!$Q$16,Unit_Costs!$Q$30,Unit_Costs!$Q$44)+Z33*Assumptions!$D$91*CHOOSE(Assumptions!$E$121,Unit_Costs!$Q$16,Unit_Costs!$Q$30,Unit_Costs!$Q$44)</f>
        <v>1950.31876118498</v>
      </c>
      <c r="AA71" s="37" t="n">
        <f aca="false">AA30*Assumptions!$D$88*CHOOSE(Assumptions!$E$121,Unit_Costs!$Q$16,Unit_Costs!$Q$30,Unit_Costs!$Q$44)+AA31*Assumptions!$D$89*CHOOSE(Assumptions!$E$121,Unit_Costs!$Q$16,Unit_Costs!$Q$30,Unit_Costs!$Q$44)+AA32*Assumptions!$D$90*CHOOSE(Assumptions!$E$121,Unit_Costs!$Q$16,Unit_Costs!$Q$30,Unit_Costs!$Q$44)+AA33*Assumptions!$D$91*CHOOSE(Assumptions!$E$121,Unit_Costs!$Q$16,Unit_Costs!$Q$30,Unit_Costs!$Q$44)</f>
        <v>2128.59672802501</v>
      </c>
      <c r="AB71" s="37" t="n">
        <f aca="false">AB30*Assumptions!$D$88*CHOOSE(Assumptions!$E$121,Unit_Costs!$Q$16,Unit_Costs!$Q$30,Unit_Costs!$Q$44)+AB31*Assumptions!$D$89*CHOOSE(Assumptions!$E$121,Unit_Costs!$Q$16,Unit_Costs!$Q$30,Unit_Costs!$Q$44)+AB32*Assumptions!$D$90*CHOOSE(Assumptions!$E$121,Unit_Costs!$Q$16,Unit_Costs!$Q$30,Unit_Costs!$Q$44)+AB33*Assumptions!$D$91*CHOOSE(Assumptions!$E$121,Unit_Costs!$Q$16,Unit_Costs!$Q$30,Unit_Costs!$Q$44)</f>
        <v>2311.80689571959</v>
      </c>
      <c r="AC71" s="37" t="n">
        <f aca="false">AC30*Assumptions!$D$88*CHOOSE(Assumptions!$E$121,Unit_Costs!$Q$16,Unit_Costs!$Q$30,Unit_Costs!$Q$44)+AC31*Assumptions!$D$89*CHOOSE(Assumptions!$E$121,Unit_Costs!$Q$16,Unit_Costs!$Q$30,Unit_Costs!$Q$44)+AC32*Assumptions!$D$90*CHOOSE(Assumptions!$E$121,Unit_Costs!$Q$16,Unit_Costs!$Q$30,Unit_Costs!$Q$44)+AC33*Assumptions!$D$91*CHOOSE(Assumptions!$E$121,Unit_Costs!$Q$16,Unit_Costs!$Q$30,Unit_Costs!$Q$44)</f>
        <v>2499.89192659222</v>
      </c>
      <c r="AD71" s="37" t="n">
        <f aca="false">AD30*Assumptions!$D$88*CHOOSE(Assumptions!$E$121,Unit_Costs!$Q$16,Unit_Costs!$Q$30,Unit_Costs!$Q$44)+AD31*Assumptions!$D$89*CHOOSE(Assumptions!$E$121,Unit_Costs!$Q$16,Unit_Costs!$Q$30,Unit_Costs!$Q$44)+AD32*Assumptions!$D$90*CHOOSE(Assumptions!$E$121,Unit_Costs!$Q$16,Unit_Costs!$Q$30,Unit_Costs!$Q$44)+AD33*Assumptions!$D$91*CHOOSE(Assumptions!$E$121,Unit_Costs!$Q$16,Unit_Costs!$Q$30,Unit_Costs!$Q$44)</f>
        <v>2692.79546059806</v>
      </c>
      <c r="AE71" s="37" t="n">
        <f aca="false">AE30*Assumptions!$D$88*CHOOSE(Assumptions!$E$121,Unit_Costs!$Q$16,Unit_Costs!$Q$30,Unit_Costs!$Q$44)+AE31*Assumptions!$D$89*CHOOSE(Assumptions!$E$121,Unit_Costs!$Q$16,Unit_Costs!$Q$30,Unit_Costs!$Q$44)+AE32*Assumptions!$D$90*CHOOSE(Assumptions!$E$121,Unit_Costs!$Q$16,Unit_Costs!$Q$30,Unit_Costs!$Q$44)+AE33*Assumptions!$D$91*CHOOSE(Assumptions!$E$121,Unit_Costs!$Q$16,Unit_Costs!$Q$30,Unit_Costs!$Q$44)</f>
        <v>2918.92559528615</v>
      </c>
      <c r="AF71" s="37" t="n">
        <f aca="false">AF30*Assumptions!$D$88*CHOOSE(Assumptions!$E$121,Unit_Costs!$Q$16,Unit_Costs!$Q$30,Unit_Costs!$Q$44)+AF31*Assumptions!$D$89*CHOOSE(Assumptions!$E$121,Unit_Costs!$Q$16,Unit_Costs!$Q$30,Unit_Costs!$Q$44)+AF32*Assumptions!$D$90*CHOOSE(Assumptions!$E$121,Unit_Costs!$Q$16,Unit_Costs!$Q$30,Unit_Costs!$Q$44)+AF33*Assumptions!$D$91*CHOOSE(Assumptions!$E$121,Unit_Costs!$Q$16,Unit_Costs!$Q$30,Unit_Costs!$Q$44)</f>
        <v>3149.5907388527</v>
      </c>
      <c r="AG71" s="37" t="n">
        <f aca="false">AG30*Assumptions!$D$88*CHOOSE(Assumptions!$E$121,Unit_Costs!$Q$16,Unit_Costs!$Q$30,Unit_Costs!$Q$44)+AG31*Assumptions!$D$89*CHOOSE(Assumptions!$E$121,Unit_Costs!$Q$16,Unit_Costs!$Q$30,Unit_Costs!$Q$44)+AG32*Assumptions!$D$90*CHOOSE(Assumptions!$E$121,Unit_Costs!$Q$16,Unit_Costs!$Q$30,Unit_Costs!$Q$44)+AG33*Assumptions!$D$91*CHOOSE(Assumptions!$E$121,Unit_Costs!$Q$16,Unit_Costs!$Q$30,Unit_Costs!$Q$44)</f>
        <v>3384.73848848515</v>
      </c>
      <c r="AH71" s="37" t="n">
        <f aca="false">AH30*Assumptions!$D$88*CHOOSE(Assumptions!$E$121,Unit_Costs!$Q$16,Unit_Costs!$Q$30,Unit_Costs!$Q$44)+AH31*Assumptions!$D$89*CHOOSE(Assumptions!$E$121,Unit_Costs!$Q$16,Unit_Costs!$Q$30,Unit_Costs!$Q$44)+AH32*Assumptions!$D$90*CHOOSE(Assumptions!$E$121,Unit_Costs!$Q$16,Unit_Costs!$Q$30,Unit_Costs!$Q$44)+AH33*Assumptions!$D$91*CHOOSE(Assumptions!$E$121,Unit_Costs!$Q$16,Unit_Costs!$Q$30,Unit_Costs!$Q$44)</f>
        <v>3624.03269852501</v>
      </c>
      <c r="AI71" s="37" t="n">
        <f aca="false">AI30*Assumptions!$D$88*CHOOSE(Assumptions!$E$121,Unit_Costs!$Q$16,Unit_Costs!$Q$30,Unit_Costs!$Q$44)+AI31*Assumptions!$D$89*CHOOSE(Assumptions!$E$121,Unit_Costs!$Q$16,Unit_Costs!$Q$30,Unit_Costs!$Q$44)+AI32*Assumptions!$D$90*CHOOSE(Assumptions!$E$121,Unit_Costs!$Q$16,Unit_Costs!$Q$30,Unit_Costs!$Q$44)+AI33*Assumptions!$D$91*CHOOSE(Assumptions!$E$121,Unit_Costs!$Q$16,Unit_Costs!$Q$30,Unit_Costs!$Q$44)</f>
        <v>3866.4336255675</v>
      </c>
      <c r="AJ71" s="37" t="n">
        <f aca="false">AJ30*Assumptions!$D$88*CHOOSE(Assumptions!$E$121,Unit_Costs!$Q$16,Unit_Costs!$Q$30,Unit_Costs!$Q$44)+AJ31*Assumptions!$D$89*CHOOSE(Assumptions!$E$121,Unit_Costs!$Q$16,Unit_Costs!$Q$30,Unit_Costs!$Q$44)+AJ32*Assumptions!$D$90*CHOOSE(Assumptions!$E$121,Unit_Costs!$Q$16,Unit_Costs!$Q$30,Unit_Costs!$Q$44)+AJ33*Assumptions!$D$91*CHOOSE(Assumptions!$E$121,Unit_Costs!$Q$16,Unit_Costs!$Q$30,Unit_Costs!$Q$44)</f>
        <v>4111.92333237895</v>
      </c>
      <c r="AK71" s="37" t="n">
        <f aca="false">AK30*Assumptions!$D$88*CHOOSE(Assumptions!$E$121,Unit_Costs!$Q$16,Unit_Costs!$Q$30,Unit_Costs!$Q$44)+AK31*Assumptions!$D$89*CHOOSE(Assumptions!$E$121,Unit_Costs!$Q$16,Unit_Costs!$Q$30,Unit_Costs!$Q$44)+AK32*Assumptions!$D$90*CHOOSE(Assumptions!$E$121,Unit_Costs!$Q$16,Unit_Costs!$Q$30,Unit_Costs!$Q$44)+AK33*Assumptions!$D$91*CHOOSE(Assumptions!$E$121,Unit_Costs!$Q$16,Unit_Costs!$Q$30,Unit_Costs!$Q$44)</f>
        <v>4360.4839241622</v>
      </c>
      <c r="AL71" s="37" t="n">
        <f aca="false">AL30*Assumptions!$D$88*CHOOSE(Assumptions!$E$121,Unit_Costs!$Q$16,Unit_Costs!$Q$30,Unit_Costs!$Q$44)+AL31*Assumptions!$D$89*CHOOSE(Assumptions!$E$121,Unit_Costs!$Q$16,Unit_Costs!$Q$30,Unit_Costs!$Q$44)+AL32*Assumptions!$D$90*CHOOSE(Assumptions!$E$121,Unit_Costs!$Q$16,Unit_Costs!$Q$30,Unit_Costs!$Q$44)+AL33*Assumptions!$D$91*CHOOSE(Assumptions!$E$121,Unit_Costs!$Q$16,Unit_Costs!$Q$30,Unit_Costs!$Q$44)</f>
        <v>4612.09755136259</v>
      </c>
    </row>
    <row r="72" customFormat="false" ht="15" hidden="false" customHeight="false" outlineLevel="0" collapsed="false">
      <c r="A72" s="9" t="s">
        <v>616</v>
      </c>
      <c r="B72" s="2" t="s">
        <v>105</v>
      </c>
      <c r="C72" s="37" t="n">
        <f aca="false">(C30*Assumptions!$D$92+C31*Assumptions!$D$93+C32*Assumptions!$D$94+C33*Assumptions!$D$95)*Assumptions!$D$96*Assumptions!$D$6</f>
        <v>0</v>
      </c>
      <c r="D72" s="37" t="n">
        <f aca="false">(D30*Assumptions!$D$92+D31*Assumptions!$D$93+D32*Assumptions!$D$94+D33*Assumptions!$D$95)*Assumptions!$D$96*Assumptions!$D$6</f>
        <v>0</v>
      </c>
      <c r="E72" s="37" t="n">
        <f aca="false">(E30*Assumptions!$D$92+E31*Assumptions!$D$93+E32*Assumptions!$D$94+E33*Assumptions!$D$95)*Assumptions!$D$96*Assumptions!$D$6</f>
        <v>0</v>
      </c>
      <c r="F72" s="37" t="n">
        <f aca="false">(F30*Assumptions!$D$92+F31*Assumptions!$D$93+F32*Assumptions!$D$94+F33*Assumptions!$D$95)*Assumptions!$D$96*Assumptions!$D$6</f>
        <v>0</v>
      </c>
      <c r="G72" s="37" t="n">
        <f aca="false">(G30*Assumptions!$D$92+G31*Assumptions!$D$93+G32*Assumptions!$D$94+G33*Assumptions!$D$95)*Assumptions!$D$96*Assumptions!$D$6</f>
        <v>0</v>
      </c>
      <c r="H72" s="37" t="n">
        <f aca="false">(H30*Assumptions!$D$92+H31*Assumptions!$D$93+H32*Assumptions!$D$94+H33*Assumptions!$D$95)*Assumptions!$D$96*Assumptions!$D$6</f>
        <v>0</v>
      </c>
      <c r="I72" s="37" t="n">
        <f aca="false">(I30*Assumptions!$D$92+I31*Assumptions!$D$93+I32*Assumptions!$D$94+I33*Assumptions!$D$95)*Assumptions!$D$96*Assumptions!$D$6</f>
        <v>0</v>
      </c>
      <c r="J72" s="37" t="n">
        <f aca="false">(J30*Assumptions!$D$92+J31*Assumptions!$D$93+J32*Assumptions!$D$94+J33*Assumptions!$D$95)*Assumptions!$D$96*Assumptions!$D$6</f>
        <v>0</v>
      </c>
      <c r="K72" s="37" t="n">
        <f aca="false">(K30*Assumptions!$D$92+K31*Assumptions!$D$93+K32*Assumptions!$D$94+K33*Assumptions!$D$95)*Assumptions!$D$96*Assumptions!$D$6</f>
        <v>0</v>
      </c>
      <c r="L72" s="37" t="n">
        <f aca="false">(L30*Assumptions!$D$92+L31*Assumptions!$D$93+L32*Assumptions!$D$94+L33*Assumptions!$D$95)*Assumptions!$D$96*Assumptions!$D$6</f>
        <v>11.325</v>
      </c>
      <c r="M72" s="37" t="n">
        <f aca="false">(M30*Assumptions!$D$92+M31*Assumptions!$D$93+M32*Assumptions!$D$94+M33*Assumptions!$D$95)*Assumptions!$D$96*Assumptions!$D$6</f>
        <v>23.7372</v>
      </c>
      <c r="N72" s="37" t="n">
        <f aca="false">(N30*Assumptions!$D$92+N31*Assumptions!$D$93+N32*Assumptions!$D$94+N33*Assumptions!$D$95)*Assumptions!$D$96*Assumptions!$D$6</f>
        <v>37.2322512</v>
      </c>
      <c r="O72" s="37" t="n">
        <f aca="false">(O30*Assumptions!$D$92+O31*Assumptions!$D$93+O32*Assumptions!$D$94+O33*Assumptions!$D$95)*Assumptions!$D$96*Assumptions!$D$6</f>
        <v>51.8058221952</v>
      </c>
      <c r="P72" s="37" t="n">
        <f aca="false">(P30*Assumptions!$D$92+P31*Assumptions!$D$93+P32*Assumptions!$D$94+P33*Assumptions!$D$95)*Assumptions!$D$96*Assumptions!$D$6</f>
        <v>67.4535989064192</v>
      </c>
      <c r="Q72" s="37" t="n">
        <f aca="false">(Q30*Assumptions!$D$92+Q31*Assumptions!$D$93+Q32*Assumptions!$D$94+Q33*Assumptions!$D$95)*Assumptions!$D$96*Assumptions!$D$6</f>
        <v>84.1712845107935</v>
      </c>
      <c r="R72" s="37" t="n">
        <f aca="false">(R30*Assumptions!$D$92+R31*Assumptions!$D$93+R32*Assumptions!$D$94+R33*Assumptions!$D$95)*Assumptions!$D$96*Assumptions!$D$6</f>
        <v>101.95459937275</v>
      </c>
      <c r="S72" s="37" t="n">
        <f aca="false">(S30*Assumptions!$D$92+S31*Assumptions!$D$93+S32*Assumptions!$D$94+S33*Assumptions!$D$95)*Assumptions!$D$96*Assumptions!$D$6</f>
        <v>120.799280975259</v>
      </c>
      <c r="T72" s="37" t="n">
        <f aca="false">(T30*Assumptions!$D$92+T31*Assumptions!$D$93+T32*Assumptions!$D$94+T33*Assumptions!$D$95)*Assumptions!$D$96*Assumptions!$D$6</f>
        <v>140.701083851358</v>
      </c>
      <c r="U72" s="37" t="n">
        <f aca="false">(U30*Assumptions!$D$92+U31*Assumptions!$D$93+U32*Assumptions!$D$94+U33*Assumptions!$D$95)*Assumptions!$D$96*Assumptions!$D$6</f>
        <v>169.205779515953</v>
      </c>
      <c r="V72" s="37" t="n">
        <f aca="false">(V30*Assumptions!$D$92+V31*Assumptions!$D$93+V32*Assumptions!$D$94+V33*Assumptions!$D$95)*Assumptions!$D$96*Assumptions!$D$6</f>
        <v>198.728956397889</v>
      </c>
      <c r="W72" s="37" t="n">
        <f aca="false">(W30*Assumptions!$D$92+W31*Assumptions!$D$93+W32*Assumptions!$D$94+W33*Assumptions!$D$95)*Assumptions!$D$96*Assumptions!$D$6</f>
        <v>229.266540572298</v>
      </c>
      <c r="X72" s="37" t="n">
        <f aca="false">(X30*Assumptions!$D$92+X31*Assumptions!$D$93+X32*Assumptions!$D$94+X33*Assumptions!$D$95)*Assumptions!$D$96*Assumptions!$D$6</f>
        <v>260.814474410008</v>
      </c>
      <c r="Y72" s="37" t="n">
        <f aca="false">(Y30*Assumptions!$D$92+Y31*Assumptions!$D$93+Y32*Assumptions!$D$94+Y33*Assumptions!$D$95)*Assumptions!$D$96*Assumptions!$D$6</f>
        <v>293.368716512368</v>
      </c>
      <c r="Z72" s="37" t="n">
        <f aca="false">(Z30*Assumptions!$D$92+Z31*Assumptions!$D$93+Z32*Assumptions!$D$94+Z33*Assumptions!$D$95)*Assumptions!$D$96*Assumptions!$D$6</f>
        <v>326.925241646319</v>
      </c>
      <c r="AA72" s="37" t="n">
        <f aca="false">(AA30*Assumptions!$D$92+AA31*Assumptions!$D$93+AA32*Assumptions!$D$94+AA33*Assumptions!$D$95)*Assumptions!$D$96*Assumptions!$D$6</f>
        <v>361.480040679733</v>
      </c>
      <c r="AB72" s="37" t="n">
        <f aca="false">(AB30*Assumptions!$D$92+AB31*Assumptions!$D$93+AB32*Assumptions!$D$94+AB33*Assumptions!$D$95)*Assumptions!$D$96*Assumptions!$D$6</f>
        <v>397.029120517015</v>
      </c>
      <c r="AC72" s="37" t="n">
        <f aca="false">(AC30*Assumptions!$D$92+AC31*Assumptions!$D$93+AC32*Assumptions!$D$94+AC33*Assumptions!$D$95)*Assumptions!$D$96*Assumptions!$D$6</f>
        <v>433.568504034946</v>
      </c>
      <c r="AD72" s="37" t="n">
        <f aca="false">(AD30*Assumptions!$D$92+AD31*Assumptions!$D$93+AD32*Assumptions!$D$94+AD33*Assumptions!$D$95)*Assumptions!$D$96*Assumptions!$D$6</f>
        <v>471.094230018807</v>
      </c>
      <c r="AE72" s="37" t="n">
        <f aca="false">(AE30*Assumptions!$D$92+AE31*Assumptions!$D$93+AE32*Assumptions!$D$94+AE33*Assumptions!$D$95)*Assumptions!$D$96*Assumptions!$D$6</f>
        <v>517.152353098731</v>
      </c>
      <c r="AF72" s="37" t="n">
        <f aca="false">(AF30*Assumptions!$D$92+AF31*Assumptions!$D$93+AF32*Assumptions!$D$94+AF33*Assumptions!$D$95)*Assumptions!$D$96*Assumptions!$D$6</f>
        <v>564.158743686337</v>
      </c>
      <c r="AG72" s="37" t="n">
        <f aca="false">(AG30*Assumptions!$D$92+AG31*Assumptions!$D$93+AG32*Assumptions!$D$94+AG33*Assumptions!$D$95)*Assumptions!$D$96*Assumptions!$D$6</f>
        <v>612.109608711591</v>
      </c>
      <c r="AH72" s="37" t="n">
        <f aca="false">(AH30*Assumptions!$D$92+AH31*Assumptions!$D$93+AH32*Assumptions!$D$94+AH33*Assumptions!$D$95)*Assumptions!$D$96*Assumptions!$D$6</f>
        <v>661.001170276745</v>
      </c>
      <c r="AI72" s="37" t="n">
        <f aca="false">(AI30*Assumptions!$D$92+AI31*Assumptions!$D$93+AI32*Assumptions!$D$94+AI33*Assumptions!$D$95)*Assumptions!$D$96*Assumptions!$D$6</f>
        <v>710.829665595638</v>
      </c>
      <c r="AJ72" s="37" t="n">
        <f aca="false">(AJ30*Assumptions!$D$92+AJ31*Assumptions!$D$93+AJ32*Assumptions!$D$94+AJ33*Assumptions!$D$95)*Assumptions!$D$96*Assumptions!$D$6</f>
        <v>761.591346933255</v>
      </c>
      <c r="AK72" s="37" t="n">
        <f aca="false">(AK30*Assumptions!$D$92+AK31*Assumptions!$D$93+AK32*Assumptions!$D$94+AK33*Assumptions!$D$95)*Assumptions!$D$96*Assumptions!$D$6</f>
        <v>813.282481545522</v>
      </c>
      <c r="AL72" s="37" t="n">
        <f aca="false">(AL30*Assumptions!$D$92+AL31*Assumptions!$D$93+AL32*Assumptions!$D$94+AL33*Assumptions!$D$95)*Assumptions!$D$96*Assumptions!$D$6</f>
        <v>865.89935161934</v>
      </c>
    </row>
    <row r="73" customFormat="false" ht="15" hidden="false" customHeight="false" outlineLevel="0" collapsed="false">
      <c r="A73" s="9" t="s">
        <v>617</v>
      </c>
      <c r="B73" s="2" t="s">
        <v>105</v>
      </c>
      <c r="C73" s="37" t="n">
        <f aca="false">(C22*Assumptions!$D$105+C23*Assumptions!$D$106+C24*Assumptions!$D$107+C25*Assumptions!$D$108)*Assumptions!$D$109</f>
        <v>0</v>
      </c>
      <c r="D73" s="37" t="n">
        <f aca="false">(D22*Assumptions!$D$105+D23*Assumptions!$D$106+D24*Assumptions!$D$107+D25*Assumptions!$D$108)*Assumptions!$D$109</f>
        <v>0</v>
      </c>
      <c r="E73" s="37" t="n">
        <f aca="false">(E22*Assumptions!$D$105+E23*Assumptions!$D$106+E24*Assumptions!$D$107+E25*Assumptions!$D$108)*Assumptions!$D$109</f>
        <v>0</v>
      </c>
      <c r="F73" s="37" t="n">
        <f aca="false">(F22*Assumptions!$D$105+F23*Assumptions!$D$106+F24*Assumptions!$D$107+F25*Assumptions!$D$108)*Assumptions!$D$109</f>
        <v>43.75</v>
      </c>
      <c r="G73" s="37" t="n">
        <f aca="false">(G22*Assumptions!$D$105+G23*Assumptions!$D$106+G24*Assumptions!$D$107+G25*Assumptions!$D$108)*Assumptions!$D$109</f>
        <v>104.125</v>
      </c>
      <c r="H73" s="37" t="n">
        <f aca="false">(H22*Assumptions!$D$105+H23*Assumptions!$D$106+H24*Assumptions!$D$107+H25*Assumptions!$D$108)*Assumptions!$D$109</f>
        <v>209.65</v>
      </c>
      <c r="I73" s="37" t="n">
        <f aca="false">(I22*Assumptions!$D$105+I23*Assumptions!$D$106+I24*Assumptions!$D$107+I25*Assumptions!$D$108)*Assumptions!$D$109</f>
        <v>245.175</v>
      </c>
      <c r="J73" s="37" t="n">
        <f aca="false">(J22*Assumptions!$D$105+J23*Assumptions!$D$106+J24*Assumptions!$D$107+J25*Assumptions!$D$108)*Assumptions!$D$109</f>
        <v>280.7</v>
      </c>
      <c r="K73" s="37" t="n">
        <f aca="false">(K22*Assumptions!$D$105+K23*Assumptions!$D$106+K24*Assumptions!$D$107+K25*Assumptions!$D$108)*Assumptions!$D$109</f>
        <v>316.225</v>
      </c>
      <c r="L73" s="37" t="n">
        <f aca="false">(L22*Assumptions!$D$105+L23*Assumptions!$D$106+L24*Assumptions!$D$107+L25*Assumptions!$D$108)*Assumptions!$D$109</f>
        <v>477.75</v>
      </c>
      <c r="M73" s="37" t="n">
        <f aca="false">(M22*Assumptions!$D$105+M23*Assumptions!$D$106+M24*Assumptions!$D$107+M25*Assumptions!$D$108)*Assumptions!$D$109</f>
        <v>525.875</v>
      </c>
      <c r="N73" s="37" t="n">
        <f aca="false">(N22*Assumptions!$D$105+N23*Assumptions!$D$106+N24*Assumptions!$D$107+N25*Assumptions!$D$108)*Assumptions!$D$109</f>
        <v>574</v>
      </c>
      <c r="O73" s="37" t="n">
        <f aca="false">(O22*Assumptions!$D$105+O23*Assumptions!$D$106+O24*Assumptions!$D$107+O25*Assumptions!$D$108)*Assumptions!$D$109</f>
        <v>622.125</v>
      </c>
      <c r="P73" s="37" t="n">
        <f aca="false">(P22*Assumptions!$D$105+P23*Assumptions!$D$106+P24*Assumptions!$D$107+P25*Assumptions!$D$108)*Assumptions!$D$109</f>
        <v>670.25</v>
      </c>
      <c r="Q73" s="37" t="n">
        <f aca="false">(Q22*Assumptions!$D$105+Q23*Assumptions!$D$106+Q24*Assumptions!$D$107+Q25*Assumptions!$D$108)*Assumptions!$D$109</f>
        <v>718.375</v>
      </c>
      <c r="R73" s="37" t="n">
        <f aca="false">(R22*Assumptions!$D$105+R23*Assumptions!$D$106+R24*Assumptions!$D$107+R25*Assumptions!$D$108)*Assumptions!$D$109</f>
        <v>766.5</v>
      </c>
      <c r="S73" s="37" t="n">
        <f aca="false">(S22*Assumptions!$D$105+S23*Assumptions!$D$106+S24*Assumptions!$D$107+S25*Assumptions!$D$108)*Assumptions!$D$109</f>
        <v>814.625</v>
      </c>
      <c r="T73" s="37" t="n">
        <f aca="false">(T22*Assumptions!$D$105+T23*Assumptions!$D$106+T24*Assumptions!$D$107+T25*Assumptions!$D$108)*Assumptions!$D$109</f>
        <v>862.75</v>
      </c>
      <c r="U73" s="37" t="n">
        <f aca="false">(U22*Assumptions!$D$105+U23*Assumptions!$D$106+U24*Assumptions!$D$107+U25*Assumptions!$D$108)*Assumptions!$D$109</f>
        <v>1106.875</v>
      </c>
      <c r="V73" s="37" t="n">
        <f aca="false">(V22*Assumptions!$D$105+V23*Assumptions!$D$106+V24*Assumptions!$D$107+V25*Assumptions!$D$108)*Assumptions!$D$109</f>
        <v>1155</v>
      </c>
      <c r="W73" s="37" t="n">
        <f aca="false">(W22*Assumptions!$D$105+W23*Assumptions!$D$106+W24*Assumptions!$D$107+W25*Assumptions!$D$108)*Assumptions!$D$109</f>
        <v>1203.125</v>
      </c>
      <c r="X73" s="37" t="n">
        <f aca="false">(X22*Assumptions!$D$105+X23*Assumptions!$D$106+X24*Assumptions!$D$107+X25*Assumptions!$D$108)*Assumptions!$D$109</f>
        <v>1251.25</v>
      </c>
      <c r="Y73" s="37" t="n">
        <f aca="false">(Y22*Assumptions!$D$105+Y23*Assumptions!$D$106+Y24*Assumptions!$D$107+Y25*Assumptions!$D$108)*Assumptions!$D$109</f>
        <v>1299.375</v>
      </c>
      <c r="Z73" s="37" t="n">
        <f aca="false">(Z22*Assumptions!$D$105+Z23*Assumptions!$D$106+Z24*Assumptions!$D$107+Z25*Assumptions!$D$108)*Assumptions!$D$109</f>
        <v>1347.5</v>
      </c>
      <c r="AA73" s="37" t="n">
        <f aca="false">(AA22*Assumptions!$D$105+AA23*Assumptions!$D$106+AA24*Assumptions!$D$107+AA25*Assumptions!$D$108)*Assumptions!$D$109</f>
        <v>1395.625</v>
      </c>
      <c r="AB73" s="37" t="n">
        <f aca="false">(AB22*Assumptions!$D$105+AB23*Assumptions!$D$106+AB24*Assumptions!$D$107+AB25*Assumptions!$D$108)*Assumptions!$D$109</f>
        <v>1443.75</v>
      </c>
      <c r="AC73" s="37" t="n">
        <f aca="false">(AC22*Assumptions!$D$105+AC23*Assumptions!$D$106+AC24*Assumptions!$D$107+AC25*Assumptions!$D$108)*Assumptions!$D$109</f>
        <v>1491.875</v>
      </c>
      <c r="AD73" s="37" t="n">
        <f aca="false">(AD22*Assumptions!$D$105+AD23*Assumptions!$D$106+AD24*Assumptions!$D$107+AD25*Assumptions!$D$108)*Assumptions!$D$109</f>
        <v>1540</v>
      </c>
      <c r="AE73" s="37" t="n">
        <f aca="false">(AE22*Assumptions!$D$105+AE23*Assumptions!$D$106+AE24*Assumptions!$D$107+AE25*Assumptions!$D$108)*Assumptions!$D$109</f>
        <v>1784.125</v>
      </c>
      <c r="AF73" s="37" t="n">
        <f aca="false">(AF22*Assumptions!$D$105+AF23*Assumptions!$D$106+AF24*Assumptions!$D$107+AF25*Assumptions!$D$108)*Assumptions!$D$109</f>
        <v>1832.25</v>
      </c>
      <c r="AG73" s="37" t="n">
        <f aca="false">(AG22*Assumptions!$D$105+AG23*Assumptions!$D$106+AG24*Assumptions!$D$107+AG25*Assumptions!$D$108)*Assumptions!$D$109</f>
        <v>1880.375</v>
      </c>
      <c r="AH73" s="37" t="n">
        <f aca="false">(AH22*Assumptions!$D$105+AH23*Assumptions!$D$106+AH24*Assumptions!$D$107+AH25*Assumptions!$D$108)*Assumptions!$D$109</f>
        <v>1926.75</v>
      </c>
      <c r="AI73" s="37" t="n">
        <f aca="false">(AI22*Assumptions!$D$105+AI23*Assumptions!$D$106+AI24*Assumptions!$D$107+AI25*Assumptions!$D$108)*Assumptions!$D$109</f>
        <v>1967</v>
      </c>
      <c r="AJ73" s="37" t="n">
        <f aca="false">(AJ22*Assumptions!$D$105+AJ23*Assumptions!$D$106+AJ24*Assumptions!$D$107+AJ25*Assumptions!$D$108)*Assumptions!$D$109</f>
        <v>2007.25</v>
      </c>
      <c r="AK73" s="37" t="n">
        <f aca="false">(AK22*Assumptions!$D$105+AK23*Assumptions!$D$106+AK24*Assumptions!$D$107+AK25*Assumptions!$D$108)*Assumptions!$D$109</f>
        <v>2047.5</v>
      </c>
      <c r="AL73" s="37" t="n">
        <f aca="false">(AL22*Assumptions!$D$105+AL23*Assumptions!$D$106+AL24*Assumptions!$D$107+AL25*Assumptions!$D$108)*Assumptions!$D$109</f>
        <v>2087.75</v>
      </c>
    </row>
    <row r="74" customFormat="false" ht="15" hidden="false" customHeight="false" outlineLevel="0" collapsed="false">
      <c r="A74" s="9" t="s">
        <v>618</v>
      </c>
      <c r="B74" s="2" t="s">
        <v>105</v>
      </c>
      <c r="C74" s="37" t="n">
        <f aca="false">C58*CHOOSE(Assumptions!$E$121,Unit_Costs!$Q$14,Unit_Costs!$Q$28,Unit_Costs!$Q$42)</f>
        <v>0</v>
      </c>
      <c r="D74" s="37" t="n">
        <f aca="false">D58*CHOOSE(Assumptions!$E$121,Unit_Costs!$Q$14,Unit_Costs!$Q$28,Unit_Costs!$Q$42)</f>
        <v>0</v>
      </c>
      <c r="E74" s="37" t="n">
        <f aca="false">E58*CHOOSE(Assumptions!$E$121,Unit_Costs!$Q$14,Unit_Costs!$Q$28,Unit_Costs!$Q$42)</f>
        <v>0</v>
      </c>
      <c r="F74" s="37" t="n">
        <f aca="false">F58*CHOOSE(Assumptions!$E$121,Unit_Costs!$Q$14,Unit_Costs!$Q$28,Unit_Costs!$Q$42)</f>
        <v>0</v>
      </c>
      <c r="G74" s="37" t="n">
        <f aca="false">G58*CHOOSE(Assumptions!$E$121,Unit_Costs!$Q$14,Unit_Costs!$Q$28,Unit_Costs!$Q$42)</f>
        <v>0</v>
      </c>
      <c r="H74" s="37" t="n">
        <f aca="false">H58*CHOOSE(Assumptions!$E$121,Unit_Costs!$Q$14,Unit_Costs!$Q$28,Unit_Costs!$Q$42)</f>
        <v>32.64771</v>
      </c>
      <c r="I74" s="37" t="n">
        <f aca="false">I58*CHOOSE(Assumptions!$E$121,Unit_Costs!$Q$14,Unit_Costs!$Q$28,Unit_Costs!$Q$42)</f>
        <v>70.491847175</v>
      </c>
      <c r="J74" s="37" t="n">
        <f aca="false">J58*CHOOSE(Assumptions!$E$121,Unit_Costs!$Q$14,Unit_Costs!$Q$28,Unit_Costs!$Q$42)</f>
        <v>113.493438321187</v>
      </c>
      <c r="K74" s="37" t="n">
        <f aca="false">K58*CHOOSE(Assumptions!$E$121,Unit_Costs!$Q$14,Unit_Costs!$Q$28,Unit_Costs!$Q$42)</f>
        <v>161.613802533779</v>
      </c>
      <c r="L74" s="37" t="n">
        <f aca="false">L58*CHOOSE(Assumptions!$E$121,Unit_Costs!$Q$14,Unit_Costs!$Q$28,Unit_Costs!$Q$42)</f>
        <v>214.814549014775</v>
      </c>
      <c r="M74" s="37" t="n">
        <f aca="false">M58*CHOOSE(Assumptions!$E$121,Unit_Costs!$Q$14,Unit_Costs!$Q$28,Unit_Costs!$Q$42)</f>
        <v>273.057574897164</v>
      </c>
      <c r="N74" s="37" t="n">
        <f aca="false">N58*CHOOSE(Assumptions!$E$121,Unit_Costs!$Q$14,Unit_Costs!$Q$28,Unit_Costs!$Q$42)</f>
        <v>336.305063085436</v>
      </c>
      <c r="O74" s="37" t="n">
        <f aca="false">O58*CHOOSE(Assumptions!$E$121,Unit_Costs!$Q$14,Unit_Costs!$Q$28,Unit_Costs!$Q$42)</f>
        <v>404.519480112295</v>
      </c>
      <c r="P74" s="37" t="n">
        <f aca="false">P58*CHOOSE(Assumptions!$E$121,Unit_Costs!$Q$14,Unit_Costs!$Q$28,Unit_Costs!$Q$42)</f>
        <v>477.663574011453</v>
      </c>
      <c r="Q74" s="37" t="n">
        <f aca="false">Q58*CHOOSE(Assumptions!$E$121,Unit_Costs!$Q$14,Unit_Costs!$Q$28,Unit_Costs!$Q$42)</f>
        <v>555.700372206367</v>
      </c>
      <c r="R74" s="37" t="n">
        <f aca="false">R58*CHOOSE(Assumptions!$E$121,Unit_Costs!$Q$14,Unit_Costs!$Q$28,Unit_Costs!$Q$42)</f>
        <v>638.593179414819</v>
      </c>
      <c r="S74" s="37" t="n">
        <f aca="false">S58*CHOOSE(Assumptions!$E$121,Unit_Costs!$Q$14,Unit_Costs!$Q$28,Unit_Costs!$Q$42)</f>
        <v>726.305575569208</v>
      </c>
      <c r="T74" s="37" t="n">
        <f aca="false">T58*CHOOSE(Assumptions!$E$121,Unit_Costs!$Q$14,Unit_Costs!$Q$28,Unit_Costs!$Q$42)</f>
        <v>818.801413752439</v>
      </c>
      <c r="U74" s="37" t="n">
        <f aca="false">U58*CHOOSE(Assumptions!$E$121,Unit_Costs!$Q$14,Unit_Costs!$Q$28,Unit_Costs!$Q$42)</f>
        <v>959.575098149295</v>
      </c>
      <c r="V74" s="37" t="n">
        <f aca="false">V58*CHOOSE(Assumptions!$E$121,Unit_Costs!$Q$14,Unit_Costs!$Q$28,Unit_Costs!$Q$42)</f>
        <v>1104.73426491318</v>
      </c>
      <c r="W74" s="37" t="n">
        <f aca="false">W58*CHOOSE(Assumptions!$E$121,Unit_Costs!$Q$14,Unit_Costs!$Q$28,Unit_Costs!$Q$42)</f>
        <v>1254.24602292633</v>
      </c>
      <c r="X74" s="37" t="n">
        <f aca="false">X58*CHOOSE(Assumptions!$E$121,Unit_Costs!$Q$14,Unit_Costs!$Q$28,Unit_Costs!$Q$42)</f>
        <v>1408.07772775438</v>
      </c>
      <c r="Y74" s="37" t="n">
        <f aca="false">Y58*CHOOSE(Assumptions!$E$121,Unit_Costs!$Q$14,Unit_Costs!$Q$28,Unit_Costs!$Q$42)</f>
        <v>1566.19697979622</v>
      </c>
      <c r="Z74" s="37" t="n">
        <f aca="false">Z58*CHOOSE(Assumptions!$E$121,Unit_Costs!$Q$14,Unit_Costs!$Q$28,Unit_Costs!$Q$42)</f>
        <v>1728.57162244775</v>
      </c>
      <c r="AA74" s="37" t="n">
        <f aca="false">AA58*CHOOSE(Assumptions!$E$121,Unit_Costs!$Q$14,Unit_Costs!$Q$28,Unit_Costs!$Q$42)</f>
        <v>1895.16974027939</v>
      </c>
      <c r="AB74" s="37" t="n">
        <f aca="false">AB58*CHOOSE(Assumptions!$E$121,Unit_Costs!$Q$14,Unit_Costs!$Q$28,Unit_Costs!$Q$42)</f>
        <v>2065.9596572273</v>
      </c>
      <c r="AC74" s="37" t="n">
        <f aca="false">AC58*CHOOSE(Assumptions!$E$121,Unit_Costs!$Q$14,Unit_Costs!$Q$28,Unit_Costs!$Q$42)</f>
        <v>2240.90993479809</v>
      </c>
      <c r="AD74" s="37" t="n">
        <f aca="false">AD58*CHOOSE(Assumptions!$E$121,Unit_Costs!$Q$14,Unit_Costs!$Q$28,Unit_Costs!$Q$42)</f>
        <v>2419.98937028711</v>
      </c>
      <c r="AE74" s="37" t="n">
        <f aca="false">AE58*CHOOSE(Assumptions!$E$121,Unit_Costs!$Q$14,Unit_Costs!$Q$28,Unit_Costs!$Q$42)</f>
        <v>2646.69727500995</v>
      </c>
      <c r="AF74" s="37" t="n">
        <f aca="false">AF58*CHOOSE(Assumptions!$E$121,Unit_Costs!$Q$14,Unit_Costs!$Q$28,Unit_Costs!$Q$42)</f>
        <v>2877.14615544738</v>
      </c>
      <c r="AG74" s="37" t="n">
        <f aca="false">AG58*CHOOSE(Assumptions!$E$121,Unit_Costs!$Q$14,Unit_Costs!$Q$28,Unit_Costs!$Q$42)</f>
        <v>3111.30795428152</v>
      </c>
      <c r="AH74" s="37" t="n">
        <f aca="false">AH58*CHOOSE(Assumptions!$E$121,Unit_Costs!$Q$14,Unit_Costs!$Q$28,Unit_Costs!$Q$42)</f>
        <v>3349.15482462441</v>
      </c>
      <c r="AI74" s="37" t="n">
        <f aca="false">AI58*CHOOSE(Assumptions!$E$121,Unit_Costs!$Q$14,Unit_Costs!$Q$28,Unit_Costs!$Q$42)</f>
        <v>3590.65912843973</v>
      </c>
      <c r="AJ74" s="37" t="n">
        <f aca="false">AJ58*CHOOSE(Assumptions!$E$121,Unit_Costs!$Q$14,Unit_Costs!$Q$28,Unit_Costs!$Q$42)</f>
        <v>3835.79343497643</v>
      </c>
      <c r="AK74" s="37" t="n">
        <f aca="false">AK58*CHOOSE(Assumptions!$E$121,Unit_Costs!$Q$14,Unit_Costs!$Q$28,Unit_Costs!$Q$42)</f>
        <v>4084.53051921411</v>
      </c>
      <c r="AL74" s="37" t="n">
        <f aca="false">AL58*CHOOSE(Assumptions!$E$121,Unit_Costs!$Q$14,Unit_Costs!$Q$28,Unit_Costs!$Q$42)</f>
        <v>4336.84336032</v>
      </c>
    </row>
    <row r="75" customFormat="false" ht="15" hidden="false" customHeight="false" outlineLevel="0" collapsed="false">
      <c r="A75" s="9" t="s">
        <v>619</v>
      </c>
      <c r="B75" s="2" t="s">
        <v>105</v>
      </c>
      <c r="C75" s="37" t="n">
        <f aca="false">(C39+C50+C54)*Assumptions!$D$97+C30*Assumptions!$D$101+(C40+C51+C55)*Assumptions!$D$98+C31*Assumptions!$D$102+(C41+C52+C56)*Assumptions!$D$99+C32*Assumptions!$D$103+(C42+C53+C57)*Assumptions!$D$100+C33*Assumptions!$D$104+C59*Assumptions!$D$99</f>
        <v>0</v>
      </c>
      <c r="D75" s="37" t="n">
        <f aca="false">(D39+D50+D54)*Assumptions!$D$97+D30*Assumptions!$D$101+(D40+D51+D55)*Assumptions!$D$98+D31*Assumptions!$D$102+(D41+D52+D56)*Assumptions!$D$99+D32*Assumptions!$D$103+(D42+D53+D57)*Assumptions!$D$100+D33*Assumptions!$D$104+D59*Assumptions!$D$99</f>
        <v>0</v>
      </c>
      <c r="E75" s="37" t="n">
        <f aca="false">(E39+E50+E54)*Assumptions!$D$97+E30*Assumptions!$D$101+(E40+E51+E55)*Assumptions!$D$98+E31*Assumptions!$D$102+(E41+E52+E56)*Assumptions!$D$99+E32*Assumptions!$D$103+(E42+E53+E57)*Assumptions!$D$100+E33*Assumptions!$D$104+E59*Assumptions!$D$99</f>
        <v>0</v>
      </c>
      <c r="F75" s="37" t="n">
        <f aca="false">(F39+F50+F54)*Assumptions!$D$97+F30*Assumptions!$D$101+(F40+F51+F55)*Assumptions!$D$98+F31*Assumptions!$D$102+(F41+F52+F56)*Assumptions!$D$99+F32*Assumptions!$D$103+(F42+F53+F57)*Assumptions!$D$100+F33*Assumptions!$D$104+F59*Assumptions!$D$99</f>
        <v>9.20045</v>
      </c>
      <c r="G75" s="37" t="n">
        <f aca="false">(G39+G50+G54)*Assumptions!$D$97+G30*Assumptions!$D$101+(G40+G51+G55)*Assumptions!$D$98+G31*Assumptions!$D$102+(G41+G52+G56)*Assumptions!$D$99+G32*Assumptions!$D$103+(G42+G53+G57)*Assumptions!$D$100+G33*Assumptions!$D$104+G59*Assumptions!$D$99</f>
        <v>31.025752225</v>
      </c>
      <c r="H75" s="37" t="n">
        <f aca="false">(H39+H50+H54)*Assumptions!$D$97+H30*Assumptions!$D$101+(H40+H51+H55)*Assumptions!$D$98+H31*Assumptions!$D$102+(H41+H52+H56)*Assumptions!$D$99+H32*Assumptions!$D$103+(H42+H53+H57)*Assumptions!$D$100+H33*Assumptions!$D$104+H59*Assumptions!$D$99</f>
        <v>63.6723146506525</v>
      </c>
      <c r="I75" s="37" t="n">
        <f aca="false">(I39+I50+I54)*Assumptions!$D$97+I30*Assumptions!$D$101+(I40+I51+I55)*Assumptions!$D$98+I31*Assumptions!$D$102+(I41+I52+I56)*Assumptions!$D$99+I32*Assumptions!$D$103+(I42+I53+I57)*Assumptions!$D$100+I33*Assumptions!$D$104+I59*Assumptions!$D$99</f>
        <v>96.1573923041567</v>
      </c>
      <c r="J75" s="37" t="n">
        <f aca="false">(J39+J50+J54)*Assumptions!$D$97+J30*Assumptions!$D$101+(J40+J51+J55)*Assumptions!$D$98+J31*Assumptions!$D$102+(J41+J52+J56)*Assumptions!$D$99+J32*Assumptions!$D$103+(J42+J53+J57)*Assumptions!$D$100+J33*Assumptions!$D$104+J59*Assumptions!$D$99</f>
        <v>132.558285575695</v>
      </c>
      <c r="K75" s="37" t="n">
        <f aca="false">(K39+K50+K54)*Assumptions!$D$97+K30*Assumptions!$D$101+(K40+K51+K55)*Assumptions!$D$98+K31*Assumptions!$D$102+(K41+K52+K56)*Assumptions!$D$99+K32*Assumptions!$D$103+(K42+K53+K57)*Assumptions!$D$100+K33*Assumptions!$D$104+K59*Assumptions!$D$99</f>
        <v>172.828237587526</v>
      </c>
      <c r="L75" s="37" t="n">
        <f aca="false">(L39+L50+L54)*Assumptions!$D$97+L30*Assumptions!$D$101+(L40+L51+L55)*Assumptions!$D$98+L31*Assumptions!$D$102+(L41+L52+L56)*Assumptions!$D$99+L32*Assumptions!$D$103+(L42+L53+L57)*Assumptions!$D$100+L33*Assumptions!$D$104+L59*Assumptions!$D$99</f>
        <v>235.056152161509</v>
      </c>
      <c r="M75" s="37" t="n">
        <f aca="false">(M39+M50+M54)*Assumptions!$D$97+M30*Assumptions!$D$101+(M40+M51+M55)*Assumptions!$D$98+M31*Assumptions!$D$102+(M41+M52+M56)*Assumptions!$D$99+M32*Assumptions!$D$103+(M42+M53+M57)*Assumptions!$D$100+M33*Assumptions!$D$104+M59*Assumptions!$D$99</f>
        <v>293.05136721443</v>
      </c>
      <c r="N75" s="37" t="n">
        <f aca="false">(N39+N50+N54)*Assumptions!$D$97+N30*Assumptions!$D$101+(N40+N51+N55)*Assumptions!$D$98+N31*Assumptions!$D$102+(N41+N52+N56)*Assumptions!$D$99+N32*Assumptions!$D$103+(N42+N53+N57)*Assumptions!$D$100+N33*Assumptions!$D$104+N59*Assumptions!$D$99</f>
        <v>355.688284393553</v>
      </c>
      <c r="O75" s="37" t="n">
        <f aca="false">(O39+O50+O54)*Assumptions!$D$97+O30*Assumptions!$D$101+(O40+O51+O55)*Assumptions!$D$98+O31*Assumptions!$D$102+(O41+O52+O56)*Assumptions!$D$99+O32*Assumptions!$D$103+(O42+O53+O57)*Assumptions!$D$100+O33*Assumptions!$D$104+O59*Assumptions!$D$99</f>
        <v>422.932276041064</v>
      </c>
      <c r="P75" s="37" t="n">
        <f aca="false">(P39+P50+P54)*Assumptions!$D$97+P30*Assumptions!$D$101+(P40+P51+P55)*Assumptions!$D$98+P31*Assumptions!$D$102+(P41+P52+P56)*Assumptions!$D$99+P32*Assumptions!$D$103+(P42+P53+P57)*Assumptions!$D$100+P33*Assumptions!$D$104+P59*Assumptions!$D$99</f>
        <v>494.749669650802</v>
      </c>
      <c r="Q75" s="37" t="n">
        <f aca="false">(Q39+Q50+Q54)*Assumptions!$D$97+Q30*Assumptions!$D$101+(Q40+Q51+Q55)*Assumptions!$D$98+Q31*Assumptions!$D$102+(Q41+Q52+Q56)*Assumptions!$D$99+Q32*Assumptions!$D$103+(Q42+Q53+Q57)*Assumptions!$D$100+Q33*Assumptions!$D$104+Q59*Assumptions!$D$99</f>
        <v>571.107732677877</v>
      </c>
      <c r="R75" s="37" t="n">
        <f aca="false">(R39+R50+R54)*Assumptions!$D$97+R30*Assumptions!$D$101+(R40+R51+R55)*Assumptions!$D$98+R31*Assumptions!$D$102+(R41+R52+R56)*Assumptions!$D$99+R32*Assumptions!$D$103+(R42+R53+R57)*Assumptions!$D$100+R33*Assumptions!$D$104+R59*Assumptions!$D$99</f>
        <v>651.974657694071</v>
      </c>
      <c r="S75" s="37" t="n">
        <f aca="false">(S39+S50+S54)*Assumptions!$D$97+S30*Assumptions!$D$101+(S40+S51+S55)*Assumptions!$D$98+S31*Assumptions!$D$102+(S41+S52+S56)*Assumptions!$D$99+S32*Assumptions!$D$103+(S42+S53+S57)*Assumptions!$D$100+S33*Assumptions!$D$104+S59*Assumptions!$D$99</f>
        <v>737.319547882099</v>
      </c>
      <c r="T75" s="37" t="n">
        <f aca="false">(T39+T50+T54)*Assumptions!$D$97+T30*Assumptions!$D$101+(T40+T51+T55)*Assumptions!$D$98+T31*Assumptions!$D$102+(T41+T52+T56)*Assumptions!$D$99+T32*Assumptions!$D$103+(T42+T53+T57)*Assumptions!$D$100+T33*Assumptions!$D$104+T59*Assumptions!$D$99</f>
        <v>827.112402861971</v>
      </c>
      <c r="U75" s="37" t="n">
        <f aca="false">(U39+U50+U54)*Assumptions!$D$97+U30*Assumptions!$D$101+(U40+U51+U55)*Assumptions!$D$98+U31*Assumptions!$D$102+(U41+U52+U56)*Assumptions!$D$99+U32*Assumptions!$D$103+(U42+U53+U57)*Assumptions!$D$100+U33*Assumptions!$D$104+U59*Assumptions!$D$99</f>
        <v>949.503612842798</v>
      </c>
      <c r="V75" s="37" t="n">
        <f aca="false">(V39+V50+V54)*Assumptions!$D$97+V30*Assumptions!$D$101+(V40+V51+V55)*Assumptions!$D$98+V31*Assumptions!$D$102+(V41+V52+V56)*Assumptions!$D$99+V32*Assumptions!$D$103+(V42+V53+V57)*Assumptions!$D$100+V33*Assumptions!$D$104+V59*Assumptions!$D$99</f>
        <v>1063.1392246838</v>
      </c>
      <c r="W75" s="37" t="n">
        <f aca="false">(W39+W50+W54)*Assumptions!$D$97+W30*Assumptions!$D$101+(W40+W51+W55)*Assumptions!$D$98+W31*Assumptions!$D$102+(W41+W52+W56)*Assumptions!$D$99+W32*Assumptions!$D$103+(W42+W53+W57)*Assumptions!$D$100+W33*Assumptions!$D$104+W59*Assumptions!$D$99</f>
        <v>1181.19273836382</v>
      </c>
      <c r="X75" s="37" t="n">
        <f aca="false">(X39+X50+X54)*Assumptions!$D$97+X30*Assumptions!$D$101+(X40+X51+X55)*Assumptions!$D$98+X31*Assumptions!$D$102+(X41+X52+X56)*Assumptions!$D$99+X32*Assumptions!$D$103+(X42+X53+X57)*Assumptions!$D$100+X33*Assumptions!$D$104+X59*Assumptions!$D$99</f>
        <v>1303.63850226792</v>
      </c>
      <c r="Y75" s="37" t="n">
        <f aca="false">(Y39+Y50+Y54)*Assumptions!$D$97+Y30*Assumptions!$D$101+(Y40+Y51+Y55)*Assumptions!$D$98+Y31*Assumptions!$D$102+(Y41+Y52+Y56)*Assumptions!$D$99+Y32*Assumptions!$D$103+(Y42+Y53+Y57)*Assumptions!$D$100+Y33*Assumptions!$D$104+Y59*Assumptions!$D$99</f>
        <v>1430.45170065978</v>
      </c>
      <c r="Z75" s="37" t="n">
        <f aca="false">(Z39+Z50+Z54)*Assumptions!$D$97+Z30*Assumptions!$D$101+(Z40+Z51+Z55)*Assumptions!$D$98+Z31*Assumptions!$D$102+(Z41+Z52+Z56)*Assumptions!$D$99+Z32*Assumptions!$D$103+(Z42+Z53+Z57)*Assumptions!$D$100+Z33*Assumptions!$D$104+Z59*Assumptions!$D$99</f>
        <v>1561.60834144928</v>
      </c>
      <c r="AA75" s="37" t="n">
        <f aca="false">(AA39+AA50+AA54)*Assumptions!$D$97+AA30*Assumptions!$D$101+(AA40+AA51+AA55)*Assumptions!$D$98+AA31*Assumptions!$D$102+(AA41+AA52+AA56)*Assumptions!$D$99+AA32*Assumptions!$D$103+(AA42+AA53+AA57)*Assumptions!$D$100+AA33*Assumptions!$D$104+AA59*Assumptions!$D$99</f>
        <v>1697.08524424951</v>
      </c>
      <c r="AB75" s="37" t="n">
        <f aca="false">(AB39+AB50+AB54)*Assumptions!$D$97+AB30*Assumptions!$D$101+(AB40+AB51+AB55)*Assumptions!$D$98+AB31*Assumptions!$D$102+(AB41+AB52+AB56)*Assumptions!$D$99+AB32*Assumptions!$D$103+(AB42+AB53+AB57)*Assumptions!$D$100+AB33*Assumptions!$D$104+AB59*Assumptions!$D$99</f>
        <v>1836.86002871745</v>
      </c>
      <c r="AC75" s="37" t="n">
        <f aca="false">(AC39+AC50+AC54)*Assumptions!$D$97+AC30*Assumptions!$D$101+(AC40+AC51+AC55)*Assumptions!$D$98+AC31*Assumptions!$D$102+(AC41+AC52+AC56)*Assumptions!$D$99+AC32*Assumptions!$D$103+(AC42+AC53+AC57)*Assumptions!$D$100+AC33*Assumptions!$D$104+AC59*Assumptions!$D$99</f>
        <v>1980.91110317303</v>
      </c>
      <c r="AD75" s="37" t="n">
        <f aca="false">(AD39+AD50+AD54)*Assumptions!$D$97+AD30*Assumptions!$D$101+(AD40+AD51+AD55)*Assumptions!$D$98+AD31*Assumptions!$D$102+(AD41+AD52+AD56)*Assumptions!$D$99+AD32*Assumptions!$D$103+(AD42+AD53+AD57)*Assumptions!$D$100+AD33*Assumptions!$D$104+AD59*Assumptions!$D$99</f>
        <v>2129.21765349087</v>
      </c>
      <c r="AE75" s="37" t="n">
        <f aca="false">(AE39+AE50+AE54)*Assumptions!$D$97+AE30*Assumptions!$D$101+(AE40+AE51+AE55)*Assumptions!$D$98+AE31*Assumptions!$D$102+(AE41+AE52+AE56)*Assumptions!$D$99+AE32*Assumptions!$D$103+(AE42+AE53+AE57)*Assumptions!$D$100+AE33*Assumptions!$D$104+AE59*Assumptions!$D$99</f>
        <v>2309.93914025972</v>
      </c>
      <c r="AF75" s="37" t="n">
        <f aca="false">(AF39+AF50+AF54)*Assumptions!$D$97+AF30*Assumptions!$D$101+(AF40+AF51+AF55)*Assumptions!$D$98+AF31*Assumptions!$D$102+(AF41+AF52+AF56)*Assumptions!$D$99+AF32*Assumptions!$D$103+(AF42+AF53+AF57)*Assumptions!$D$100+AF33*Assumptions!$D$104+AF59*Assumptions!$D$99</f>
        <v>2481.73056779444</v>
      </c>
      <c r="AG75" s="37" t="n">
        <f aca="false">(AG39+AG50+AG54)*Assumptions!$D$97+AG30*Assumptions!$D$101+(AG40+AG51+AG55)*Assumptions!$D$98+AG31*Assumptions!$D$102+(AG41+AG52+AG56)*Assumptions!$D$99+AG32*Assumptions!$D$103+(AG42+AG53+AG57)*Assumptions!$D$100+AG33*Assumptions!$D$104+AG59*Assumptions!$D$99</f>
        <v>2657.77428350118</v>
      </c>
      <c r="AH75" s="37" t="n">
        <f aca="false">(AH39+AH50+AH54)*Assumptions!$D$97+AH30*Assumptions!$D$101+(AH40+AH51+AH55)*Assumptions!$D$98+AH31*Assumptions!$D$102+(AH41+AH52+AH56)*Assumptions!$D$99+AH32*Assumptions!$D$103+(AH42+AH53+AH57)*Assumptions!$D$100+AH33*Assumptions!$D$104+AH59*Assumptions!$D$99</f>
        <v>2837.68535800566</v>
      </c>
      <c r="AI75" s="37" t="n">
        <f aca="false">(AI39+AI50+AI54)*Assumptions!$D$97+AI30*Assumptions!$D$101+(AI40+AI51+AI55)*Assumptions!$D$98+AI31*Assumptions!$D$102+(AI41+AI52+AI56)*Assumptions!$D$99+AI32*Assumptions!$D$103+(AI42+AI53+AI57)*Assumptions!$D$100+AI33*Assumptions!$D$104+AI59*Assumptions!$D$99</f>
        <v>3020.16753436543</v>
      </c>
      <c r="AJ75" s="37" t="n">
        <f aca="false">(AJ39+AJ50+AJ54)*Assumptions!$D$97+AJ30*Assumptions!$D$101+(AJ40+AJ51+AJ55)*Assumptions!$D$98+AJ31*Assumptions!$D$102+(AJ41+AJ52+AJ56)*Assumptions!$D$99+AJ32*Assumptions!$D$103+(AJ42+AJ53+AJ57)*Assumptions!$D$100+AJ33*Assumptions!$D$104+AJ59*Assumptions!$D$99</f>
        <v>3205.24111742945</v>
      </c>
      <c r="AK75" s="37" t="n">
        <f aca="false">(AK39+AK50+AK54)*Assumptions!$D$97+AK30*Assumptions!$D$101+(AK40+AK51+AK55)*Assumptions!$D$98+AK31*Assumptions!$D$102+(AK41+AK52+AK56)*Assumptions!$D$99+AK32*Assumptions!$D$103+(AK42+AK53+AK57)*Assumptions!$D$100+AK33*Assumptions!$D$104+AK59*Assumptions!$D$99</f>
        <v>3392.92634548329</v>
      </c>
      <c r="AL75" s="37" t="n">
        <f aca="false">(AL39+AL50+AL54)*Assumptions!$D$97+AL30*Assumptions!$D$101+(AL40+AL51+AL55)*Assumptions!$D$98+AL31*Assumptions!$D$102+(AL41+AL52+AL56)*Assumptions!$D$99+AL32*Assumptions!$D$103+(AL42+AL53+AL57)*Assumptions!$D$100+AL33*Assumptions!$D$104+AL59*Assumptions!$D$99</f>
        <v>3583.24339828815</v>
      </c>
    </row>
    <row r="76" customFormat="false" ht="15" hidden="false" customHeight="false" outlineLevel="0" collapsed="false">
      <c r="A76" s="9" t="s">
        <v>620</v>
      </c>
      <c r="B76" s="2" t="s">
        <v>105</v>
      </c>
      <c r="C76" s="37" t="n">
        <f aca="false">Assumptions!$D$172+Assumptions!$D$173*C36</f>
        <v>300</v>
      </c>
      <c r="D76" s="37" t="n">
        <f aca="false">Assumptions!$D$172+Assumptions!$D$173*D36</f>
        <v>300</v>
      </c>
      <c r="E76" s="37" t="n">
        <f aca="false">Assumptions!$D$172+Assumptions!$D$173*E36</f>
        <v>300</v>
      </c>
      <c r="F76" s="37" t="n">
        <f aca="false">Assumptions!$D$172+Assumptions!$D$173*F36</f>
        <v>303.75</v>
      </c>
      <c r="G76" s="37" t="n">
        <f aca="false">Assumptions!$D$172+Assumptions!$D$173*G36</f>
        <v>308.83125</v>
      </c>
      <c r="H76" s="37" t="n">
        <f aca="false">Assumptions!$D$172+Assumptions!$D$173*H36</f>
        <v>315.10921875</v>
      </c>
      <c r="I76" s="37" t="n">
        <f aca="false">Assumptions!$D$172+Assumptions!$D$173*I36</f>
        <v>322.18776328125</v>
      </c>
      <c r="J76" s="37" t="n">
        <f aca="false">Assumptions!$D$172+Assumptions!$D$173*J36</f>
        <v>330.049004636719</v>
      </c>
      <c r="K76" s="37" t="n">
        <f aca="false">Assumptions!$D$172+Assumptions!$D$173*K36</f>
        <v>338.67548379252</v>
      </c>
      <c r="L76" s="37" t="n">
        <f aca="false">Assumptions!$D$172+Assumptions!$D$173*L36</f>
        <v>348.230151582887</v>
      </c>
      <c r="M76" s="37" t="n">
        <f aca="false">Assumptions!$D$172+Assumptions!$D$173*M36</f>
        <v>358.533638869447</v>
      </c>
      <c r="N76" s="37" t="n">
        <f aca="false">Assumptions!$D$172+Assumptions!$D$173*N36</f>
        <v>369.56961782881</v>
      </c>
      <c r="O76" s="37" t="n">
        <f aca="false">Assumptions!$D$172+Assumptions!$D$173*O36</f>
        <v>381.322141989163</v>
      </c>
      <c r="P76" s="37" t="n">
        <f aca="false">Assumptions!$D$172+Assumptions!$D$173*P36</f>
        <v>393.775637096112</v>
      </c>
      <c r="Q76" s="37" t="n">
        <f aca="false">Assumptions!$D$172+Assumptions!$D$173*Q36</f>
        <v>406.91489219983</v>
      </c>
      <c r="R76" s="37" t="n">
        <f aca="false">Assumptions!$D$172+Assumptions!$D$173*R36</f>
        <v>420.725050958127</v>
      </c>
      <c r="S76" s="37" t="n">
        <f aca="false">Assumptions!$D$172+Assumptions!$D$173*S36</f>
        <v>435.19160315015</v>
      </c>
      <c r="T76" s="37" t="n">
        <f aca="false">Assumptions!$D$172+Assumptions!$D$173*T36</f>
        <v>450.300376395601</v>
      </c>
      <c r="U76" s="37" t="n">
        <f aca="false">Assumptions!$D$172+Assumptions!$D$173*U36</f>
        <v>466.757528074446</v>
      </c>
      <c r="V76" s="37" t="n">
        <f aca="false">Assumptions!$D$172+Assumptions!$D$173*V36</f>
        <v>483.824557442234</v>
      </c>
      <c r="W76" s="37" t="n">
        <f aca="false">Assumptions!$D$172+Assumptions!$D$173*W36</f>
        <v>501.488293606251</v>
      </c>
      <c r="X76" s="37" t="n">
        <f aca="false">Assumptions!$D$172+Assumptions!$D$173*X36</f>
        <v>519.735872087062</v>
      </c>
      <c r="Y76" s="37" t="n">
        <f aca="false">Assumptions!$D$172+Assumptions!$D$173*Y36</f>
        <v>538.554727494427</v>
      </c>
      <c r="Z76" s="37" t="n">
        <f aca="false">Assumptions!$D$172+Assumptions!$D$173*Z36</f>
        <v>557.932586380434</v>
      </c>
      <c r="AA76" s="37" t="n">
        <f aca="false">Assumptions!$D$172+Assumptions!$D$173*AA36</f>
        <v>577.857460265516</v>
      </c>
      <c r="AB76" s="37" t="n">
        <f aca="false">Assumptions!$D$172+Assumptions!$D$173*AB36</f>
        <v>598.317638833145</v>
      </c>
      <c r="AC76" s="37" t="n">
        <f aca="false">Assumptions!$D$172+Assumptions!$D$173*AC36</f>
        <v>619.301683289097</v>
      </c>
      <c r="AD76" s="37" t="n">
        <f aca="false">Assumptions!$D$172+Assumptions!$D$173*AD36</f>
        <v>640.798419881274</v>
      </c>
      <c r="AE76" s="37" t="n">
        <f aca="false">Assumptions!$D$172+Assumptions!$D$173*AE36</f>
        <v>663.516933576173</v>
      </c>
      <c r="AF76" s="37" t="n">
        <f aca="false">Assumptions!$D$172+Assumptions!$D$173*AF36</f>
        <v>686.72158188819</v>
      </c>
      <c r="AG76" s="37" t="n">
        <f aca="false">Assumptions!$D$172+Assumptions!$D$173*AG36</f>
        <v>710.40198452804</v>
      </c>
      <c r="AH76" s="37" t="n">
        <f aca="false">Assumptions!$D$172+Assumptions!$D$173*AH36</f>
        <v>734.398001595846</v>
      </c>
      <c r="AI76" s="37" t="n">
        <f aca="false">Assumptions!$D$172+Assumptions!$D$173*AI36</f>
        <v>758.178477848909</v>
      </c>
      <c r="AJ76" s="37" t="n">
        <f aca="false">Assumptions!$D$172+Assumptions!$D$173*AJ36</f>
        <v>781.750518357945</v>
      </c>
      <c r="AK76" s="37" t="n">
        <f aca="false">Assumptions!$D$172+Assumptions!$D$173*AK36</f>
        <v>805.121032267181</v>
      </c>
      <c r="AL76" s="37" t="n">
        <f aca="false">Assumptions!$D$172+Assumptions!$D$173*AL36</f>
        <v>828.296737955782</v>
      </c>
    </row>
    <row r="77" customFormat="false" ht="15" hidden="false" customHeight="false" outlineLevel="0" collapsed="false">
      <c r="A77" s="9" t="s">
        <v>621</v>
      </c>
      <c r="B77" s="2" t="s">
        <v>105</v>
      </c>
      <c r="C77" s="37" t="n">
        <f aca="false">IF(C$3=Assumptions!$D$176,Assumptions!$D$174,IF(AND(C$3&gt;Assumptions!$D$176,MOD(C$3-Assumptions!$D$176,12)=0),Assumptions!$D$175,0))*Assumptions!$D$6</f>
        <v>0</v>
      </c>
      <c r="D77" s="37" t="n">
        <f aca="false">IF(D$3=Assumptions!$D$176,Assumptions!$D$174,IF(AND(D$3&gt;Assumptions!$D$176,MOD(D$3-Assumptions!$D$176,12)=0),Assumptions!$D$175,0))*Assumptions!$D$6</f>
        <v>0</v>
      </c>
      <c r="E77" s="37" t="n">
        <f aca="false">IF(E$3=Assumptions!$D$176,Assumptions!$D$174,IF(AND(E$3&gt;Assumptions!$D$176,MOD(E$3-Assumptions!$D$176,12)=0),Assumptions!$D$175,0))*Assumptions!$D$6</f>
        <v>0</v>
      </c>
      <c r="F77" s="37" t="n">
        <f aca="false">IF(F$3=Assumptions!$D$176,Assumptions!$D$174,IF(AND(F$3&gt;Assumptions!$D$176,MOD(F$3-Assumptions!$D$176,12)=0),Assumptions!$D$175,0))*Assumptions!$D$6</f>
        <v>0</v>
      </c>
      <c r="G77" s="37" t="n">
        <f aca="false">IF(G$3=Assumptions!$D$176,Assumptions!$D$174,IF(AND(G$3&gt;Assumptions!$D$176,MOD(G$3-Assumptions!$D$176,12)=0),Assumptions!$D$175,0))*Assumptions!$D$6</f>
        <v>0</v>
      </c>
      <c r="H77" s="37" t="n">
        <f aca="false">IF(H$3=Assumptions!$D$176,Assumptions!$D$174,IF(AND(H$3&gt;Assumptions!$D$176,MOD(H$3-Assumptions!$D$176,12)=0),Assumptions!$D$175,0))*Assumptions!$D$6</f>
        <v>0</v>
      </c>
      <c r="I77" s="37" t="n">
        <f aca="false">IF(I$3=Assumptions!$D$176,Assumptions!$D$174,IF(AND(I$3&gt;Assumptions!$D$176,MOD(I$3-Assumptions!$D$176,12)=0),Assumptions!$D$175,0))*Assumptions!$D$6</f>
        <v>0</v>
      </c>
      <c r="J77" s="37" t="n">
        <f aca="false">IF(J$3=Assumptions!$D$176,Assumptions!$D$174,IF(AND(J$3&gt;Assumptions!$D$176,MOD(J$3-Assumptions!$D$176,12)=0),Assumptions!$D$175,0))*Assumptions!$D$6</f>
        <v>5662.5</v>
      </c>
      <c r="K77" s="37" t="n">
        <f aca="false">IF(K$3=Assumptions!$D$176,Assumptions!$D$174,IF(AND(K$3&gt;Assumptions!$D$176,MOD(K$3-Assumptions!$D$176,12)=0),Assumptions!$D$175,0))*Assumptions!$D$6</f>
        <v>0</v>
      </c>
      <c r="L77" s="37" t="n">
        <f aca="false">IF(L$3=Assumptions!$D$176,Assumptions!$D$174,IF(AND(L$3&gt;Assumptions!$D$176,MOD(L$3-Assumptions!$D$176,12)=0),Assumptions!$D$175,0))*Assumptions!$D$6</f>
        <v>0</v>
      </c>
      <c r="M77" s="37" t="n">
        <f aca="false">IF(M$3=Assumptions!$D$176,Assumptions!$D$174,IF(AND(M$3&gt;Assumptions!$D$176,MOD(M$3-Assumptions!$D$176,12)=0),Assumptions!$D$175,0))*Assumptions!$D$6</f>
        <v>0</v>
      </c>
      <c r="N77" s="37" t="n">
        <f aca="false">IF(N$3=Assumptions!$D$176,Assumptions!$D$174,IF(AND(N$3&gt;Assumptions!$D$176,MOD(N$3-Assumptions!$D$176,12)=0),Assumptions!$D$175,0))*Assumptions!$D$6</f>
        <v>0</v>
      </c>
      <c r="O77" s="37" t="n">
        <f aca="false">IF(O$3=Assumptions!$D$176,Assumptions!$D$174,IF(AND(O$3&gt;Assumptions!$D$176,MOD(O$3-Assumptions!$D$176,12)=0),Assumptions!$D$175,0))*Assumptions!$D$6</f>
        <v>0</v>
      </c>
      <c r="P77" s="37" t="n">
        <f aca="false">IF(P$3=Assumptions!$D$176,Assumptions!$D$174,IF(AND(P$3&gt;Assumptions!$D$176,MOD(P$3-Assumptions!$D$176,12)=0),Assumptions!$D$175,0))*Assumptions!$D$6</f>
        <v>0</v>
      </c>
      <c r="Q77" s="37" t="n">
        <f aca="false">IF(Q$3=Assumptions!$D$176,Assumptions!$D$174,IF(AND(Q$3&gt;Assumptions!$D$176,MOD(Q$3-Assumptions!$D$176,12)=0),Assumptions!$D$175,0))*Assumptions!$D$6</f>
        <v>0</v>
      </c>
      <c r="R77" s="37" t="n">
        <f aca="false">IF(R$3=Assumptions!$D$176,Assumptions!$D$174,IF(AND(R$3&gt;Assumptions!$D$176,MOD(R$3-Assumptions!$D$176,12)=0),Assumptions!$D$175,0))*Assumptions!$D$6</f>
        <v>0</v>
      </c>
      <c r="S77" s="37" t="n">
        <f aca="false">IF(S$3=Assumptions!$D$176,Assumptions!$D$174,IF(AND(S$3&gt;Assumptions!$D$176,MOD(S$3-Assumptions!$D$176,12)=0),Assumptions!$D$175,0))*Assumptions!$D$6</f>
        <v>0</v>
      </c>
      <c r="T77" s="37" t="n">
        <f aca="false">IF(T$3=Assumptions!$D$176,Assumptions!$D$174,IF(AND(T$3&gt;Assumptions!$D$176,MOD(T$3-Assumptions!$D$176,12)=0),Assumptions!$D$175,0))*Assumptions!$D$6</f>
        <v>0</v>
      </c>
      <c r="U77" s="37" t="n">
        <f aca="false">IF(U$3=Assumptions!$D$176,Assumptions!$D$174,IF(AND(U$3&gt;Assumptions!$D$176,MOD(U$3-Assumptions!$D$176,12)=0),Assumptions!$D$175,0))*Assumptions!$D$6</f>
        <v>0</v>
      </c>
      <c r="V77" s="37" t="n">
        <f aca="false">IF(V$3=Assumptions!$D$176,Assumptions!$D$174,IF(AND(V$3&gt;Assumptions!$D$176,MOD(V$3-Assumptions!$D$176,12)=0),Assumptions!$D$175,0))*Assumptions!$D$6</f>
        <v>3397.5</v>
      </c>
      <c r="W77" s="37" t="n">
        <f aca="false">IF(W$3=Assumptions!$D$176,Assumptions!$D$174,IF(AND(W$3&gt;Assumptions!$D$176,MOD(W$3-Assumptions!$D$176,12)=0),Assumptions!$D$175,0))*Assumptions!$D$6</f>
        <v>0</v>
      </c>
      <c r="X77" s="37" t="n">
        <f aca="false">IF(X$3=Assumptions!$D$176,Assumptions!$D$174,IF(AND(X$3&gt;Assumptions!$D$176,MOD(X$3-Assumptions!$D$176,12)=0),Assumptions!$D$175,0))*Assumptions!$D$6</f>
        <v>0</v>
      </c>
      <c r="Y77" s="37" t="n">
        <f aca="false">IF(Y$3=Assumptions!$D$176,Assumptions!$D$174,IF(AND(Y$3&gt;Assumptions!$D$176,MOD(Y$3-Assumptions!$D$176,12)=0),Assumptions!$D$175,0))*Assumptions!$D$6</f>
        <v>0</v>
      </c>
      <c r="Z77" s="37" t="n">
        <f aca="false">IF(Z$3=Assumptions!$D$176,Assumptions!$D$174,IF(AND(Z$3&gt;Assumptions!$D$176,MOD(Z$3-Assumptions!$D$176,12)=0),Assumptions!$D$175,0))*Assumptions!$D$6</f>
        <v>0</v>
      </c>
      <c r="AA77" s="37" t="n">
        <f aca="false">IF(AA$3=Assumptions!$D$176,Assumptions!$D$174,IF(AND(AA$3&gt;Assumptions!$D$176,MOD(AA$3-Assumptions!$D$176,12)=0),Assumptions!$D$175,0))*Assumptions!$D$6</f>
        <v>0</v>
      </c>
      <c r="AB77" s="37" t="n">
        <f aca="false">IF(AB$3=Assumptions!$D$176,Assumptions!$D$174,IF(AND(AB$3&gt;Assumptions!$D$176,MOD(AB$3-Assumptions!$D$176,12)=0),Assumptions!$D$175,0))*Assumptions!$D$6</f>
        <v>0</v>
      </c>
      <c r="AC77" s="37" t="n">
        <f aca="false">IF(AC$3=Assumptions!$D$176,Assumptions!$D$174,IF(AND(AC$3&gt;Assumptions!$D$176,MOD(AC$3-Assumptions!$D$176,12)=0),Assumptions!$D$175,0))*Assumptions!$D$6</f>
        <v>0</v>
      </c>
      <c r="AD77" s="37" t="n">
        <f aca="false">IF(AD$3=Assumptions!$D$176,Assumptions!$D$174,IF(AND(AD$3&gt;Assumptions!$D$176,MOD(AD$3-Assumptions!$D$176,12)=0),Assumptions!$D$175,0))*Assumptions!$D$6</f>
        <v>0</v>
      </c>
      <c r="AE77" s="37" t="n">
        <f aca="false">IF(AE$3=Assumptions!$D$176,Assumptions!$D$174,IF(AND(AE$3&gt;Assumptions!$D$176,MOD(AE$3-Assumptions!$D$176,12)=0),Assumptions!$D$175,0))*Assumptions!$D$6</f>
        <v>0</v>
      </c>
      <c r="AF77" s="37" t="n">
        <f aca="false">IF(AF$3=Assumptions!$D$176,Assumptions!$D$174,IF(AND(AF$3&gt;Assumptions!$D$176,MOD(AF$3-Assumptions!$D$176,12)=0),Assumptions!$D$175,0))*Assumptions!$D$6</f>
        <v>0</v>
      </c>
      <c r="AG77" s="37" t="n">
        <f aca="false">IF(AG$3=Assumptions!$D$176,Assumptions!$D$174,IF(AND(AG$3&gt;Assumptions!$D$176,MOD(AG$3-Assumptions!$D$176,12)=0),Assumptions!$D$175,0))*Assumptions!$D$6</f>
        <v>0</v>
      </c>
      <c r="AH77" s="37" t="n">
        <f aca="false">IF(AH$3=Assumptions!$D$176,Assumptions!$D$174,IF(AND(AH$3&gt;Assumptions!$D$176,MOD(AH$3-Assumptions!$D$176,12)=0),Assumptions!$D$175,0))*Assumptions!$D$6</f>
        <v>3397.5</v>
      </c>
      <c r="AI77" s="37" t="n">
        <f aca="false">IF(AI$3=Assumptions!$D$176,Assumptions!$D$174,IF(AND(AI$3&gt;Assumptions!$D$176,MOD(AI$3-Assumptions!$D$176,12)=0),Assumptions!$D$175,0))*Assumptions!$D$6</f>
        <v>0</v>
      </c>
      <c r="AJ77" s="37" t="n">
        <f aca="false">IF(AJ$3=Assumptions!$D$176,Assumptions!$D$174,IF(AND(AJ$3&gt;Assumptions!$D$176,MOD(AJ$3-Assumptions!$D$176,12)=0),Assumptions!$D$175,0))*Assumptions!$D$6</f>
        <v>0</v>
      </c>
      <c r="AK77" s="37" t="n">
        <f aca="false">IF(AK$3=Assumptions!$D$176,Assumptions!$D$174,IF(AND(AK$3&gt;Assumptions!$D$176,MOD(AK$3-Assumptions!$D$176,12)=0),Assumptions!$D$175,0))*Assumptions!$D$6</f>
        <v>0</v>
      </c>
      <c r="AL77" s="37" t="n">
        <f aca="false">IF(AL$3=Assumptions!$D$176,Assumptions!$D$174,IF(AND(AL$3&gt;Assumptions!$D$176,MOD(AL$3-Assumptions!$D$176,12)=0),Assumptions!$D$175,0))*Assumptions!$D$6</f>
        <v>0</v>
      </c>
    </row>
    <row r="78" customFormat="false" ht="15" hidden="false" customHeight="false" outlineLevel="0" collapsed="false">
      <c r="A78" s="3" t="s">
        <v>622</v>
      </c>
      <c r="B78" s="2" t="s">
        <v>105</v>
      </c>
      <c r="C78" s="46" t="n">
        <f aca="false">SUM(C66:C77)</f>
        <v>300</v>
      </c>
      <c r="D78" s="46" t="n">
        <f aca="false">SUM(D66:D77)</f>
        <v>300</v>
      </c>
      <c r="E78" s="46" t="n">
        <f aca="false">SUM(E66:E77)</f>
        <v>300</v>
      </c>
      <c r="F78" s="46" t="n">
        <f aca="false">SUM(F66:F77)</f>
        <v>459.689068833333</v>
      </c>
      <c r="G78" s="46" t="n">
        <f aca="false">SUM(G66:G77)</f>
        <v>742.903081144167</v>
      </c>
      <c r="H78" s="46" t="n">
        <f aca="false">SUM(H66:H77)</f>
        <v>1233.90140470684</v>
      </c>
      <c r="I78" s="46" t="n">
        <f aca="false">SUM(I66:I77)</f>
        <v>1707.37485455867</v>
      </c>
      <c r="J78" s="46" t="n">
        <f aca="false">SUM(J66:J77)</f>
        <v>7899.00219549349</v>
      </c>
      <c r="K78" s="46" t="n">
        <f aca="false">SUM(K66:K77)</f>
        <v>2820.35632543959</v>
      </c>
      <c r="L78" s="46" t="n">
        <f aca="false">SUM(L66:L77)</f>
        <v>3750.75493412744</v>
      </c>
      <c r="M78" s="46" t="n">
        <f aca="false">SUM(M66:M77)</f>
        <v>4626.93563276658</v>
      </c>
      <c r="N78" s="46" t="n">
        <f aca="false">SUM(N66:N77)</f>
        <v>5570.28762708185</v>
      </c>
      <c r="O78" s="46" t="n">
        <f aca="false">SUM(O66:O77)</f>
        <v>6579.90796661331</v>
      </c>
      <c r="P78" s="46" t="n">
        <f aca="false">SUM(P66:P77)</f>
        <v>7654.91116365566</v>
      </c>
      <c r="Q78" s="46" t="n">
        <f aca="false">SUM(Q66:Q77)</f>
        <v>8794.42882086129</v>
      </c>
      <c r="R78" s="46" t="n">
        <f aca="false">SUM(R66:R77)</f>
        <v>9997.60926730682</v>
      </c>
      <c r="S78" s="46" t="n">
        <f aca="false">SUM(S66:S77)</f>
        <v>11263.6172028274</v>
      </c>
      <c r="T78" s="46" t="n">
        <f aca="false">SUM(T66:T77)</f>
        <v>12591.6333504277</v>
      </c>
      <c r="U78" s="46" t="n">
        <f aca="false">SUM(U66:U77)</f>
        <v>14460.1302942903</v>
      </c>
      <c r="V78" s="46" t="n">
        <f aca="false">SUM(V66:V77)</f>
        <v>19575.8309063606</v>
      </c>
      <c r="W78" s="46" t="n">
        <f aca="false">SUM(W66:W77)</f>
        <v>17954.6732264695</v>
      </c>
      <c r="X78" s="46" t="n">
        <f aca="false">SUM(X66:X77)</f>
        <v>19788.4099376709</v>
      </c>
      <c r="Y78" s="46" t="n">
        <f aca="false">SUM(Y66:Y77)</f>
        <v>21678.8080569275</v>
      </c>
      <c r="Z78" s="46" t="n">
        <f aca="false">SUM(Z66:Z77)</f>
        <v>23625.1486328137</v>
      </c>
      <c r="AA78" s="46" t="n">
        <f aca="false">SUM(AA66:AA77)</f>
        <v>25626.7264500766</v>
      </c>
      <c r="AB78" s="46" t="n">
        <f aca="false">SUM(AB66:AB77)</f>
        <v>27682.8497408953</v>
      </c>
      <c r="AC78" s="46" t="n">
        <f aca="false">SUM(AC66:AC77)</f>
        <v>29792.8399026846</v>
      </c>
      <c r="AD78" s="46" t="n">
        <f aca="false">SUM(AD66:AD77)</f>
        <v>31956.0312222939</v>
      </c>
      <c r="AE78" s="46" t="n">
        <f aca="false">SUM(AE66:AE77)</f>
        <v>34651.0467841588</v>
      </c>
      <c r="AF78" s="46" t="n">
        <f aca="false">SUM(AF66:AF77)</f>
        <v>37187.2569654262</v>
      </c>
      <c r="AG78" s="46" t="n">
        <f aca="false">SUM(AG66:AG77)</f>
        <v>39773.2443830487</v>
      </c>
      <c r="AH78" s="46" t="n">
        <f aca="false">SUM(AH66:AH77)</f>
        <v>45799.5158718113</v>
      </c>
      <c r="AI78" s="46" t="n">
        <f aca="false">SUM(AI66:AI77)</f>
        <v>45052.4856194047</v>
      </c>
      <c r="AJ78" s="46" t="n">
        <f aca="false">SUM(AJ66:AJ77)</f>
        <v>47730.7092720729</v>
      </c>
      <c r="AK78" s="46" t="n">
        <f aca="false">SUM(AK66:AK77)</f>
        <v>50436.6158164182</v>
      </c>
      <c r="AL78" s="46" t="n">
        <f aca="false">SUM(AL66:AL77)</f>
        <v>53170.1326659276</v>
      </c>
    </row>
    <row r="79" customFormat="false" ht="15" hidden="false" customHeight="false" outlineLevel="0" collapsed="false">
      <c r="A79" s="3" t="s">
        <v>623</v>
      </c>
      <c r="B79" s="2" t="s">
        <v>105</v>
      </c>
      <c r="C79" s="45" t="n">
        <f aca="false">C63-C78</f>
        <v>-300</v>
      </c>
      <c r="D79" s="45" t="n">
        <f aca="false">D63-D78</f>
        <v>-300</v>
      </c>
      <c r="E79" s="45" t="n">
        <f aca="false">E63-E78</f>
        <v>-300</v>
      </c>
      <c r="F79" s="45" t="n">
        <f aca="false">F63-F78</f>
        <v>-64.2140688333333</v>
      </c>
      <c r="G79" s="45" t="n">
        <f aca="false">G63-G78</f>
        <v>613.835656355833</v>
      </c>
      <c r="H79" s="45" t="n">
        <f aca="false">H63-H78</f>
        <v>2010.87201123191</v>
      </c>
      <c r="I79" s="45" t="n">
        <f aca="false">I63-I78</f>
        <v>3262.84788777345</v>
      </c>
      <c r="J79" s="45" t="n">
        <f aca="false">J63-J78</f>
        <v>-992.818356659818</v>
      </c>
      <c r="K79" s="45" t="n">
        <f aca="false">K63-K78</f>
        <v>6230.4385509643</v>
      </c>
      <c r="L79" s="45" t="n">
        <f aca="false">L63-L78</f>
        <v>9256.45538498209</v>
      </c>
      <c r="M79" s="45" t="n">
        <f aca="false">M63-M78</f>
        <v>11809.2746470911</v>
      </c>
      <c r="N79" s="45" t="n">
        <f aca="false">N63-N78</f>
        <v>14576.5477365534</v>
      </c>
      <c r="O79" s="45" t="n">
        <f aca="false">O63-O78</f>
        <v>17558.265158513</v>
      </c>
      <c r="P79" s="45" t="n">
        <f aca="false">P63-P78</f>
        <v>20754.446304787</v>
      </c>
      <c r="Q79" s="45" t="n">
        <f aca="false">Q63-Q78</f>
        <v>24165.1392412312</v>
      </c>
      <c r="R79" s="45" t="n">
        <f aca="false">R63-R78</f>
        <v>27790.4205015973</v>
      </c>
      <c r="S79" s="45" t="n">
        <f aca="false">S63-S78</f>
        <v>31630.394887801</v>
      </c>
      <c r="T79" s="45" t="n">
        <f aca="false">T63-T78</f>
        <v>35685.1952765204</v>
      </c>
      <c r="U79" s="45" t="n">
        <f aca="false">U63-U78</f>
        <v>41862.9342543389</v>
      </c>
      <c r="V79" s="45" t="n">
        <f aca="false">V63-V78</f>
        <v>43875.1596863964</v>
      </c>
      <c r="W79" s="45" t="n">
        <f aca="false">W63-W78</f>
        <v>52905.4488429372</v>
      </c>
      <c r="X79" s="45" t="n">
        <f aca="false">X63-X78</f>
        <v>58761.6069845833</v>
      </c>
      <c r="Y79" s="45" t="n">
        <f aca="false">Y63-Y78</f>
        <v>64841.4672058347</v>
      </c>
      <c r="Z79" s="45" t="n">
        <f aca="false">Z63-Z78</f>
        <v>71145.3902845238</v>
      </c>
      <c r="AA79" s="45" t="n">
        <f aca="false">AA63-AA78</f>
        <v>77673.7645371571</v>
      </c>
      <c r="AB79" s="45" t="n">
        <f aca="false">AB63-AB78</f>
        <v>84427.0056800761</v>
      </c>
      <c r="AC79" s="45" t="n">
        <f aca="false">AC63-AC78</f>
        <v>91405.5566963737</v>
      </c>
      <c r="AD79" s="45" t="n">
        <f aca="false">AD63-AD78</f>
        <v>98609.8877085017</v>
      </c>
      <c r="AE79" s="45" t="n">
        <f aca="false">AE63-AE78</f>
        <v>107948.447678801</v>
      </c>
      <c r="AF79" s="45" t="n">
        <f aca="false">AF63-AF78</f>
        <v>116530.620042934</v>
      </c>
      <c r="AG79" s="45" t="n">
        <f aca="false">AG63-AG78</f>
        <v>125347.816900618</v>
      </c>
      <c r="AH79" s="45" t="n">
        <f aca="false">AH63-AH78</f>
        <v>130993.746227269</v>
      </c>
      <c r="AI79" s="45" t="n">
        <f aca="false">AI63-AI78</f>
        <v>143627.040170618</v>
      </c>
      <c r="AJ79" s="45" t="n">
        <f aca="false">AJ63-AJ78</f>
        <v>153050.777951517</v>
      </c>
      <c r="AK79" s="45" t="n">
        <f aca="false">AK63-AK78</f>
        <v>162664.170680483</v>
      </c>
      <c r="AL79" s="45" t="n">
        <f aca="false">AL63-AL78</f>
        <v>172468.936676652</v>
      </c>
    </row>
    <row r="80" customFormat="false" ht="15" hidden="false" customHeight="false" outlineLevel="0" collapsed="false">
      <c r="A80" s="3" t="s">
        <v>624</v>
      </c>
      <c r="B80" s="2" t="s">
        <v>165</v>
      </c>
      <c r="C80" s="47" t="n">
        <f aca="false">IF(C63=0,0,C79/C63)</f>
        <v>0</v>
      </c>
      <c r="D80" s="47" t="n">
        <f aca="false">IF(D63=0,0,D79/D63)</f>
        <v>0</v>
      </c>
      <c r="E80" s="47" t="n">
        <f aca="false">IF(E63=0,0,E79/E63)</f>
        <v>0</v>
      </c>
      <c r="F80" s="47" t="n">
        <f aca="false">IF(F63=0,0,F79/F63)</f>
        <v>-0.162372005394357</v>
      </c>
      <c r="G80" s="47" t="n">
        <f aca="false">IF(G63=0,0,G79/G63)</f>
        <v>0.452434679861003</v>
      </c>
      <c r="H80" s="47" t="n">
        <f aca="false">IF(H63=0,0,H79/H63)</f>
        <v>0.61972648116329</v>
      </c>
      <c r="I80" s="47" t="n">
        <f aca="false">IF(I63=0,0,I79/I63)</f>
        <v>0.656479207658701</v>
      </c>
      <c r="J80" s="47" t="n">
        <f aca="false">IF(J63=0,0,J79/J63)</f>
        <v>-0.14375788131749</v>
      </c>
      <c r="K80" s="47" t="n">
        <f aca="false">IF(K63=0,0,K79/K63)</f>
        <v>0.688385786668034</v>
      </c>
      <c r="L80" s="47" t="n">
        <f aca="false">IF(L63=0,0,L79/L63)</f>
        <v>0.711640325472633</v>
      </c>
      <c r="M80" s="47" t="n">
        <f aca="false">IF(M63=0,0,M79/M63)</f>
        <v>0.718491333830354</v>
      </c>
      <c r="N80" s="47" t="n">
        <f aca="false">IF(N63=0,0,N79/N63)</f>
        <v>0.723515503723421</v>
      </c>
      <c r="O80" s="47" t="n">
        <f aca="false">IF(O63=0,0,O79/O63)</f>
        <v>0.727406546779464</v>
      </c>
      <c r="P80" s="47" t="n">
        <f aca="false">IF(P63=0,0,P79/P63)</f>
        <v>0.730549655262046</v>
      </c>
      <c r="Q80" s="47" t="n">
        <f aca="false">IF(Q63=0,0,Q79/Q63)</f>
        <v>0.733175240516093</v>
      </c>
      <c r="R80" s="47" t="n">
        <f aca="false">IF(R63=0,0,R79/R63)</f>
        <v>0.735429199975547</v>
      </c>
      <c r="S80" s="47" t="n">
        <f aca="false">IF(S63=0,0,S79/S63)</f>
        <v>0.737408168323609</v>
      </c>
      <c r="T80" s="47" t="n">
        <f aca="false">IF(T63=0,0,T79/T63)</f>
        <v>0.739178531221932</v>
      </c>
      <c r="U80" s="47" t="n">
        <f aca="false">IF(U63=0,0,U79/U63)</f>
        <v>0.743264497232649</v>
      </c>
      <c r="V80" s="47" t="n">
        <f aca="false">IF(V63=0,0,V79/V63)</f>
        <v>0.691481082903768</v>
      </c>
      <c r="W80" s="47" t="n">
        <f aca="false">IF(W63=0,0,W79/W63)</f>
        <v>0.746618087831078</v>
      </c>
      <c r="X80" s="47" t="n">
        <f aca="false">IF(X63=0,0,X79/X63)</f>
        <v>0.748078858375591</v>
      </c>
      <c r="Y80" s="47" t="n">
        <f aca="false">IF(Y63=0,0,Y79/Y63)</f>
        <v>0.74943667260548</v>
      </c>
      <c r="Z80" s="47" t="n">
        <f aca="false">IF(Z63=0,0,Z79/Z63)</f>
        <v>0.750712099955236</v>
      </c>
      <c r="AA80" s="47" t="n">
        <f aca="false">IF(AA63=0,0,AA79/AA63)</f>
        <v>0.751920574576517</v>
      </c>
      <c r="AB80" s="47" t="n">
        <f aca="false">IF(AB63=0,0,AB79/AB63)</f>
        <v>0.753073896697606</v>
      </c>
      <c r="AC80" s="47" t="n">
        <f aca="false">IF(AC63=0,0,AC79/AC63)</f>
        <v>0.754181237221779</v>
      </c>
      <c r="AD80" s="47" t="n">
        <f aca="false">IF(AD63=0,0,AD79/AD63)</f>
        <v>0.75524982718322</v>
      </c>
      <c r="AE80" s="47" t="n">
        <f aca="false">IF(AE63=0,0,AE79/AE63)</f>
        <v>0.757004420565044</v>
      </c>
      <c r="AF80" s="47" t="n">
        <f aca="false">IF(AF63=0,0,AF79/AF63)</f>
        <v>0.758081117894936</v>
      </c>
      <c r="AG80" s="47" t="n">
        <f aca="false">IF(AG63=0,0,AG79/AG63)</f>
        <v>0.759126763879496</v>
      </c>
      <c r="AH80" s="47" t="n">
        <f aca="false">IF(AH63=0,0,AH79/AH63)</f>
        <v>0.740943091789642</v>
      </c>
      <c r="AI80" s="47" t="n">
        <f aca="false">IF(AI63=0,0,AI79/AI63)</f>
        <v>0.761222181205063</v>
      </c>
      <c r="AJ80" s="47" t="n">
        <f aca="false">IF(AJ63=0,0,AJ79/AJ63)</f>
        <v>0.762275347532812</v>
      </c>
      <c r="AK80" s="47" t="n">
        <f aca="false">IF(AK63=0,0,AK79/AK63)</f>
        <v>0.763320367580382</v>
      </c>
      <c r="AL80" s="47" t="n">
        <f aca="false">IF(AL63=0,0,AL79/AL63)</f>
        <v>0.764357596311473</v>
      </c>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row>
    <row r="82" customFormat="false" ht="15" hidden="false" customHeight="false" outlineLevel="0" collapsed="false">
      <c r="A82" s="5" t="s">
        <v>625</v>
      </c>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row>
    <row r="83" customFormat="false" ht="15" hidden="false" customHeight="false" outlineLevel="0" collapsed="false">
      <c r="A83" s="9" t="s">
        <v>626</v>
      </c>
      <c r="B83" s="2" t="s">
        <v>105</v>
      </c>
      <c r="C83" s="37" t="n">
        <f aca="false">Assumptions!$D$161*(1+Assumptions!$D$162)/12</f>
        <v>3000</v>
      </c>
      <c r="D83" s="37" t="n">
        <f aca="false">Assumptions!$D$161*(1+Assumptions!$D$162)/12</f>
        <v>3000</v>
      </c>
      <c r="E83" s="37" t="n">
        <f aca="false">Assumptions!$D$161*(1+Assumptions!$D$162)/12</f>
        <v>3000</v>
      </c>
      <c r="F83" s="37" t="n">
        <f aca="false">Assumptions!$D$161*(1+Assumptions!$D$162)/12</f>
        <v>3000</v>
      </c>
      <c r="G83" s="37" t="n">
        <f aca="false">Assumptions!$D$161*(1+Assumptions!$D$162)/12</f>
        <v>3000</v>
      </c>
      <c r="H83" s="37" t="n">
        <f aca="false">Assumptions!$D$161*(1+Assumptions!$D$162)/12</f>
        <v>3000</v>
      </c>
      <c r="I83" s="37" t="n">
        <f aca="false">Assumptions!$D$161*(1+Assumptions!$D$162)/12</f>
        <v>3000</v>
      </c>
      <c r="J83" s="37" t="n">
        <f aca="false">Assumptions!$D$161*(1+Assumptions!$D$162)/12</f>
        <v>3000</v>
      </c>
      <c r="K83" s="37" t="n">
        <f aca="false">Assumptions!$D$161*(1+Assumptions!$D$162)/12</f>
        <v>3000</v>
      </c>
      <c r="L83" s="37" t="n">
        <f aca="false">Assumptions!$D$161*(1+Assumptions!$D$162)/12</f>
        <v>3000</v>
      </c>
      <c r="M83" s="37" t="n">
        <f aca="false">Assumptions!$D$161*(1+Assumptions!$D$162)/12</f>
        <v>3000</v>
      </c>
      <c r="N83" s="37" t="n">
        <f aca="false">Assumptions!$D$161*(1+Assumptions!$D$162)/12</f>
        <v>3000</v>
      </c>
      <c r="O83" s="37" t="n">
        <f aca="false">Assumptions!$D$161*(1+Assumptions!$D$162)/12</f>
        <v>3000</v>
      </c>
      <c r="P83" s="37" t="n">
        <f aca="false">Assumptions!$D$161*(1+Assumptions!$D$162)/12</f>
        <v>3000</v>
      </c>
      <c r="Q83" s="37" t="n">
        <f aca="false">Assumptions!$D$161*(1+Assumptions!$D$162)/12</f>
        <v>3000</v>
      </c>
      <c r="R83" s="37" t="n">
        <f aca="false">Assumptions!$D$161*(1+Assumptions!$D$162)/12</f>
        <v>3000</v>
      </c>
      <c r="S83" s="37" t="n">
        <f aca="false">Assumptions!$D$161*(1+Assumptions!$D$162)/12</f>
        <v>3000</v>
      </c>
      <c r="T83" s="37" t="n">
        <f aca="false">Assumptions!$D$161*(1+Assumptions!$D$162)/12</f>
        <v>3000</v>
      </c>
      <c r="U83" s="37" t="n">
        <f aca="false">Assumptions!$D$161*(1+Assumptions!$D$162)/12</f>
        <v>3000</v>
      </c>
      <c r="V83" s="37" t="n">
        <f aca="false">Assumptions!$D$161*(1+Assumptions!$D$162)/12</f>
        <v>3000</v>
      </c>
      <c r="W83" s="37" t="n">
        <f aca="false">Assumptions!$D$161*(1+Assumptions!$D$162)/12</f>
        <v>3000</v>
      </c>
      <c r="X83" s="37" t="n">
        <f aca="false">Assumptions!$D$161*(1+Assumptions!$D$162)/12</f>
        <v>3000</v>
      </c>
      <c r="Y83" s="37" t="n">
        <f aca="false">Assumptions!$D$161*(1+Assumptions!$D$162)/12</f>
        <v>3000</v>
      </c>
      <c r="Z83" s="37" t="n">
        <f aca="false">Assumptions!$D$161*(1+Assumptions!$D$162)/12</f>
        <v>3000</v>
      </c>
      <c r="AA83" s="37" t="n">
        <f aca="false">Assumptions!$D$161*(1+Assumptions!$D$162)/12</f>
        <v>3000</v>
      </c>
      <c r="AB83" s="37" t="n">
        <f aca="false">Assumptions!$D$161*(1+Assumptions!$D$162)/12</f>
        <v>3000</v>
      </c>
      <c r="AC83" s="37" t="n">
        <f aca="false">Assumptions!$D$161*(1+Assumptions!$D$162)/12</f>
        <v>3000</v>
      </c>
      <c r="AD83" s="37" t="n">
        <f aca="false">Assumptions!$D$161*(1+Assumptions!$D$162)/12</f>
        <v>3000</v>
      </c>
      <c r="AE83" s="37" t="n">
        <f aca="false">Assumptions!$D$161*(1+Assumptions!$D$162)/12</f>
        <v>3000</v>
      </c>
      <c r="AF83" s="37" t="n">
        <f aca="false">Assumptions!$D$161*(1+Assumptions!$D$162)/12</f>
        <v>3000</v>
      </c>
      <c r="AG83" s="37" t="n">
        <f aca="false">Assumptions!$D$161*(1+Assumptions!$D$162)/12</f>
        <v>3000</v>
      </c>
      <c r="AH83" s="37" t="n">
        <f aca="false">Assumptions!$D$161*(1+Assumptions!$D$162)/12</f>
        <v>3000</v>
      </c>
      <c r="AI83" s="37" t="n">
        <f aca="false">Assumptions!$D$161*(1+Assumptions!$D$162)/12</f>
        <v>3000</v>
      </c>
      <c r="AJ83" s="37" t="n">
        <f aca="false">Assumptions!$D$161*(1+Assumptions!$D$162)/12</f>
        <v>3000</v>
      </c>
      <c r="AK83" s="37" t="n">
        <f aca="false">Assumptions!$D$161*(1+Assumptions!$D$162)/12</f>
        <v>3000</v>
      </c>
      <c r="AL83" s="37" t="n">
        <f aca="false">Assumptions!$D$161*(1+Assumptions!$D$162)/12</f>
        <v>3000</v>
      </c>
    </row>
    <row r="84" customFormat="false" ht="15" hidden="false" customHeight="false" outlineLevel="0" collapsed="false">
      <c r="A84" s="9" t="s">
        <v>627</v>
      </c>
      <c r="B84" s="2" t="s">
        <v>105</v>
      </c>
      <c r="C84" s="37" t="n">
        <f aca="false">C7*Assumptions!$D$187*(1+Assumptions!$D$162)/12</f>
        <v>0</v>
      </c>
      <c r="D84" s="37" t="n">
        <f aca="false">D7*Assumptions!$D$187*(1+Assumptions!$D$162)/12</f>
        <v>0</v>
      </c>
      <c r="E84" s="37" t="n">
        <f aca="false">E7*Assumptions!$D$187*(1+Assumptions!$D$162)/12</f>
        <v>0</v>
      </c>
      <c r="F84" s="37" t="n">
        <f aca="false">F7*Assumptions!$D$187*(1+Assumptions!$D$162)/12</f>
        <v>0</v>
      </c>
      <c r="G84" s="37" t="n">
        <f aca="false">G7*Assumptions!$D$187*(1+Assumptions!$D$162)/12</f>
        <v>0</v>
      </c>
      <c r="H84" s="37" t="n">
        <f aca="false">H7*Assumptions!$D$187*(1+Assumptions!$D$162)/12</f>
        <v>0</v>
      </c>
      <c r="I84" s="37" t="n">
        <f aca="false">I7*Assumptions!$D$187*(1+Assumptions!$D$162)/12</f>
        <v>0</v>
      </c>
      <c r="J84" s="37" t="n">
        <f aca="false">J7*Assumptions!$D$187*(1+Assumptions!$D$162)/12</f>
        <v>0</v>
      </c>
      <c r="K84" s="37" t="n">
        <f aca="false">K7*Assumptions!$D$187*(1+Assumptions!$D$162)/12</f>
        <v>3200</v>
      </c>
      <c r="L84" s="37" t="n">
        <f aca="false">L7*Assumptions!$D$187*(1+Assumptions!$D$162)/12</f>
        <v>3200</v>
      </c>
      <c r="M84" s="37" t="n">
        <f aca="false">M7*Assumptions!$D$187*(1+Assumptions!$D$162)/12</f>
        <v>3200</v>
      </c>
      <c r="N84" s="37" t="n">
        <f aca="false">N7*Assumptions!$D$187*(1+Assumptions!$D$162)/12</f>
        <v>3200</v>
      </c>
      <c r="O84" s="37" t="n">
        <f aca="false">O7*Assumptions!$D$187*(1+Assumptions!$D$162)/12</f>
        <v>3200</v>
      </c>
      <c r="P84" s="37" t="n">
        <f aca="false">P7*Assumptions!$D$187*(1+Assumptions!$D$162)/12</f>
        <v>3200</v>
      </c>
      <c r="Q84" s="37" t="n">
        <f aca="false">Q7*Assumptions!$D$187*(1+Assumptions!$D$162)/12</f>
        <v>3200</v>
      </c>
      <c r="R84" s="37" t="n">
        <f aca="false">R7*Assumptions!$D$187*(1+Assumptions!$D$162)/12</f>
        <v>3200</v>
      </c>
      <c r="S84" s="37" t="n">
        <f aca="false">S7*Assumptions!$D$187*(1+Assumptions!$D$162)/12</f>
        <v>3200</v>
      </c>
      <c r="T84" s="37" t="n">
        <f aca="false">T7*Assumptions!$D$187*(1+Assumptions!$D$162)/12</f>
        <v>3200</v>
      </c>
      <c r="U84" s="37" t="n">
        <f aca="false">U7*Assumptions!$D$187*(1+Assumptions!$D$162)/12</f>
        <v>3200</v>
      </c>
      <c r="V84" s="37" t="n">
        <f aca="false">V7*Assumptions!$D$187*(1+Assumptions!$D$162)/12</f>
        <v>3200</v>
      </c>
      <c r="W84" s="37" t="n">
        <f aca="false">W7*Assumptions!$D$187*(1+Assumptions!$D$162)/12</f>
        <v>3200</v>
      </c>
      <c r="X84" s="37" t="n">
        <f aca="false">X7*Assumptions!$D$187*(1+Assumptions!$D$162)/12</f>
        <v>3200</v>
      </c>
      <c r="Y84" s="37" t="n">
        <f aca="false">Y7*Assumptions!$D$187*(1+Assumptions!$D$162)/12</f>
        <v>3200</v>
      </c>
      <c r="Z84" s="37" t="n">
        <f aca="false">Z7*Assumptions!$D$187*(1+Assumptions!$D$162)/12</f>
        <v>3200</v>
      </c>
      <c r="AA84" s="37" t="n">
        <f aca="false">AA7*Assumptions!$D$187*(1+Assumptions!$D$162)/12</f>
        <v>3200</v>
      </c>
      <c r="AB84" s="37" t="n">
        <f aca="false">AB7*Assumptions!$D$187*(1+Assumptions!$D$162)/12</f>
        <v>3200</v>
      </c>
      <c r="AC84" s="37" t="n">
        <f aca="false">AC7*Assumptions!$D$187*(1+Assumptions!$D$162)/12</f>
        <v>3200</v>
      </c>
      <c r="AD84" s="37" t="n">
        <f aca="false">AD7*Assumptions!$D$187*(1+Assumptions!$D$162)/12</f>
        <v>3200</v>
      </c>
      <c r="AE84" s="37" t="n">
        <f aca="false">AE7*Assumptions!$D$187*(1+Assumptions!$D$162)/12</f>
        <v>3200</v>
      </c>
      <c r="AF84" s="37" t="n">
        <f aca="false">AF7*Assumptions!$D$187*(1+Assumptions!$D$162)/12</f>
        <v>3200</v>
      </c>
      <c r="AG84" s="37" t="n">
        <f aca="false">AG7*Assumptions!$D$187*(1+Assumptions!$D$162)/12</f>
        <v>3200</v>
      </c>
      <c r="AH84" s="37" t="n">
        <f aca="false">AH7*Assumptions!$D$187*(1+Assumptions!$D$162)/12</f>
        <v>3200</v>
      </c>
      <c r="AI84" s="37" t="n">
        <f aca="false">AI7*Assumptions!$D$187*(1+Assumptions!$D$162)/12</f>
        <v>3200</v>
      </c>
      <c r="AJ84" s="37" t="n">
        <f aca="false">AJ7*Assumptions!$D$187*(1+Assumptions!$D$162)/12</f>
        <v>3200</v>
      </c>
      <c r="AK84" s="37" t="n">
        <f aca="false">AK7*Assumptions!$D$187*(1+Assumptions!$D$162)/12</f>
        <v>3200</v>
      </c>
      <c r="AL84" s="37" t="n">
        <f aca="false">AL7*Assumptions!$D$187*(1+Assumptions!$D$162)/12</f>
        <v>3200</v>
      </c>
    </row>
    <row r="85" customFormat="false" ht="15" hidden="false" customHeight="false" outlineLevel="0" collapsed="false">
      <c r="A85" s="9" t="s">
        <v>628</v>
      </c>
      <c r="B85" s="2" t="s">
        <v>105</v>
      </c>
      <c r="C85" s="37" t="n">
        <f aca="false">C8*Assumptions!$D$188*(1+Assumptions!$D$162)/12</f>
        <v>0</v>
      </c>
      <c r="D85" s="37" t="n">
        <f aca="false">D8*Assumptions!$D$188*(1+Assumptions!$D$162)/12</f>
        <v>0</v>
      </c>
      <c r="E85" s="37" t="n">
        <f aca="false">E8*Assumptions!$D$188*(1+Assumptions!$D$162)/12</f>
        <v>0</v>
      </c>
      <c r="F85" s="37" t="n">
        <f aca="false">F8*Assumptions!$D$188*(1+Assumptions!$D$162)/12</f>
        <v>0</v>
      </c>
      <c r="G85" s="37" t="n">
        <f aca="false">G8*Assumptions!$D$188*(1+Assumptions!$D$162)/12</f>
        <v>0</v>
      </c>
      <c r="H85" s="37" t="n">
        <f aca="false">H8*Assumptions!$D$188*(1+Assumptions!$D$162)/12</f>
        <v>0</v>
      </c>
      <c r="I85" s="37" t="n">
        <f aca="false">I8*Assumptions!$D$188*(1+Assumptions!$D$162)/12</f>
        <v>0</v>
      </c>
      <c r="J85" s="37" t="n">
        <f aca="false">J8*Assumptions!$D$188*(1+Assumptions!$D$162)/12</f>
        <v>0</v>
      </c>
      <c r="K85" s="37" t="n">
        <f aca="false">K8*Assumptions!$D$188*(1+Assumptions!$D$162)/12</f>
        <v>0</v>
      </c>
      <c r="L85" s="37" t="n">
        <f aca="false">L8*Assumptions!$D$188*(1+Assumptions!$D$162)/12</f>
        <v>0</v>
      </c>
      <c r="M85" s="37" t="n">
        <f aca="false">M8*Assumptions!$D$188*(1+Assumptions!$D$162)/12</f>
        <v>0</v>
      </c>
      <c r="N85" s="37" t="n">
        <f aca="false">N8*Assumptions!$D$188*(1+Assumptions!$D$162)/12</f>
        <v>0</v>
      </c>
      <c r="O85" s="37" t="n">
        <f aca="false">O8*Assumptions!$D$188*(1+Assumptions!$D$162)/12</f>
        <v>8500</v>
      </c>
      <c r="P85" s="37" t="n">
        <f aca="false">P8*Assumptions!$D$188*(1+Assumptions!$D$162)/12</f>
        <v>8500</v>
      </c>
      <c r="Q85" s="37" t="n">
        <f aca="false">Q8*Assumptions!$D$188*(1+Assumptions!$D$162)/12</f>
        <v>8500</v>
      </c>
      <c r="R85" s="37" t="n">
        <f aca="false">R8*Assumptions!$D$188*(1+Assumptions!$D$162)/12</f>
        <v>8500</v>
      </c>
      <c r="S85" s="37" t="n">
        <f aca="false">S8*Assumptions!$D$188*(1+Assumptions!$D$162)/12</f>
        <v>8500</v>
      </c>
      <c r="T85" s="37" t="n">
        <f aca="false">T8*Assumptions!$D$188*(1+Assumptions!$D$162)/12</f>
        <v>8500</v>
      </c>
      <c r="U85" s="37" t="n">
        <f aca="false">U8*Assumptions!$D$188*(1+Assumptions!$D$162)/12</f>
        <v>8500</v>
      </c>
      <c r="V85" s="37" t="n">
        <f aca="false">V8*Assumptions!$D$188*(1+Assumptions!$D$162)/12</f>
        <v>8500</v>
      </c>
      <c r="W85" s="37" t="n">
        <f aca="false">W8*Assumptions!$D$188*(1+Assumptions!$D$162)/12</f>
        <v>8500</v>
      </c>
      <c r="X85" s="37" t="n">
        <f aca="false">X8*Assumptions!$D$188*(1+Assumptions!$D$162)/12</f>
        <v>8500</v>
      </c>
      <c r="Y85" s="37" t="n">
        <f aca="false">Y8*Assumptions!$D$188*(1+Assumptions!$D$162)/12</f>
        <v>8500</v>
      </c>
      <c r="Z85" s="37" t="n">
        <f aca="false">Z8*Assumptions!$D$188*(1+Assumptions!$D$162)/12</f>
        <v>8500</v>
      </c>
      <c r="AA85" s="37" t="n">
        <f aca="false">AA8*Assumptions!$D$188*(1+Assumptions!$D$162)/12</f>
        <v>8500</v>
      </c>
      <c r="AB85" s="37" t="n">
        <f aca="false">AB8*Assumptions!$D$188*(1+Assumptions!$D$162)/12</f>
        <v>8500</v>
      </c>
      <c r="AC85" s="37" t="n">
        <f aca="false">AC8*Assumptions!$D$188*(1+Assumptions!$D$162)/12</f>
        <v>8500</v>
      </c>
      <c r="AD85" s="37" t="n">
        <f aca="false">AD8*Assumptions!$D$188*(1+Assumptions!$D$162)/12</f>
        <v>8500</v>
      </c>
      <c r="AE85" s="37" t="n">
        <f aca="false">AE8*Assumptions!$D$188*(1+Assumptions!$D$162)/12</f>
        <v>8500</v>
      </c>
      <c r="AF85" s="37" t="n">
        <f aca="false">AF8*Assumptions!$D$188*(1+Assumptions!$D$162)/12</f>
        <v>8500</v>
      </c>
      <c r="AG85" s="37" t="n">
        <f aca="false">AG8*Assumptions!$D$188*(1+Assumptions!$D$162)/12</f>
        <v>8500</v>
      </c>
      <c r="AH85" s="37" t="n">
        <f aca="false">AH8*Assumptions!$D$188*(1+Assumptions!$D$162)/12</f>
        <v>8500</v>
      </c>
      <c r="AI85" s="37" t="n">
        <f aca="false">AI8*Assumptions!$D$188*(1+Assumptions!$D$162)/12</f>
        <v>8500</v>
      </c>
      <c r="AJ85" s="37" t="n">
        <f aca="false">AJ8*Assumptions!$D$188*(1+Assumptions!$D$162)/12</f>
        <v>8500</v>
      </c>
      <c r="AK85" s="37" t="n">
        <f aca="false">AK8*Assumptions!$D$188*(1+Assumptions!$D$162)/12</f>
        <v>8500</v>
      </c>
      <c r="AL85" s="37" t="n">
        <f aca="false">AL8*Assumptions!$D$188*(1+Assumptions!$D$162)/12</f>
        <v>8500</v>
      </c>
    </row>
    <row r="86" customFormat="false" ht="15" hidden="false" customHeight="false" outlineLevel="0" collapsed="false">
      <c r="A86" s="9" t="s">
        <v>629</v>
      </c>
      <c r="B86" s="2" t="s">
        <v>105</v>
      </c>
      <c r="C86" s="37" t="n">
        <f aca="false">C9*Assumptions!$D$189*(1+Assumptions!$D$162)/12</f>
        <v>0</v>
      </c>
      <c r="D86" s="37" t="n">
        <f aca="false">D9*Assumptions!$D$189*(1+Assumptions!$D$162)/12</f>
        <v>0</v>
      </c>
      <c r="E86" s="37" t="n">
        <f aca="false">E9*Assumptions!$D$189*(1+Assumptions!$D$162)/12</f>
        <v>0</v>
      </c>
      <c r="F86" s="37" t="n">
        <f aca="false">F9*Assumptions!$D$189*(1+Assumptions!$D$162)/12</f>
        <v>0</v>
      </c>
      <c r="G86" s="37" t="n">
        <f aca="false">G9*Assumptions!$D$189*(1+Assumptions!$D$162)/12</f>
        <v>0</v>
      </c>
      <c r="H86" s="37" t="n">
        <f aca="false">H9*Assumptions!$D$189*(1+Assumptions!$D$162)/12</f>
        <v>0</v>
      </c>
      <c r="I86" s="37" t="n">
        <f aca="false">I9*Assumptions!$D$189*(1+Assumptions!$D$162)/12</f>
        <v>0</v>
      </c>
      <c r="J86" s="37" t="n">
        <f aca="false">J9*Assumptions!$D$189*(1+Assumptions!$D$162)/12</f>
        <v>0</v>
      </c>
      <c r="K86" s="37" t="n">
        <f aca="false">K9*Assumptions!$D$189*(1+Assumptions!$D$162)/12</f>
        <v>0</v>
      </c>
      <c r="L86" s="37" t="n">
        <f aca="false">L9*Assumptions!$D$189*(1+Assumptions!$D$162)/12</f>
        <v>0</v>
      </c>
      <c r="M86" s="37" t="n">
        <f aca="false">M9*Assumptions!$D$189*(1+Assumptions!$D$162)/12</f>
        <v>0</v>
      </c>
      <c r="N86" s="37" t="n">
        <f aca="false">N9*Assumptions!$D$189*(1+Assumptions!$D$162)/12</f>
        <v>0</v>
      </c>
      <c r="O86" s="37" t="n">
        <f aca="false">O9*Assumptions!$D$189*(1+Assumptions!$D$162)/12</f>
        <v>0</v>
      </c>
      <c r="P86" s="37" t="n">
        <f aca="false">P9*Assumptions!$D$189*(1+Assumptions!$D$162)/12</f>
        <v>0</v>
      </c>
      <c r="Q86" s="37" t="n">
        <f aca="false">Q9*Assumptions!$D$189*(1+Assumptions!$D$162)/12</f>
        <v>0</v>
      </c>
      <c r="R86" s="37" t="n">
        <f aca="false">R9*Assumptions!$D$189*(1+Assumptions!$D$162)/12</f>
        <v>6000</v>
      </c>
      <c r="S86" s="37" t="n">
        <f aca="false">S9*Assumptions!$D$189*(1+Assumptions!$D$162)/12</f>
        <v>6000</v>
      </c>
      <c r="T86" s="37" t="n">
        <f aca="false">T9*Assumptions!$D$189*(1+Assumptions!$D$162)/12</f>
        <v>6000</v>
      </c>
      <c r="U86" s="37" t="n">
        <f aca="false">U9*Assumptions!$D$189*(1+Assumptions!$D$162)/12</f>
        <v>6000</v>
      </c>
      <c r="V86" s="37" t="n">
        <f aca="false">V9*Assumptions!$D$189*(1+Assumptions!$D$162)/12</f>
        <v>6000</v>
      </c>
      <c r="W86" s="37" t="n">
        <f aca="false">W9*Assumptions!$D$189*(1+Assumptions!$D$162)/12</f>
        <v>6000</v>
      </c>
      <c r="X86" s="37" t="n">
        <f aca="false">X9*Assumptions!$D$189*(1+Assumptions!$D$162)/12</f>
        <v>6000</v>
      </c>
      <c r="Y86" s="37" t="n">
        <f aca="false">Y9*Assumptions!$D$189*(1+Assumptions!$D$162)/12</f>
        <v>6000</v>
      </c>
      <c r="Z86" s="37" t="n">
        <f aca="false">Z9*Assumptions!$D$189*(1+Assumptions!$D$162)/12</f>
        <v>6000</v>
      </c>
      <c r="AA86" s="37" t="n">
        <f aca="false">AA9*Assumptions!$D$189*(1+Assumptions!$D$162)/12</f>
        <v>6000</v>
      </c>
      <c r="AB86" s="37" t="n">
        <f aca="false">AB9*Assumptions!$D$189*(1+Assumptions!$D$162)/12</f>
        <v>6000</v>
      </c>
      <c r="AC86" s="37" t="n">
        <f aca="false">AC9*Assumptions!$D$189*(1+Assumptions!$D$162)/12</f>
        <v>6000</v>
      </c>
      <c r="AD86" s="37" t="n">
        <f aca="false">AD9*Assumptions!$D$189*(1+Assumptions!$D$162)/12</f>
        <v>6000</v>
      </c>
      <c r="AE86" s="37" t="n">
        <f aca="false">AE9*Assumptions!$D$189*(1+Assumptions!$D$162)/12</f>
        <v>6000</v>
      </c>
      <c r="AF86" s="37" t="n">
        <f aca="false">AF9*Assumptions!$D$189*(1+Assumptions!$D$162)/12</f>
        <v>6000</v>
      </c>
      <c r="AG86" s="37" t="n">
        <f aca="false">AG9*Assumptions!$D$189*(1+Assumptions!$D$162)/12</f>
        <v>6000</v>
      </c>
      <c r="AH86" s="37" t="n">
        <f aca="false">AH9*Assumptions!$D$189*(1+Assumptions!$D$162)/12</f>
        <v>6000</v>
      </c>
      <c r="AI86" s="37" t="n">
        <f aca="false">AI9*Assumptions!$D$189*(1+Assumptions!$D$162)/12</f>
        <v>6000</v>
      </c>
      <c r="AJ86" s="37" t="n">
        <f aca="false">AJ9*Assumptions!$D$189*(1+Assumptions!$D$162)/12</f>
        <v>6000</v>
      </c>
      <c r="AK86" s="37" t="n">
        <f aca="false">AK9*Assumptions!$D$189*(1+Assumptions!$D$162)/12</f>
        <v>6000</v>
      </c>
      <c r="AL86" s="37" t="n">
        <f aca="false">AL9*Assumptions!$D$189*(1+Assumptions!$D$162)/12</f>
        <v>6000</v>
      </c>
    </row>
    <row r="87" customFormat="false" ht="15" hidden="false" customHeight="false" outlineLevel="0" collapsed="false">
      <c r="A87" s="9" t="s">
        <v>630</v>
      </c>
      <c r="B87" s="2" t="s">
        <v>105</v>
      </c>
      <c r="C87" s="37" t="n">
        <f aca="false">C10*Assumptions!$D$190*(1+Assumptions!$D$162)/12</f>
        <v>0</v>
      </c>
      <c r="D87" s="37" t="n">
        <f aca="false">D10*Assumptions!$D$190*(1+Assumptions!$D$162)/12</f>
        <v>0</v>
      </c>
      <c r="E87" s="37" t="n">
        <f aca="false">E10*Assumptions!$D$190*(1+Assumptions!$D$162)/12</f>
        <v>0</v>
      </c>
      <c r="F87" s="37" t="n">
        <f aca="false">F10*Assumptions!$D$190*(1+Assumptions!$D$162)/12</f>
        <v>0</v>
      </c>
      <c r="G87" s="37" t="n">
        <f aca="false">G10*Assumptions!$D$190*(1+Assumptions!$D$162)/12</f>
        <v>0</v>
      </c>
      <c r="H87" s="37" t="n">
        <f aca="false">H10*Assumptions!$D$190*(1+Assumptions!$D$162)/12</f>
        <v>0</v>
      </c>
      <c r="I87" s="37" t="n">
        <f aca="false">I10*Assumptions!$D$190*(1+Assumptions!$D$162)/12</f>
        <v>0</v>
      </c>
      <c r="J87" s="37" t="n">
        <f aca="false">J10*Assumptions!$D$190*(1+Assumptions!$D$162)/12</f>
        <v>0</v>
      </c>
      <c r="K87" s="37" t="n">
        <f aca="false">K10*Assumptions!$D$190*(1+Assumptions!$D$162)/12</f>
        <v>0</v>
      </c>
      <c r="L87" s="37" t="n">
        <f aca="false">L10*Assumptions!$D$190*(1+Assumptions!$D$162)/12</f>
        <v>0</v>
      </c>
      <c r="M87" s="37" t="n">
        <f aca="false">M10*Assumptions!$D$190*(1+Assumptions!$D$162)/12</f>
        <v>0</v>
      </c>
      <c r="N87" s="37" t="n">
        <f aca="false">N10*Assumptions!$D$190*(1+Assumptions!$D$162)/12</f>
        <v>0</v>
      </c>
      <c r="O87" s="37" t="n">
        <f aca="false">O10*Assumptions!$D$190*(1+Assumptions!$D$162)/12</f>
        <v>0</v>
      </c>
      <c r="P87" s="37" t="n">
        <f aca="false">P10*Assumptions!$D$190*(1+Assumptions!$D$162)/12</f>
        <v>0</v>
      </c>
      <c r="Q87" s="37" t="n">
        <f aca="false">Q10*Assumptions!$D$190*(1+Assumptions!$D$162)/12</f>
        <v>0</v>
      </c>
      <c r="R87" s="37" t="n">
        <f aca="false">R10*Assumptions!$D$190*(1+Assumptions!$D$162)/12</f>
        <v>0</v>
      </c>
      <c r="S87" s="37" t="n">
        <f aca="false">S10*Assumptions!$D$190*(1+Assumptions!$D$162)/12</f>
        <v>0</v>
      </c>
      <c r="T87" s="37" t="n">
        <f aca="false">T10*Assumptions!$D$190*(1+Assumptions!$D$162)/12</f>
        <v>0</v>
      </c>
      <c r="U87" s="37" t="n">
        <f aca="false">U10*Assumptions!$D$190*(1+Assumptions!$D$162)/12</f>
        <v>0</v>
      </c>
      <c r="V87" s="37" t="n">
        <f aca="false">V10*Assumptions!$D$190*(1+Assumptions!$D$162)/12</f>
        <v>0</v>
      </c>
      <c r="W87" s="37" t="n">
        <f aca="false">W10*Assumptions!$D$190*(1+Assumptions!$D$162)/12</f>
        <v>3000</v>
      </c>
      <c r="X87" s="37" t="n">
        <f aca="false">X10*Assumptions!$D$190*(1+Assumptions!$D$162)/12</f>
        <v>3000</v>
      </c>
      <c r="Y87" s="37" t="n">
        <f aca="false">Y10*Assumptions!$D$190*(1+Assumptions!$D$162)/12</f>
        <v>3000</v>
      </c>
      <c r="Z87" s="37" t="n">
        <f aca="false">Z10*Assumptions!$D$190*(1+Assumptions!$D$162)/12</f>
        <v>3000</v>
      </c>
      <c r="AA87" s="37" t="n">
        <f aca="false">AA10*Assumptions!$D$190*(1+Assumptions!$D$162)/12</f>
        <v>3000</v>
      </c>
      <c r="AB87" s="37" t="n">
        <f aca="false">AB10*Assumptions!$D$190*(1+Assumptions!$D$162)/12</f>
        <v>3000</v>
      </c>
      <c r="AC87" s="37" t="n">
        <f aca="false">AC10*Assumptions!$D$190*(1+Assumptions!$D$162)/12</f>
        <v>3000</v>
      </c>
      <c r="AD87" s="37" t="n">
        <f aca="false">AD10*Assumptions!$D$190*(1+Assumptions!$D$162)/12</f>
        <v>3000</v>
      </c>
      <c r="AE87" s="37" t="n">
        <f aca="false">AE10*Assumptions!$D$190*(1+Assumptions!$D$162)/12</f>
        <v>3000</v>
      </c>
      <c r="AF87" s="37" t="n">
        <f aca="false">AF10*Assumptions!$D$190*(1+Assumptions!$D$162)/12</f>
        <v>3000</v>
      </c>
      <c r="AG87" s="37" t="n">
        <f aca="false">AG10*Assumptions!$D$190*(1+Assumptions!$D$162)/12</f>
        <v>3000</v>
      </c>
      <c r="AH87" s="37" t="n">
        <f aca="false">AH10*Assumptions!$D$190*(1+Assumptions!$D$162)/12</f>
        <v>3000</v>
      </c>
      <c r="AI87" s="37" t="n">
        <f aca="false">AI10*Assumptions!$D$190*(1+Assumptions!$D$162)/12</f>
        <v>3000</v>
      </c>
      <c r="AJ87" s="37" t="n">
        <f aca="false">AJ10*Assumptions!$D$190*(1+Assumptions!$D$162)/12</f>
        <v>3000</v>
      </c>
      <c r="AK87" s="37" t="n">
        <f aca="false">AK10*Assumptions!$D$190*(1+Assumptions!$D$162)/12</f>
        <v>3000</v>
      </c>
      <c r="AL87" s="37" t="n">
        <f aca="false">AL10*Assumptions!$D$190*(1+Assumptions!$D$162)/12</f>
        <v>3000</v>
      </c>
    </row>
    <row r="88" customFormat="false" ht="15" hidden="false" customHeight="false" outlineLevel="0" collapsed="false">
      <c r="A88" s="9" t="s">
        <v>631</v>
      </c>
      <c r="B88" s="2" t="s">
        <v>105</v>
      </c>
      <c r="C88" s="37" t="n">
        <f aca="false">C11*Assumptions!$D$191*(1+Assumptions!$D$162)/12</f>
        <v>0</v>
      </c>
      <c r="D88" s="37" t="n">
        <f aca="false">D11*Assumptions!$D$191*(1+Assumptions!$D$162)/12</f>
        <v>0</v>
      </c>
      <c r="E88" s="37" t="n">
        <f aca="false">E11*Assumptions!$D$191*(1+Assumptions!$D$162)/12</f>
        <v>0</v>
      </c>
      <c r="F88" s="37" t="n">
        <f aca="false">F11*Assumptions!$D$191*(1+Assumptions!$D$162)/12</f>
        <v>0</v>
      </c>
      <c r="G88" s="37" t="n">
        <f aca="false">G11*Assumptions!$D$191*(1+Assumptions!$D$162)/12</f>
        <v>0</v>
      </c>
      <c r="H88" s="37" t="n">
        <f aca="false">H11*Assumptions!$D$191*(1+Assumptions!$D$162)/12</f>
        <v>0</v>
      </c>
      <c r="I88" s="37" t="n">
        <f aca="false">I11*Assumptions!$D$191*(1+Assumptions!$D$162)/12</f>
        <v>0</v>
      </c>
      <c r="J88" s="37" t="n">
        <f aca="false">J11*Assumptions!$D$191*(1+Assumptions!$D$162)/12</f>
        <v>0</v>
      </c>
      <c r="K88" s="37" t="n">
        <f aca="false">K11*Assumptions!$D$191*(1+Assumptions!$D$162)/12</f>
        <v>0</v>
      </c>
      <c r="L88" s="37" t="n">
        <f aca="false">L11*Assumptions!$D$191*(1+Assumptions!$D$162)/12</f>
        <v>0</v>
      </c>
      <c r="M88" s="37" t="n">
        <f aca="false">M11*Assumptions!$D$191*(1+Assumptions!$D$162)/12</f>
        <v>0</v>
      </c>
      <c r="N88" s="37" t="n">
        <f aca="false">N11*Assumptions!$D$191*(1+Assumptions!$D$162)/12</f>
        <v>0</v>
      </c>
      <c r="O88" s="37" t="n">
        <f aca="false">O11*Assumptions!$D$191*(1+Assumptions!$D$162)/12</f>
        <v>0</v>
      </c>
      <c r="P88" s="37" t="n">
        <f aca="false">P11*Assumptions!$D$191*(1+Assumptions!$D$162)/12</f>
        <v>0</v>
      </c>
      <c r="Q88" s="37" t="n">
        <f aca="false">Q11*Assumptions!$D$191*(1+Assumptions!$D$162)/12</f>
        <v>0</v>
      </c>
      <c r="R88" s="37" t="n">
        <f aca="false">R11*Assumptions!$D$191*(1+Assumptions!$D$162)/12</f>
        <v>0</v>
      </c>
      <c r="S88" s="37" t="n">
        <f aca="false">S11*Assumptions!$D$191*(1+Assumptions!$D$162)/12</f>
        <v>0</v>
      </c>
      <c r="T88" s="37" t="n">
        <f aca="false">T11*Assumptions!$D$191*(1+Assumptions!$D$162)/12</f>
        <v>0</v>
      </c>
      <c r="U88" s="37" t="n">
        <f aca="false">U11*Assumptions!$D$191*(1+Assumptions!$D$162)/12</f>
        <v>0</v>
      </c>
      <c r="V88" s="37" t="n">
        <f aca="false">V11*Assumptions!$D$191*(1+Assumptions!$D$162)/12</f>
        <v>0</v>
      </c>
      <c r="W88" s="37" t="n">
        <f aca="false">W11*Assumptions!$D$191*(1+Assumptions!$D$162)/12</f>
        <v>8500</v>
      </c>
      <c r="X88" s="37" t="n">
        <f aca="false">X11*Assumptions!$D$191*(1+Assumptions!$D$162)/12</f>
        <v>8500</v>
      </c>
      <c r="Y88" s="37" t="n">
        <f aca="false">Y11*Assumptions!$D$191*(1+Assumptions!$D$162)/12</f>
        <v>8500</v>
      </c>
      <c r="Z88" s="37" t="n">
        <f aca="false">Z11*Assumptions!$D$191*(1+Assumptions!$D$162)/12</f>
        <v>8500</v>
      </c>
      <c r="AA88" s="37" t="n">
        <f aca="false">AA11*Assumptions!$D$191*(1+Assumptions!$D$162)/12</f>
        <v>8500</v>
      </c>
      <c r="AB88" s="37" t="n">
        <f aca="false">AB11*Assumptions!$D$191*(1+Assumptions!$D$162)/12</f>
        <v>8500</v>
      </c>
      <c r="AC88" s="37" t="n">
        <f aca="false">AC11*Assumptions!$D$191*(1+Assumptions!$D$162)/12</f>
        <v>8500</v>
      </c>
      <c r="AD88" s="37" t="n">
        <f aca="false">AD11*Assumptions!$D$191*(1+Assumptions!$D$162)/12</f>
        <v>8500</v>
      </c>
      <c r="AE88" s="37" t="n">
        <f aca="false">AE11*Assumptions!$D$191*(1+Assumptions!$D$162)/12</f>
        <v>8500</v>
      </c>
      <c r="AF88" s="37" t="n">
        <f aca="false">AF11*Assumptions!$D$191*(1+Assumptions!$D$162)/12</f>
        <v>8500</v>
      </c>
      <c r="AG88" s="37" t="n">
        <f aca="false">AG11*Assumptions!$D$191*(1+Assumptions!$D$162)/12</f>
        <v>8500</v>
      </c>
      <c r="AH88" s="37" t="n">
        <f aca="false">AH11*Assumptions!$D$191*(1+Assumptions!$D$162)/12</f>
        <v>8500</v>
      </c>
      <c r="AI88" s="37" t="n">
        <f aca="false">AI11*Assumptions!$D$191*(1+Assumptions!$D$162)/12</f>
        <v>8500</v>
      </c>
      <c r="AJ88" s="37" t="n">
        <f aca="false">AJ11*Assumptions!$D$191*(1+Assumptions!$D$162)/12</f>
        <v>8500</v>
      </c>
      <c r="AK88" s="37" t="n">
        <f aca="false">AK11*Assumptions!$D$191*(1+Assumptions!$D$162)/12</f>
        <v>8500</v>
      </c>
      <c r="AL88" s="37" t="n">
        <f aca="false">AL11*Assumptions!$D$191*(1+Assumptions!$D$162)/12</f>
        <v>8500</v>
      </c>
    </row>
    <row r="89" customFormat="false" ht="15" hidden="false" customHeight="false" outlineLevel="0" collapsed="false">
      <c r="A89" s="9" t="s">
        <v>632</v>
      </c>
      <c r="B89" s="2" t="s">
        <v>105</v>
      </c>
      <c r="C89" s="37" t="n">
        <f aca="false">C12*Assumptions!$D$192*(1+Assumptions!$D$162)/12</f>
        <v>0</v>
      </c>
      <c r="D89" s="37" t="n">
        <f aca="false">D12*Assumptions!$D$192*(1+Assumptions!$D$162)/12</f>
        <v>0</v>
      </c>
      <c r="E89" s="37" t="n">
        <f aca="false">E12*Assumptions!$D$192*(1+Assumptions!$D$162)/12</f>
        <v>0</v>
      </c>
      <c r="F89" s="37" t="n">
        <f aca="false">F12*Assumptions!$D$192*(1+Assumptions!$D$162)/12</f>
        <v>0</v>
      </c>
      <c r="G89" s="37" t="n">
        <f aca="false">G12*Assumptions!$D$192*(1+Assumptions!$D$162)/12</f>
        <v>0</v>
      </c>
      <c r="H89" s="37" t="n">
        <f aca="false">H12*Assumptions!$D$192*(1+Assumptions!$D$162)/12</f>
        <v>0</v>
      </c>
      <c r="I89" s="37" t="n">
        <f aca="false">I12*Assumptions!$D$192*(1+Assumptions!$D$162)/12</f>
        <v>0</v>
      </c>
      <c r="J89" s="37" t="n">
        <f aca="false">J12*Assumptions!$D$192*(1+Assumptions!$D$162)/12</f>
        <v>0</v>
      </c>
      <c r="K89" s="37" t="n">
        <f aca="false">K12*Assumptions!$D$192*(1+Assumptions!$D$162)/12</f>
        <v>0</v>
      </c>
      <c r="L89" s="37" t="n">
        <f aca="false">L12*Assumptions!$D$192*(1+Assumptions!$D$162)/12</f>
        <v>0</v>
      </c>
      <c r="M89" s="37" t="n">
        <f aca="false">M12*Assumptions!$D$192*(1+Assumptions!$D$162)/12</f>
        <v>0</v>
      </c>
      <c r="N89" s="37" t="n">
        <f aca="false">N12*Assumptions!$D$192*(1+Assumptions!$D$162)/12</f>
        <v>0</v>
      </c>
      <c r="O89" s="37" t="n">
        <f aca="false">O12*Assumptions!$D$192*(1+Assumptions!$D$162)/12</f>
        <v>0</v>
      </c>
      <c r="P89" s="37" t="n">
        <f aca="false">P12*Assumptions!$D$192*(1+Assumptions!$D$162)/12</f>
        <v>0</v>
      </c>
      <c r="Q89" s="37" t="n">
        <f aca="false">Q12*Assumptions!$D$192*(1+Assumptions!$D$162)/12</f>
        <v>0</v>
      </c>
      <c r="R89" s="37" t="n">
        <f aca="false">R12*Assumptions!$D$192*(1+Assumptions!$D$162)/12</f>
        <v>0</v>
      </c>
      <c r="S89" s="37" t="n">
        <f aca="false">S12*Assumptions!$D$192*(1+Assumptions!$D$162)/12</f>
        <v>0</v>
      </c>
      <c r="T89" s="37" t="n">
        <f aca="false">T12*Assumptions!$D$192*(1+Assumptions!$D$162)/12</f>
        <v>0</v>
      </c>
      <c r="U89" s="37" t="n">
        <f aca="false">U12*Assumptions!$D$192*(1+Assumptions!$D$162)/12</f>
        <v>0</v>
      </c>
      <c r="V89" s="37" t="n">
        <f aca="false">V12*Assumptions!$D$192*(1+Assumptions!$D$162)/12</f>
        <v>0</v>
      </c>
      <c r="W89" s="37" t="n">
        <f aca="false">W12*Assumptions!$D$192*(1+Assumptions!$D$162)/12</f>
        <v>0</v>
      </c>
      <c r="X89" s="37" t="n">
        <f aca="false">X12*Assumptions!$D$192*(1+Assumptions!$D$162)/12</f>
        <v>0</v>
      </c>
      <c r="Y89" s="37" t="n">
        <f aca="false">Y12*Assumptions!$D$192*(1+Assumptions!$D$162)/12</f>
        <v>0</v>
      </c>
      <c r="Z89" s="37" t="n">
        <f aca="false">Z12*Assumptions!$D$192*(1+Assumptions!$D$162)/12</f>
        <v>3500</v>
      </c>
      <c r="AA89" s="37" t="n">
        <f aca="false">AA12*Assumptions!$D$192*(1+Assumptions!$D$162)/12</f>
        <v>3500</v>
      </c>
      <c r="AB89" s="37" t="n">
        <f aca="false">AB12*Assumptions!$D$192*(1+Assumptions!$D$162)/12</f>
        <v>3500</v>
      </c>
      <c r="AC89" s="37" t="n">
        <f aca="false">AC12*Assumptions!$D$192*(1+Assumptions!$D$162)/12</f>
        <v>3500</v>
      </c>
      <c r="AD89" s="37" t="n">
        <f aca="false">AD12*Assumptions!$D$192*(1+Assumptions!$D$162)/12</f>
        <v>3500</v>
      </c>
      <c r="AE89" s="37" t="n">
        <f aca="false">AE12*Assumptions!$D$192*(1+Assumptions!$D$162)/12</f>
        <v>3500</v>
      </c>
      <c r="AF89" s="37" t="n">
        <f aca="false">AF12*Assumptions!$D$192*(1+Assumptions!$D$162)/12</f>
        <v>3500</v>
      </c>
      <c r="AG89" s="37" t="n">
        <f aca="false">AG12*Assumptions!$D$192*(1+Assumptions!$D$162)/12</f>
        <v>3500</v>
      </c>
      <c r="AH89" s="37" t="n">
        <f aca="false">AH12*Assumptions!$D$192*(1+Assumptions!$D$162)/12</f>
        <v>3500</v>
      </c>
      <c r="AI89" s="37" t="n">
        <f aca="false">AI12*Assumptions!$D$192*(1+Assumptions!$D$162)/12</f>
        <v>3500</v>
      </c>
      <c r="AJ89" s="37" t="n">
        <f aca="false">AJ12*Assumptions!$D$192*(1+Assumptions!$D$162)/12</f>
        <v>3500</v>
      </c>
      <c r="AK89" s="37" t="n">
        <f aca="false">AK12*Assumptions!$D$192*(1+Assumptions!$D$162)/12</f>
        <v>3500</v>
      </c>
      <c r="AL89" s="37" t="n">
        <f aca="false">AL12*Assumptions!$D$192*(1+Assumptions!$D$162)/12</f>
        <v>3500</v>
      </c>
    </row>
    <row r="90" customFormat="false" ht="15" hidden="false" customHeight="false" outlineLevel="0" collapsed="false">
      <c r="A90" s="9" t="s">
        <v>633</v>
      </c>
      <c r="B90" s="2" t="s">
        <v>105</v>
      </c>
      <c r="C90" s="37" t="n">
        <f aca="false">C13*Assumptions!$D$193*(1+Assumptions!$D$162)/12</f>
        <v>0</v>
      </c>
      <c r="D90" s="37" t="n">
        <f aca="false">D13*Assumptions!$D$193*(1+Assumptions!$D$162)/12</f>
        <v>0</v>
      </c>
      <c r="E90" s="37" t="n">
        <f aca="false">E13*Assumptions!$D$193*(1+Assumptions!$D$162)/12</f>
        <v>0</v>
      </c>
      <c r="F90" s="37" t="n">
        <f aca="false">F13*Assumptions!$D$193*(1+Assumptions!$D$162)/12</f>
        <v>0</v>
      </c>
      <c r="G90" s="37" t="n">
        <f aca="false">G13*Assumptions!$D$193*(1+Assumptions!$D$162)/12</f>
        <v>0</v>
      </c>
      <c r="H90" s="37" t="n">
        <f aca="false">H13*Assumptions!$D$193*(1+Assumptions!$D$162)/12</f>
        <v>0</v>
      </c>
      <c r="I90" s="37" t="n">
        <f aca="false">I13*Assumptions!$D$193*(1+Assumptions!$D$162)/12</f>
        <v>0</v>
      </c>
      <c r="J90" s="37" t="n">
        <f aca="false">J13*Assumptions!$D$193*(1+Assumptions!$D$162)/12</f>
        <v>0</v>
      </c>
      <c r="K90" s="37" t="n">
        <f aca="false">K13*Assumptions!$D$193*(1+Assumptions!$D$162)/12</f>
        <v>0</v>
      </c>
      <c r="L90" s="37" t="n">
        <f aca="false">L13*Assumptions!$D$193*(1+Assumptions!$D$162)/12</f>
        <v>0</v>
      </c>
      <c r="M90" s="37" t="n">
        <f aca="false">M13*Assumptions!$D$193*(1+Assumptions!$D$162)/12</f>
        <v>0</v>
      </c>
      <c r="N90" s="37" t="n">
        <f aca="false">N13*Assumptions!$D$193*(1+Assumptions!$D$162)/12</f>
        <v>0</v>
      </c>
      <c r="O90" s="37" t="n">
        <f aca="false">O13*Assumptions!$D$193*(1+Assumptions!$D$162)/12</f>
        <v>0</v>
      </c>
      <c r="P90" s="37" t="n">
        <f aca="false">P13*Assumptions!$D$193*(1+Assumptions!$D$162)/12</f>
        <v>0</v>
      </c>
      <c r="Q90" s="37" t="n">
        <f aca="false">Q13*Assumptions!$D$193*(1+Assumptions!$D$162)/12</f>
        <v>0</v>
      </c>
      <c r="R90" s="37" t="n">
        <f aca="false">R13*Assumptions!$D$193*(1+Assumptions!$D$162)/12</f>
        <v>0</v>
      </c>
      <c r="S90" s="37" t="n">
        <f aca="false">S13*Assumptions!$D$193*(1+Assumptions!$D$162)/12</f>
        <v>0</v>
      </c>
      <c r="T90" s="37" t="n">
        <f aca="false">T13*Assumptions!$D$193*(1+Assumptions!$D$162)/12</f>
        <v>0</v>
      </c>
      <c r="U90" s="37" t="n">
        <f aca="false">U13*Assumptions!$D$193*(1+Assumptions!$D$162)/12</f>
        <v>0</v>
      </c>
      <c r="V90" s="37" t="n">
        <f aca="false">V13*Assumptions!$D$193*(1+Assumptions!$D$162)/12</f>
        <v>0</v>
      </c>
      <c r="W90" s="37" t="n">
        <f aca="false">W13*Assumptions!$D$193*(1+Assumptions!$D$162)/12</f>
        <v>0</v>
      </c>
      <c r="X90" s="37" t="n">
        <f aca="false">X13*Assumptions!$D$193*(1+Assumptions!$D$162)/12</f>
        <v>0</v>
      </c>
      <c r="Y90" s="37" t="n">
        <f aca="false">Y13*Assumptions!$D$193*(1+Assumptions!$D$162)/12</f>
        <v>5000</v>
      </c>
      <c r="Z90" s="37" t="n">
        <f aca="false">Z13*Assumptions!$D$193*(1+Assumptions!$D$162)/12</f>
        <v>5000</v>
      </c>
      <c r="AA90" s="37" t="n">
        <f aca="false">AA13*Assumptions!$D$193*(1+Assumptions!$D$162)/12</f>
        <v>5000</v>
      </c>
      <c r="AB90" s="37" t="n">
        <f aca="false">AB13*Assumptions!$D$193*(1+Assumptions!$D$162)/12</f>
        <v>5000</v>
      </c>
      <c r="AC90" s="37" t="n">
        <f aca="false">AC13*Assumptions!$D$193*(1+Assumptions!$D$162)/12</f>
        <v>5000</v>
      </c>
      <c r="AD90" s="37" t="n">
        <f aca="false">AD13*Assumptions!$D$193*(1+Assumptions!$D$162)/12</f>
        <v>5000</v>
      </c>
      <c r="AE90" s="37" t="n">
        <f aca="false">AE13*Assumptions!$D$193*(1+Assumptions!$D$162)/12</f>
        <v>5000</v>
      </c>
      <c r="AF90" s="37" t="n">
        <f aca="false">AF13*Assumptions!$D$193*(1+Assumptions!$D$162)/12</f>
        <v>5000</v>
      </c>
      <c r="AG90" s="37" t="n">
        <f aca="false">AG13*Assumptions!$D$193*(1+Assumptions!$D$162)/12</f>
        <v>5000</v>
      </c>
      <c r="AH90" s="37" t="n">
        <f aca="false">AH13*Assumptions!$D$193*(1+Assumptions!$D$162)/12</f>
        <v>5000</v>
      </c>
      <c r="AI90" s="37" t="n">
        <f aca="false">AI13*Assumptions!$D$193*(1+Assumptions!$D$162)/12</f>
        <v>5000</v>
      </c>
      <c r="AJ90" s="37" t="n">
        <f aca="false">AJ13*Assumptions!$D$193*(1+Assumptions!$D$162)/12</f>
        <v>5000</v>
      </c>
      <c r="AK90" s="37" t="n">
        <f aca="false">AK13*Assumptions!$D$193*(1+Assumptions!$D$162)/12</f>
        <v>5000</v>
      </c>
      <c r="AL90" s="37" t="n">
        <f aca="false">AL13*Assumptions!$D$193*(1+Assumptions!$D$162)/12</f>
        <v>5000</v>
      </c>
    </row>
    <row r="91" customFormat="false" ht="15" hidden="false" customHeight="false" outlineLevel="0" collapsed="false">
      <c r="A91" s="9" t="s">
        <v>634</v>
      </c>
      <c r="B91" s="2" t="s">
        <v>105</v>
      </c>
      <c r="C91" s="37" t="n">
        <f aca="false">C14*Assumptions!$D$194*(1+Assumptions!$D$162)/12</f>
        <v>0</v>
      </c>
      <c r="D91" s="37" t="n">
        <f aca="false">D14*Assumptions!$D$194*(1+Assumptions!$D$162)/12</f>
        <v>0</v>
      </c>
      <c r="E91" s="37" t="n">
        <f aca="false">E14*Assumptions!$D$194*(1+Assumptions!$D$162)/12</f>
        <v>0</v>
      </c>
      <c r="F91" s="37" t="n">
        <f aca="false">F14*Assumptions!$D$194*(1+Assumptions!$D$162)/12</f>
        <v>0</v>
      </c>
      <c r="G91" s="37" t="n">
        <f aca="false">G14*Assumptions!$D$194*(1+Assumptions!$D$162)/12</f>
        <v>0</v>
      </c>
      <c r="H91" s="37" t="n">
        <f aca="false">H14*Assumptions!$D$194*(1+Assumptions!$D$162)/12</f>
        <v>0</v>
      </c>
      <c r="I91" s="37" t="n">
        <f aca="false">I14*Assumptions!$D$194*(1+Assumptions!$D$162)/12</f>
        <v>0</v>
      </c>
      <c r="J91" s="37" t="n">
        <f aca="false">J14*Assumptions!$D$194*(1+Assumptions!$D$162)/12</f>
        <v>0</v>
      </c>
      <c r="K91" s="37" t="n">
        <f aca="false">K14*Assumptions!$D$194*(1+Assumptions!$D$162)/12</f>
        <v>0</v>
      </c>
      <c r="L91" s="37" t="n">
        <f aca="false">L14*Assumptions!$D$194*(1+Assumptions!$D$162)/12</f>
        <v>0</v>
      </c>
      <c r="M91" s="37" t="n">
        <f aca="false">M14*Assumptions!$D$194*(1+Assumptions!$D$162)/12</f>
        <v>0</v>
      </c>
      <c r="N91" s="37" t="n">
        <f aca="false">N14*Assumptions!$D$194*(1+Assumptions!$D$162)/12</f>
        <v>0</v>
      </c>
      <c r="O91" s="37" t="n">
        <f aca="false">O14*Assumptions!$D$194*(1+Assumptions!$D$162)/12</f>
        <v>0</v>
      </c>
      <c r="P91" s="37" t="n">
        <f aca="false">P14*Assumptions!$D$194*(1+Assumptions!$D$162)/12</f>
        <v>0</v>
      </c>
      <c r="Q91" s="37" t="n">
        <f aca="false">Q14*Assumptions!$D$194*(1+Assumptions!$D$162)/12</f>
        <v>0</v>
      </c>
      <c r="R91" s="37" t="n">
        <f aca="false">R14*Assumptions!$D$194*(1+Assumptions!$D$162)/12</f>
        <v>0</v>
      </c>
      <c r="S91" s="37" t="n">
        <f aca="false">S14*Assumptions!$D$194*(1+Assumptions!$D$162)/12</f>
        <v>0</v>
      </c>
      <c r="T91" s="37" t="n">
        <f aca="false">T14*Assumptions!$D$194*(1+Assumptions!$D$162)/12</f>
        <v>0</v>
      </c>
      <c r="U91" s="37" t="n">
        <f aca="false">U14*Assumptions!$D$194*(1+Assumptions!$D$162)/12</f>
        <v>0</v>
      </c>
      <c r="V91" s="37" t="n">
        <f aca="false">V14*Assumptions!$D$194*(1+Assumptions!$D$162)/12</f>
        <v>0</v>
      </c>
      <c r="W91" s="37" t="n">
        <f aca="false">W14*Assumptions!$D$194*(1+Assumptions!$D$162)/12</f>
        <v>0</v>
      </c>
      <c r="X91" s="37" t="n">
        <f aca="false">X14*Assumptions!$D$194*(1+Assumptions!$D$162)/12</f>
        <v>0</v>
      </c>
      <c r="Y91" s="37" t="n">
        <f aca="false">Y14*Assumptions!$D$194*(1+Assumptions!$D$162)/12</f>
        <v>0</v>
      </c>
      <c r="Z91" s="37" t="n">
        <f aca="false">Z14*Assumptions!$D$194*(1+Assumptions!$D$162)/12</f>
        <v>0</v>
      </c>
      <c r="AA91" s="37" t="n">
        <f aca="false">AA14*Assumptions!$D$194*(1+Assumptions!$D$162)/12</f>
        <v>0</v>
      </c>
      <c r="AB91" s="37" t="n">
        <f aca="false">AB14*Assumptions!$D$194*(1+Assumptions!$D$162)/12</f>
        <v>6000</v>
      </c>
      <c r="AC91" s="37" t="n">
        <f aca="false">AC14*Assumptions!$D$194*(1+Assumptions!$D$162)/12</f>
        <v>6000</v>
      </c>
      <c r="AD91" s="37" t="n">
        <f aca="false">AD14*Assumptions!$D$194*(1+Assumptions!$D$162)/12</f>
        <v>6000</v>
      </c>
      <c r="AE91" s="37" t="n">
        <f aca="false">AE14*Assumptions!$D$194*(1+Assumptions!$D$162)/12</f>
        <v>6000</v>
      </c>
      <c r="AF91" s="37" t="n">
        <f aca="false">AF14*Assumptions!$D$194*(1+Assumptions!$D$162)/12</f>
        <v>6000</v>
      </c>
      <c r="AG91" s="37" t="n">
        <f aca="false">AG14*Assumptions!$D$194*(1+Assumptions!$D$162)/12</f>
        <v>6000</v>
      </c>
      <c r="AH91" s="37" t="n">
        <f aca="false">AH14*Assumptions!$D$194*(1+Assumptions!$D$162)/12</f>
        <v>6000</v>
      </c>
      <c r="AI91" s="37" t="n">
        <f aca="false">AI14*Assumptions!$D$194*(1+Assumptions!$D$162)/12</f>
        <v>6000</v>
      </c>
      <c r="AJ91" s="37" t="n">
        <f aca="false">AJ14*Assumptions!$D$194*(1+Assumptions!$D$162)/12</f>
        <v>6000</v>
      </c>
      <c r="AK91" s="37" t="n">
        <f aca="false">AK14*Assumptions!$D$194*(1+Assumptions!$D$162)/12</f>
        <v>6000</v>
      </c>
      <c r="AL91" s="37" t="n">
        <f aca="false">AL14*Assumptions!$D$194*(1+Assumptions!$D$162)/12</f>
        <v>6000</v>
      </c>
    </row>
    <row r="92" customFormat="false" ht="15" hidden="false" customHeight="false" outlineLevel="0" collapsed="false">
      <c r="A92" s="9" t="s">
        <v>635</v>
      </c>
      <c r="B92" s="2" t="s">
        <v>105</v>
      </c>
      <c r="C92" s="37" t="n">
        <f aca="false">C15*Assumptions!$D$195*(1+Assumptions!$D$162)/12</f>
        <v>0</v>
      </c>
      <c r="D92" s="37" t="n">
        <f aca="false">D15*Assumptions!$D$195*(1+Assumptions!$D$162)/12</f>
        <v>0</v>
      </c>
      <c r="E92" s="37" t="n">
        <f aca="false">E15*Assumptions!$D$195*(1+Assumptions!$D$162)/12</f>
        <v>0</v>
      </c>
      <c r="F92" s="37" t="n">
        <f aca="false">F15*Assumptions!$D$195*(1+Assumptions!$D$162)/12</f>
        <v>0</v>
      </c>
      <c r="G92" s="37" t="n">
        <f aca="false">G15*Assumptions!$D$195*(1+Assumptions!$D$162)/12</f>
        <v>0</v>
      </c>
      <c r="H92" s="37" t="n">
        <f aca="false">H15*Assumptions!$D$195*(1+Assumptions!$D$162)/12</f>
        <v>0</v>
      </c>
      <c r="I92" s="37" t="n">
        <f aca="false">I15*Assumptions!$D$195*(1+Assumptions!$D$162)/12</f>
        <v>0</v>
      </c>
      <c r="J92" s="37" t="n">
        <f aca="false">J15*Assumptions!$D$195*(1+Assumptions!$D$162)/12</f>
        <v>0</v>
      </c>
      <c r="K92" s="37" t="n">
        <f aca="false">K15*Assumptions!$D$195*(1+Assumptions!$D$162)/12</f>
        <v>0</v>
      </c>
      <c r="L92" s="37" t="n">
        <f aca="false">L15*Assumptions!$D$195*(1+Assumptions!$D$162)/12</f>
        <v>0</v>
      </c>
      <c r="M92" s="37" t="n">
        <f aca="false">M15*Assumptions!$D$195*(1+Assumptions!$D$162)/12</f>
        <v>0</v>
      </c>
      <c r="N92" s="37" t="n">
        <f aca="false">N15*Assumptions!$D$195*(1+Assumptions!$D$162)/12</f>
        <v>0</v>
      </c>
      <c r="O92" s="37" t="n">
        <f aca="false">O15*Assumptions!$D$195*(1+Assumptions!$D$162)/12</f>
        <v>0</v>
      </c>
      <c r="P92" s="37" t="n">
        <f aca="false">P15*Assumptions!$D$195*(1+Assumptions!$D$162)/12</f>
        <v>0</v>
      </c>
      <c r="Q92" s="37" t="n">
        <f aca="false">Q15*Assumptions!$D$195*(1+Assumptions!$D$162)/12</f>
        <v>0</v>
      </c>
      <c r="R92" s="37" t="n">
        <f aca="false">R15*Assumptions!$D$195*(1+Assumptions!$D$162)/12</f>
        <v>0</v>
      </c>
      <c r="S92" s="37" t="n">
        <f aca="false">S15*Assumptions!$D$195*(1+Assumptions!$D$162)/12</f>
        <v>0</v>
      </c>
      <c r="T92" s="37" t="n">
        <f aca="false">T15*Assumptions!$D$195*(1+Assumptions!$D$162)/12</f>
        <v>0</v>
      </c>
      <c r="U92" s="37" t="n">
        <f aca="false">U15*Assumptions!$D$195*(1+Assumptions!$D$162)/12</f>
        <v>0</v>
      </c>
      <c r="V92" s="37" t="n">
        <f aca="false">V15*Assumptions!$D$195*(1+Assumptions!$D$162)/12</f>
        <v>0</v>
      </c>
      <c r="W92" s="37" t="n">
        <f aca="false">W15*Assumptions!$D$195*(1+Assumptions!$D$162)/12</f>
        <v>0</v>
      </c>
      <c r="X92" s="37" t="n">
        <f aca="false">X15*Assumptions!$D$195*(1+Assumptions!$D$162)/12</f>
        <v>0</v>
      </c>
      <c r="Y92" s="37" t="n">
        <f aca="false">Y15*Assumptions!$D$195*(1+Assumptions!$D$162)/12</f>
        <v>0</v>
      </c>
      <c r="Z92" s="37" t="n">
        <f aca="false">Z15*Assumptions!$D$195*(1+Assumptions!$D$162)/12</f>
        <v>0</v>
      </c>
      <c r="AA92" s="37" t="n">
        <f aca="false">AA15*Assumptions!$D$195*(1+Assumptions!$D$162)/12</f>
        <v>0</v>
      </c>
      <c r="AB92" s="37" t="n">
        <f aca="false">AB15*Assumptions!$D$195*(1+Assumptions!$D$162)/12</f>
        <v>0</v>
      </c>
      <c r="AC92" s="37" t="n">
        <f aca="false">AC15*Assumptions!$D$195*(1+Assumptions!$D$162)/12</f>
        <v>0</v>
      </c>
      <c r="AD92" s="37" t="n">
        <f aca="false">AD15*Assumptions!$D$195*(1+Assumptions!$D$162)/12</f>
        <v>0</v>
      </c>
      <c r="AE92" s="37" t="n">
        <f aca="false">AE15*Assumptions!$D$195*(1+Assumptions!$D$162)/12</f>
        <v>0</v>
      </c>
      <c r="AF92" s="37" t="n">
        <f aca="false">AF15*Assumptions!$D$195*(1+Assumptions!$D$162)/12</f>
        <v>0</v>
      </c>
      <c r="AG92" s="37" t="n">
        <f aca="false">AG15*Assumptions!$D$195*(1+Assumptions!$D$162)/12</f>
        <v>9000</v>
      </c>
      <c r="AH92" s="37" t="n">
        <f aca="false">AH15*Assumptions!$D$195*(1+Assumptions!$D$162)/12</f>
        <v>9000</v>
      </c>
      <c r="AI92" s="37" t="n">
        <f aca="false">AI15*Assumptions!$D$195*(1+Assumptions!$D$162)/12</f>
        <v>9000</v>
      </c>
      <c r="AJ92" s="37" t="n">
        <f aca="false">AJ15*Assumptions!$D$195*(1+Assumptions!$D$162)/12</f>
        <v>9000</v>
      </c>
      <c r="AK92" s="37" t="n">
        <f aca="false">AK15*Assumptions!$D$195*(1+Assumptions!$D$162)/12</f>
        <v>9000</v>
      </c>
      <c r="AL92" s="37" t="n">
        <f aca="false">AL15*Assumptions!$D$195*(1+Assumptions!$D$162)/12</f>
        <v>9000</v>
      </c>
    </row>
    <row r="93" customFormat="false" ht="15" hidden="false" customHeight="false" outlineLevel="0" collapsed="false">
      <c r="A93" s="9" t="s">
        <v>636</v>
      </c>
      <c r="B93" s="2" t="s">
        <v>105</v>
      </c>
      <c r="C93" s="37" t="n">
        <f aca="false">C16*Assumptions!$D$196*(1+Assumptions!$D$162)/12</f>
        <v>0</v>
      </c>
      <c r="D93" s="37" t="n">
        <f aca="false">D16*Assumptions!$D$196*(1+Assumptions!$D$162)/12</f>
        <v>0</v>
      </c>
      <c r="E93" s="37" t="n">
        <f aca="false">E16*Assumptions!$D$196*(1+Assumptions!$D$162)/12</f>
        <v>0</v>
      </c>
      <c r="F93" s="37" t="n">
        <f aca="false">F16*Assumptions!$D$196*(1+Assumptions!$D$162)/12</f>
        <v>0</v>
      </c>
      <c r="G93" s="37" t="n">
        <f aca="false">G16*Assumptions!$D$196*(1+Assumptions!$D$162)/12</f>
        <v>0</v>
      </c>
      <c r="H93" s="37" t="n">
        <f aca="false">H16*Assumptions!$D$196*(1+Assumptions!$D$162)/12</f>
        <v>0</v>
      </c>
      <c r="I93" s="37" t="n">
        <f aca="false">I16*Assumptions!$D$196*(1+Assumptions!$D$162)/12</f>
        <v>0</v>
      </c>
      <c r="J93" s="37" t="n">
        <f aca="false">J16*Assumptions!$D$196*(1+Assumptions!$D$162)/12</f>
        <v>0</v>
      </c>
      <c r="K93" s="37" t="n">
        <f aca="false">K16*Assumptions!$D$196*(1+Assumptions!$D$162)/12</f>
        <v>0</v>
      </c>
      <c r="L93" s="37" t="n">
        <f aca="false">L16*Assumptions!$D$196*(1+Assumptions!$D$162)/12</f>
        <v>0</v>
      </c>
      <c r="M93" s="37" t="n">
        <f aca="false">M16*Assumptions!$D$196*(1+Assumptions!$D$162)/12</f>
        <v>0</v>
      </c>
      <c r="N93" s="37" t="n">
        <f aca="false">N16*Assumptions!$D$196*(1+Assumptions!$D$162)/12</f>
        <v>0</v>
      </c>
      <c r="O93" s="37" t="n">
        <f aca="false">O16*Assumptions!$D$196*(1+Assumptions!$D$162)/12</f>
        <v>0</v>
      </c>
      <c r="P93" s="37" t="n">
        <f aca="false">P16*Assumptions!$D$196*(1+Assumptions!$D$162)/12</f>
        <v>0</v>
      </c>
      <c r="Q93" s="37" t="n">
        <f aca="false">Q16*Assumptions!$D$196*(1+Assumptions!$D$162)/12</f>
        <v>0</v>
      </c>
      <c r="R93" s="37" t="n">
        <f aca="false">R16*Assumptions!$D$196*(1+Assumptions!$D$162)/12</f>
        <v>0</v>
      </c>
      <c r="S93" s="37" t="n">
        <f aca="false">S16*Assumptions!$D$196*(1+Assumptions!$D$162)/12</f>
        <v>0</v>
      </c>
      <c r="T93" s="37" t="n">
        <f aca="false">T16*Assumptions!$D$196*(1+Assumptions!$D$162)/12</f>
        <v>0</v>
      </c>
      <c r="U93" s="37" t="n">
        <f aca="false">U16*Assumptions!$D$196*(1+Assumptions!$D$162)/12</f>
        <v>0</v>
      </c>
      <c r="V93" s="37" t="n">
        <f aca="false">V16*Assumptions!$D$196*(1+Assumptions!$D$162)/12</f>
        <v>0</v>
      </c>
      <c r="W93" s="37" t="n">
        <f aca="false">W16*Assumptions!$D$196*(1+Assumptions!$D$162)/12</f>
        <v>0</v>
      </c>
      <c r="X93" s="37" t="n">
        <f aca="false">X16*Assumptions!$D$196*(1+Assumptions!$D$162)/12</f>
        <v>0</v>
      </c>
      <c r="Y93" s="37" t="n">
        <f aca="false">Y16*Assumptions!$D$196*(1+Assumptions!$D$162)/12</f>
        <v>0</v>
      </c>
      <c r="Z93" s="37" t="n">
        <f aca="false">Z16*Assumptions!$D$196*(1+Assumptions!$D$162)/12</f>
        <v>0</v>
      </c>
      <c r="AA93" s="37" t="n">
        <f aca="false">AA16*Assumptions!$D$196*(1+Assumptions!$D$162)/12</f>
        <v>0</v>
      </c>
      <c r="AB93" s="37" t="n">
        <f aca="false">AB16*Assumptions!$D$196*(1+Assumptions!$D$162)/12</f>
        <v>0</v>
      </c>
      <c r="AC93" s="37" t="n">
        <f aca="false">AC16*Assumptions!$D$196*(1+Assumptions!$D$162)/12</f>
        <v>0</v>
      </c>
      <c r="AD93" s="37" t="n">
        <f aca="false">AD16*Assumptions!$D$196*(1+Assumptions!$D$162)/12</f>
        <v>0</v>
      </c>
      <c r="AE93" s="37" t="n">
        <f aca="false">AE16*Assumptions!$D$196*(1+Assumptions!$D$162)/12</f>
        <v>0</v>
      </c>
      <c r="AF93" s="37" t="n">
        <f aca="false">AF16*Assumptions!$D$196*(1+Assumptions!$D$162)/12</f>
        <v>0</v>
      </c>
      <c r="AG93" s="37" t="n">
        <f aca="false">AG16*Assumptions!$D$196*(1+Assumptions!$D$162)/12</f>
        <v>0</v>
      </c>
      <c r="AH93" s="37" t="n">
        <f aca="false">AH16*Assumptions!$D$196*(1+Assumptions!$D$162)/12</f>
        <v>0</v>
      </c>
      <c r="AI93" s="37" t="n">
        <f aca="false">AI16*Assumptions!$D$196*(1+Assumptions!$D$162)/12</f>
        <v>0</v>
      </c>
      <c r="AJ93" s="37" t="n">
        <f aca="false">AJ16*Assumptions!$D$196*(1+Assumptions!$D$162)/12</f>
        <v>3500</v>
      </c>
      <c r="AK93" s="37" t="n">
        <f aca="false">AK16*Assumptions!$D$196*(1+Assumptions!$D$162)/12</f>
        <v>3500</v>
      </c>
      <c r="AL93" s="37" t="n">
        <f aca="false">AL16*Assumptions!$D$196*(1+Assumptions!$D$162)/12</f>
        <v>3500</v>
      </c>
    </row>
    <row r="94" customFormat="false" ht="15" hidden="false" customHeight="false" outlineLevel="0" collapsed="false">
      <c r="A94" s="9" t="s">
        <v>637</v>
      </c>
      <c r="B94" s="2" t="s">
        <v>105</v>
      </c>
      <c r="C94" s="37" t="n">
        <f aca="false">C7*Assumptions!$D$187*Assumptions!$E$187+C8*Assumptions!$D$188*Assumptions!$E$188+C9*Assumptions!$D$189*Assumptions!$E$189+C10*Assumptions!$D$190*Assumptions!$E$190+C11*Assumptions!$D$191*Assumptions!$E$191+C12*Assumptions!$D$192*Assumptions!$E$192+C13*Assumptions!$D$193*Assumptions!$E$193+C14*Assumptions!$D$194*Assumptions!$E$194+C15*Assumptions!$D$195*Assumptions!$E$195+C16*Assumptions!$D$196*Assumptions!$E$196</f>
        <v>0</v>
      </c>
      <c r="D94" s="37" t="n">
        <f aca="false">(D7-C7)*Assumptions!$D$187*Assumptions!$E$187+(D8-C8)*Assumptions!$D$188*Assumptions!$E$188+(D9-C9)*Assumptions!$D$189*Assumptions!$E$189+(D10-C10)*Assumptions!$D$190*Assumptions!$E$190+(D11-C11)*Assumptions!$D$191*Assumptions!$E$191+(D12-C12)*Assumptions!$D$192*Assumptions!$E$192+(D13-C13)*Assumptions!$D$193*Assumptions!$E$193+(D14-C14)*Assumptions!$D$194*Assumptions!$E$194+(D15-C15)*Assumptions!$D$195*Assumptions!$E$195+(D16-C16)*Assumptions!$D$196*Assumptions!$E$196</f>
        <v>0</v>
      </c>
      <c r="E94" s="37" t="n">
        <f aca="false">(E7-D7)*Assumptions!$D$187*Assumptions!$E$187+(E8-D8)*Assumptions!$D$188*Assumptions!$E$188+(E9-D9)*Assumptions!$D$189*Assumptions!$E$189+(E10-D10)*Assumptions!$D$190*Assumptions!$E$190+(E11-D11)*Assumptions!$D$191*Assumptions!$E$191+(E12-D12)*Assumptions!$D$192*Assumptions!$E$192+(E13-D13)*Assumptions!$D$193*Assumptions!$E$193+(E14-D14)*Assumptions!$D$194*Assumptions!$E$194+(E15-D15)*Assumptions!$D$195*Assumptions!$E$195+(E16-D16)*Assumptions!$D$196*Assumptions!$E$196</f>
        <v>0</v>
      </c>
      <c r="F94" s="37" t="n">
        <f aca="false">(F7-E7)*Assumptions!$D$187*Assumptions!$E$187+(F8-E8)*Assumptions!$D$188*Assumptions!$E$188+(F9-E9)*Assumptions!$D$189*Assumptions!$E$189+(F10-E10)*Assumptions!$D$190*Assumptions!$E$190+(F11-E11)*Assumptions!$D$191*Assumptions!$E$191+(F12-E12)*Assumptions!$D$192*Assumptions!$E$192+(F13-E13)*Assumptions!$D$193*Assumptions!$E$193+(F14-E14)*Assumptions!$D$194*Assumptions!$E$194+(F15-E15)*Assumptions!$D$195*Assumptions!$E$195+(F16-E16)*Assumptions!$D$196*Assumptions!$E$196</f>
        <v>0</v>
      </c>
      <c r="G94" s="37" t="n">
        <f aca="false">(G7-F7)*Assumptions!$D$187*Assumptions!$E$187+(G8-F8)*Assumptions!$D$188*Assumptions!$E$188+(G9-F9)*Assumptions!$D$189*Assumptions!$E$189+(G10-F10)*Assumptions!$D$190*Assumptions!$E$190+(G11-F11)*Assumptions!$D$191*Assumptions!$E$191+(G12-F12)*Assumptions!$D$192*Assumptions!$E$192+(G13-F13)*Assumptions!$D$193*Assumptions!$E$193+(G14-F14)*Assumptions!$D$194*Assumptions!$E$194+(G15-F15)*Assumptions!$D$195*Assumptions!$E$195+(G16-F16)*Assumptions!$D$196*Assumptions!$E$196</f>
        <v>0</v>
      </c>
      <c r="H94" s="37" t="n">
        <f aca="false">(H7-G7)*Assumptions!$D$187*Assumptions!$E$187+(H8-G8)*Assumptions!$D$188*Assumptions!$E$188+(H9-G9)*Assumptions!$D$189*Assumptions!$E$189+(H10-G10)*Assumptions!$D$190*Assumptions!$E$190+(H11-G11)*Assumptions!$D$191*Assumptions!$E$191+(H12-G12)*Assumptions!$D$192*Assumptions!$E$192+(H13-G13)*Assumptions!$D$193*Assumptions!$E$193+(H14-G14)*Assumptions!$D$194*Assumptions!$E$194+(H15-G15)*Assumptions!$D$195*Assumptions!$E$195+(H16-G16)*Assumptions!$D$196*Assumptions!$E$196</f>
        <v>0</v>
      </c>
      <c r="I94" s="37" t="n">
        <f aca="false">(I7-H7)*Assumptions!$D$187*Assumptions!$E$187+(I8-H8)*Assumptions!$D$188*Assumptions!$E$188+(I9-H9)*Assumptions!$D$189*Assumptions!$E$189+(I10-H10)*Assumptions!$D$190*Assumptions!$E$190+(I11-H11)*Assumptions!$D$191*Assumptions!$E$191+(I12-H12)*Assumptions!$D$192*Assumptions!$E$192+(I13-H13)*Assumptions!$D$193*Assumptions!$E$193+(I14-H14)*Assumptions!$D$194*Assumptions!$E$194+(I15-H15)*Assumptions!$D$195*Assumptions!$E$195+(I16-H16)*Assumptions!$D$196*Assumptions!$E$196</f>
        <v>0</v>
      </c>
      <c r="J94" s="37" t="n">
        <f aca="false">(J7-I7)*Assumptions!$D$187*Assumptions!$E$187+(J8-I8)*Assumptions!$D$188*Assumptions!$E$188+(J9-I9)*Assumptions!$D$189*Assumptions!$E$189+(J10-I10)*Assumptions!$D$190*Assumptions!$E$190+(J11-I11)*Assumptions!$D$191*Assumptions!$E$191+(J12-I12)*Assumptions!$D$192*Assumptions!$E$192+(J13-I13)*Assumptions!$D$193*Assumptions!$E$193+(J14-I14)*Assumptions!$D$194*Assumptions!$E$194+(J15-I15)*Assumptions!$D$195*Assumptions!$E$195+(J16-I16)*Assumptions!$D$196*Assumptions!$E$196</f>
        <v>0</v>
      </c>
      <c r="K94" s="37" t="n">
        <f aca="false">(K7-J7)*Assumptions!$D$187*Assumptions!$E$187+(K8-J8)*Assumptions!$D$188*Assumptions!$E$188+(K9-J9)*Assumptions!$D$189*Assumptions!$E$189+(K10-J10)*Assumptions!$D$190*Assumptions!$E$190+(K11-J11)*Assumptions!$D$191*Assumptions!$E$191+(K12-J12)*Assumptions!$D$192*Assumptions!$E$192+(K13-J13)*Assumptions!$D$193*Assumptions!$E$193+(K14-J14)*Assumptions!$D$194*Assumptions!$E$194+(K15-J15)*Assumptions!$D$195*Assumptions!$E$195+(K16-J16)*Assumptions!$D$196*Assumptions!$E$196</f>
        <v>0</v>
      </c>
      <c r="L94" s="37" t="n">
        <f aca="false">(L7-K7)*Assumptions!$D$187*Assumptions!$E$187+(L8-K8)*Assumptions!$D$188*Assumptions!$E$188+(L9-K9)*Assumptions!$D$189*Assumptions!$E$189+(L10-K10)*Assumptions!$D$190*Assumptions!$E$190+(L11-K11)*Assumptions!$D$191*Assumptions!$E$191+(L12-K12)*Assumptions!$D$192*Assumptions!$E$192+(L13-K13)*Assumptions!$D$193*Assumptions!$E$193+(L14-K14)*Assumptions!$D$194*Assumptions!$E$194+(L15-K15)*Assumptions!$D$195*Assumptions!$E$195+(L16-K16)*Assumptions!$D$196*Assumptions!$E$196</f>
        <v>0</v>
      </c>
      <c r="M94" s="37" t="n">
        <f aca="false">(M7-L7)*Assumptions!$D$187*Assumptions!$E$187+(M8-L8)*Assumptions!$D$188*Assumptions!$E$188+(M9-L9)*Assumptions!$D$189*Assumptions!$E$189+(M10-L10)*Assumptions!$D$190*Assumptions!$E$190+(M11-L11)*Assumptions!$D$191*Assumptions!$E$191+(M12-L12)*Assumptions!$D$192*Assumptions!$E$192+(M13-L13)*Assumptions!$D$193*Assumptions!$E$193+(M14-L14)*Assumptions!$D$194*Assumptions!$E$194+(M15-L15)*Assumptions!$D$195*Assumptions!$E$195+(M16-L16)*Assumptions!$D$196*Assumptions!$E$196</f>
        <v>0</v>
      </c>
      <c r="N94" s="37" t="n">
        <f aca="false">(N7-M7)*Assumptions!$D$187*Assumptions!$E$187+(N8-M8)*Assumptions!$D$188*Assumptions!$E$188+(N9-M9)*Assumptions!$D$189*Assumptions!$E$189+(N10-M10)*Assumptions!$D$190*Assumptions!$E$190+(N11-M11)*Assumptions!$D$191*Assumptions!$E$191+(N12-M12)*Assumptions!$D$192*Assumptions!$E$192+(N13-M13)*Assumptions!$D$193*Assumptions!$E$193+(N14-M14)*Assumptions!$D$194*Assumptions!$E$194+(N15-M15)*Assumptions!$D$195*Assumptions!$E$195+(N16-M16)*Assumptions!$D$196*Assumptions!$E$196</f>
        <v>0</v>
      </c>
      <c r="O94" s="37" t="n">
        <f aca="false">(O7-N7)*Assumptions!$D$187*Assumptions!$E$187+(O8-N8)*Assumptions!$D$188*Assumptions!$E$188+(O9-N9)*Assumptions!$D$189*Assumptions!$E$189+(O10-N10)*Assumptions!$D$190*Assumptions!$E$190+(O11-N11)*Assumptions!$D$191*Assumptions!$E$191+(O12-N12)*Assumptions!$D$192*Assumptions!$E$192+(O13-N13)*Assumptions!$D$193*Assumptions!$E$193+(O14-N14)*Assumptions!$D$194*Assumptions!$E$194+(O15-N15)*Assumptions!$D$195*Assumptions!$E$195+(O16-N16)*Assumptions!$D$196*Assumptions!$E$196</f>
        <v>12750</v>
      </c>
      <c r="P94" s="37" t="n">
        <f aca="false">(P7-O7)*Assumptions!$D$187*Assumptions!$E$187+(P8-O8)*Assumptions!$D$188*Assumptions!$E$188+(P9-O9)*Assumptions!$D$189*Assumptions!$E$189+(P10-O10)*Assumptions!$D$190*Assumptions!$E$190+(P11-O11)*Assumptions!$D$191*Assumptions!$E$191+(P12-O12)*Assumptions!$D$192*Assumptions!$E$192+(P13-O13)*Assumptions!$D$193*Assumptions!$E$193+(P14-O14)*Assumptions!$D$194*Assumptions!$E$194+(P15-O15)*Assumptions!$D$195*Assumptions!$E$195+(P16-O16)*Assumptions!$D$196*Assumptions!$E$196</f>
        <v>0</v>
      </c>
      <c r="Q94" s="37" t="n">
        <f aca="false">(Q7-P7)*Assumptions!$D$187*Assumptions!$E$187+(Q8-P8)*Assumptions!$D$188*Assumptions!$E$188+(Q9-P9)*Assumptions!$D$189*Assumptions!$E$189+(Q10-P10)*Assumptions!$D$190*Assumptions!$E$190+(Q11-P11)*Assumptions!$D$191*Assumptions!$E$191+(Q12-P12)*Assumptions!$D$192*Assumptions!$E$192+(Q13-P13)*Assumptions!$D$193*Assumptions!$E$193+(Q14-P14)*Assumptions!$D$194*Assumptions!$E$194+(Q15-P15)*Assumptions!$D$195*Assumptions!$E$195+(Q16-P16)*Assumptions!$D$196*Assumptions!$E$196</f>
        <v>0</v>
      </c>
      <c r="R94" s="37" t="n">
        <f aca="false">(R7-Q7)*Assumptions!$D$187*Assumptions!$E$187+(R8-Q8)*Assumptions!$D$188*Assumptions!$E$188+(R9-Q9)*Assumptions!$D$189*Assumptions!$E$189+(R10-Q10)*Assumptions!$D$190*Assumptions!$E$190+(R11-Q11)*Assumptions!$D$191*Assumptions!$E$191+(R12-Q12)*Assumptions!$D$192*Assumptions!$E$192+(R13-Q13)*Assumptions!$D$193*Assumptions!$E$193+(R14-Q14)*Assumptions!$D$194*Assumptions!$E$194+(R15-Q15)*Assumptions!$D$195*Assumptions!$E$195+(R16-Q16)*Assumptions!$D$196*Assumptions!$E$196</f>
        <v>9000</v>
      </c>
      <c r="S94" s="37" t="n">
        <f aca="false">(S7-R7)*Assumptions!$D$187*Assumptions!$E$187+(S8-R8)*Assumptions!$D$188*Assumptions!$E$188+(S9-R9)*Assumptions!$D$189*Assumptions!$E$189+(S10-R10)*Assumptions!$D$190*Assumptions!$E$190+(S11-R11)*Assumptions!$D$191*Assumptions!$E$191+(S12-R12)*Assumptions!$D$192*Assumptions!$E$192+(S13-R13)*Assumptions!$D$193*Assumptions!$E$193+(S14-R14)*Assumptions!$D$194*Assumptions!$E$194+(S15-R15)*Assumptions!$D$195*Assumptions!$E$195+(S16-R16)*Assumptions!$D$196*Assumptions!$E$196</f>
        <v>0</v>
      </c>
      <c r="T94" s="37" t="n">
        <f aca="false">(T7-S7)*Assumptions!$D$187*Assumptions!$E$187+(T8-S8)*Assumptions!$D$188*Assumptions!$E$188+(T9-S9)*Assumptions!$D$189*Assumptions!$E$189+(T10-S10)*Assumptions!$D$190*Assumptions!$E$190+(T11-S11)*Assumptions!$D$191*Assumptions!$E$191+(T12-S12)*Assumptions!$D$192*Assumptions!$E$192+(T13-S13)*Assumptions!$D$193*Assumptions!$E$193+(T14-S14)*Assumptions!$D$194*Assumptions!$E$194+(T15-S15)*Assumptions!$D$195*Assumptions!$E$195+(T16-S16)*Assumptions!$D$196*Assumptions!$E$196</f>
        <v>0</v>
      </c>
      <c r="U94" s="37" t="n">
        <f aca="false">(U7-T7)*Assumptions!$D$187*Assumptions!$E$187+(U8-T8)*Assumptions!$D$188*Assumptions!$E$188+(U9-T9)*Assumptions!$D$189*Assumptions!$E$189+(U10-T10)*Assumptions!$D$190*Assumptions!$E$190+(U11-T11)*Assumptions!$D$191*Assumptions!$E$191+(U12-T12)*Assumptions!$D$192*Assumptions!$E$192+(U13-T13)*Assumptions!$D$193*Assumptions!$E$193+(U14-T14)*Assumptions!$D$194*Assumptions!$E$194+(U15-T15)*Assumptions!$D$195*Assumptions!$E$195+(U16-T16)*Assumptions!$D$196*Assumptions!$E$196</f>
        <v>0</v>
      </c>
      <c r="V94" s="37" t="n">
        <f aca="false">(V7-U7)*Assumptions!$D$187*Assumptions!$E$187+(V8-U8)*Assumptions!$D$188*Assumptions!$E$188+(V9-U9)*Assumptions!$D$189*Assumptions!$E$189+(V10-U10)*Assumptions!$D$190*Assumptions!$E$190+(V11-U11)*Assumptions!$D$191*Assumptions!$E$191+(V12-U12)*Assumptions!$D$192*Assumptions!$E$192+(V13-U13)*Assumptions!$D$193*Assumptions!$E$193+(V14-U14)*Assumptions!$D$194*Assumptions!$E$194+(V15-U15)*Assumptions!$D$195*Assumptions!$E$195+(V16-U16)*Assumptions!$D$196*Assumptions!$E$196</f>
        <v>0</v>
      </c>
      <c r="W94" s="37" t="n">
        <f aca="false">(W7-V7)*Assumptions!$D$187*Assumptions!$E$187+(W8-V8)*Assumptions!$D$188*Assumptions!$E$188+(W9-V9)*Assumptions!$D$189*Assumptions!$E$189+(W10-V10)*Assumptions!$D$190*Assumptions!$E$190+(W11-V11)*Assumptions!$D$191*Assumptions!$E$191+(W12-V12)*Assumptions!$D$192*Assumptions!$E$192+(W13-V13)*Assumptions!$D$193*Assumptions!$E$193+(W14-V14)*Assumptions!$D$194*Assumptions!$E$194+(W15-V15)*Assumptions!$D$195*Assumptions!$E$195+(W16-V16)*Assumptions!$D$196*Assumptions!$E$196</f>
        <v>12750</v>
      </c>
      <c r="X94" s="37" t="n">
        <f aca="false">(X7-W7)*Assumptions!$D$187*Assumptions!$E$187+(X8-W8)*Assumptions!$D$188*Assumptions!$E$188+(X9-W9)*Assumptions!$D$189*Assumptions!$E$189+(X10-W10)*Assumptions!$D$190*Assumptions!$E$190+(X11-W11)*Assumptions!$D$191*Assumptions!$E$191+(X12-W12)*Assumptions!$D$192*Assumptions!$E$192+(X13-W13)*Assumptions!$D$193*Assumptions!$E$193+(X14-W14)*Assumptions!$D$194*Assumptions!$E$194+(X15-W15)*Assumptions!$D$195*Assumptions!$E$195+(X16-W16)*Assumptions!$D$196*Assumptions!$E$196</f>
        <v>0</v>
      </c>
      <c r="Y94" s="37" t="n">
        <f aca="false">(Y7-X7)*Assumptions!$D$187*Assumptions!$E$187+(Y8-X8)*Assumptions!$D$188*Assumptions!$E$188+(Y9-X9)*Assumptions!$D$189*Assumptions!$E$189+(Y10-X10)*Assumptions!$D$190*Assumptions!$E$190+(Y11-X11)*Assumptions!$D$191*Assumptions!$E$191+(Y12-X12)*Assumptions!$D$192*Assumptions!$E$192+(Y13-X13)*Assumptions!$D$193*Assumptions!$E$193+(Y14-X14)*Assumptions!$D$194*Assumptions!$E$194+(Y15-X15)*Assumptions!$D$195*Assumptions!$E$195+(Y16-X16)*Assumptions!$D$196*Assumptions!$E$196</f>
        <v>7500</v>
      </c>
      <c r="Z94" s="37" t="n">
        <f aca="false">(Z7-Y7)*Assumptions!$D$187*Assumptions!$E$187+(Z8-Y8)*Assumptions!$D$188*Assumptions!$E$188+(Z9-Y9)*Assumptions!$D$189*Assumptions!$E$189+(Z10-Y10)*Assumptions!$D$190*Assumptions!$E$190+(Z11-Y11)*Assumptions!$D$191*Assumptions!$E$191+(Z12-Y12)*Assumptions!$D$192*Assumptions!$E$192+(Z13-Y13)*Assumptions!$D$193*Assumptions!$E$193+(Z14-Y14)*Assumptions!$D$194*Assumptions!$E$194+(Z15-Y15)*Assumptions!$D$195*Assumptions!$E$195+(Z16-Y16)*Assumptions!$D$196*Assumptions!$E$196</f>
        <v>0</v>
      </c>
      <c r="AA94" s="37" t="n">
        <f aca="false">(AA7-Z7)*Assumptions!$D$187*Assumptions!$E$187+(AA8-Z8)*Assumptions!$D$188*Assumptions!$E$188+(AA9-Z9)*Assumptions!$D$189*Assumptions!$E$189+(AA10-Z10)*Assumptions!$D$190*Assumptions!$E$190+(AA11-Z11)*Assumptions!$D$191*Assumptions!$E$191+(AA12-Z12)*Assumptions!$D$192*Assumptions!$E$192+(AA13-Z13)*Assumptions!$D$193*Assumptions!$E$193+(AA14-Z14)*Assumptions!$D$194*Assumptions!$E$194+(AA15-Z15)*Assumptions!$D$195*Assumptions!$E$195+(AA16-Z16)*Assumptions!$D$196*Assumptions!$E$196</f>
        <v>0</v>
      </c>
      <c r="AB94" s="37" t="n">
        <f aca="false">(AB7-AA7)*Assumptions!$D$187*Assumptions!$E$187+(AB8-AA8)*Assumptions!$D$188*Assumptions!$E$188+(AB9-AA9)*Assumptions!$D$189*Assumptions!$E$189+(AB10-AA10)*Assumptions!$D$190*Assumptions!$E$190+(AB11-AA11)*Assumptions!$D$191*Assumptions!$E$191+(AB12-AA12)*Assumptions!$D$192*Assumptions!$E$192+(AB13-AA13)*Assumptions!$D$193*Assumptions!$E$193+(AB14-AA14)*Assumptions!$D$194*Assumptions!$E$194+(AB15-AA15)*Assumptions!$D$195*Assumptions!$E$195+(AB16-AA16)*Assumptions!$D$196*Assumptions!$E$196</f>
        <v>9000</v>
      </c>
      <c r="AC94" s="37" t="n">
        <f aca="false">(AC7-AB7)*Assumptions!$D$187*Assumptions!$E$187+(AC8-AB8)*Assumptions!$D$188*Assumptions!$E$188+(AC9-AB9)*Assumptions!$D$189*Assumptions!$E$189+(AC10-AB10)*Assumptions!$D$190*Assumptions!$E$190+(AC11-AB11)*Assumptions!$D$191*Assumptions!$E$191+(AC12-AB12)*Assumptions!$D$192*Assumptions!$E$192+(AC13-AB13)*Assumptions!$D$193*Assumptions!$E$193+(AC14-AB14)*Assumptions!$D$194*Assumptions!$E$194+(AC15-AB15)*Assumptions!$D$195*Assumptions!$E$195+(AC16-AB16)*Assumptions!$D$196*Assumptions!$E$196</f>
        <v>0</v>
      </c>
      <c r="AD94" s="37" t="n">
        <f aca="false">(AD7-AC7)*Assumptions!$D$187*Assumptions!$E$187+(AD8-AC8)*Assumptions!$D$188*Assumptions!$E$188+(AD9-AC9)*Assumptions!$D$189*Assumptions!$E$189+(AD10-AC10)*Assumptions!$D$190*Assumptions!$E$190+(AD11-AC11)*Assumptions!$D$191*Assumptions!$E$191+(AD12-AC12)*Assumptions!$D$192*Assumptions!$E$192+(AD13-AC13)*Assumptions!$D$193*Assumptions!$E$193+(AD14-AC14)*Assumptions!$D$194*Assumptions!$E$194+(AD15-AC15)*Assumptions!$D$195*Assumptions!$E$195+(AD16-AC16)*Assumptions!$D$196*Assumptions!$E$196</f>
        <v>0</v>
      </c>
      <c r="AE94" s="37" t="n">
        <f aca="false">(AE7-AD7)*Assumptions!$D$187*Assumptions!$E$187+(AE8-AD8)*Assumptions!$D$188*Assumptions!$E$188+(AE9-AD9)*Assumptions!$D$189*Assumptions!$E$189+(AE10-AD10)*Assumptions!$D$190*Assumptions!$E$190+(AE11-AD11)*Assumptions!$D$191*Assumptions!$E$191+(AE12-AD12)*Assumptions!$D$192*Assumptions!$E$192+(AE13-AD13)*Assumptions!$D$193*Assumptions!$E$193+(AE14-AD14)*Assumptions!$D$194*Assumptions!$E$194+(AE15-AD15)*Assumptions!$D$195*Assumptions!$E$195+(AE16-AD16)*Assumptions!$D$196*Assumptions!$E$196</f>
        <v>0</v>
      </c>
      <c r="AF94" s="37" t="n">
        <f aca="false">(AF7-AE7)*Assumptions!$D$187*Assumptions!$E$187+(AF8-AE8)*Assumptions!$D$188*Assumptions!$E$188+(AF9-AE9)*Assumptions!$D$189*Assumptions!$E$189+(AF10-AE10)*Assumptions!$D$190*Assumptions!$E$190+(AF11-AE11)*Assumptions!$D$191*Assumptions!$E$191+(AF12-AE12)*Assumptions!$D$192*Assumptions!$E$192+(AF13-AE13)*Assumptions!$D$193*Assumptions!$E$193+(AF14-AE14)*Assumptions!$D$194*Assumptions!$E$194+(AF15-AE15)*Assumptions!$D$195*Assumptions!$E$195+(AF16-AE16)*Assumptions!$D$196*Assumptions!$E$196</f>
        <v>0</v>
      </c>
      <c r="AG94" s="37" t="n">
        <f aca="false">(AG7-AF7)*Assumptions!$D$187*Assumptions!$E$187+(AG8-AF8)*Assumptions!$D$188*Assumptions!$E$188+(AG9-AF9)*Assumptions!$D$189*Assumptions!$E$189+(AG10-AF10)*Assumptions!$D$190*Assumptions!$E$190+(AG11-AF11)*Assumptions!$D$191*Assumptions!$E$191+(AG12-AF12)*Assumptions!$D$192*Assumptions!$E$192+(AG13-AF13)*Assumptions!$D$193*Assumptions!$E$193+(AG14-AF14)*Assumptions!$D$194*Assumptions!$E$194+(AG15-AF15)*Assumptions!$D$195*Assumptions!$E$195+(AG16-AF16)*Assumptions!$D$196*Assumptions!$E$196</f>
        <v>13500</v>
      </c>
      <c r="AH94" s="37" t="n">
        <f aca="false">(AH7-AG7)*Assumptions!$D$187*Assumptions!$E$187+(AH8-AG8)*Assumptions!$D$188*Assumptions!$E$188+(AH9-AG9)*Assumptions!$D$189*Assumptions!$E$189+(AH10-AG10)*Assumptions!$D$190*Assumptions!$E$190+(AH11-AG11)*Assumptions!$D$191*Assumptions!$E$191+(AH12-AG12)*Assumptions!$D$192*Assumptions!$E$192+(AH13-AG13)*Assumptions!$D$193*Assumptions!$E$193+(AH14-AG14)*Assumptions!$D$194*Assumptions!$E$194+(AH15-AG15)*Assumptions!$D$195*Assumptions!$E$195+(AH16-AG16)*Assumptions!$D$196*Assumptions!$E$196</f>
        <v>0</v>
      </c>
      <c r="AI94" s="37" t="n">
        <f aca="false">(AI7-AH7)*Assumptions!$D$187*Assumptions!$E$187+(AI8-AH8)*Assumptions!$D$188*Assumptions!$E$188+(AI9-AH9)*Assumptions!$D$189*Assumptions!$E$189+(AI10-AH10)*Assumptions!$D$190*Assumptions!$E$190+(AI11-AH11)*Assumptions!$D$191*Assumptions!$E$191+(AI12-AH12)*Assumptions!$D$192*Assumptions!$E$192+(AI13-AH13)*Assumptions!$D$193*Assumptions!$E$193+(AI14-AH14)*Assumptions!$D$194*Assumptions!$E$194+(AI15-AH15)*Assumptions!$D$195*Assumptions!$E$195+(AI16-AH16)*Assumptions!$D$196*Assumptions!$E$196</f>
        <v>0</v>
      </c>
      <c r="AJ94" s="37" t="n">
        <f aca="false">(AJ7-AI7)*Assumptions!$D$187*Assumptions!$E$187+(AJ8-AI8)*Assumptions!$D$188*Assumptions!$E$188+(AJ9-AI9)*Assumptions!$D$189*Assumptions!$E$189+(AJ10-AI10)*Assumptions!$D$190*Assumptions!$E$190+(AJ11-AI11)*Assumptions!$D$191*Assumptions!$E$191+(AJ12-AI12)*Assumptions!$D$192*Assumptions!$E$192+(AJ13-AI13)*Assumptions!$D$193*Assumptions!$E$193+(AJ14-AI14)*Assumptions!$D$194*Assumptions!$E$194+(AJ15-AI15)*Assumptions!$D$195*Assumptions!$E$195+(AJ16-AI16)*Assumptions!$D$196*Assumptions!$E$196</f>
        <v>0</v>
      </c>
      <c r="AK94" s="37" t="n">
        <f aca="false">(AK7-AJ7)*Assumptions!$D$187*Assumptions!$E$187+(AK8-AJ8)*Assumptions!$D$188*Assumptions!$E$188+(AK9-AJ9)*Assumptions!$D$189*Assumptions!$E$189+(AK10-AJ10)*Assumptions!$D$190*Assumptions!$E$190+(AK11-AJ11)*Assumptions!$D$191*Assumptions!$E$191+(AK12-AJ12)*Assumptions!$D$192*Assumptions!$E$192+(AK13-AJ13)*Assumptions!$D$193*Assumptions!$E$193+(AK14-AJ14)*Assumptions!$D$194*Assumptions!$E$194+(AK15-AJ15)*Assumptions!$D$195*Assumptions!$E$195+(AK16-AJ16)*Assumptions!$D$196*Assumptions!$E$196</f>
        <v>0</v>
      </c>
      <c r="AL94" s="37" t="n">
        <f aca="false">(AL7-AK7)*Assumptions!$D$187*Assumptions!$E$187+(AL8-AK8)*Assumptions!$D$188*Assumptions!$E$188+(AL9-AK9)*Assumptions!$D$189*Assumptions!$E$189+(AL10-AK10)*Assumptions!$D$190*Assumptions!$E$190+(AL11-AK11)*Assumptions!$D$191*Assumptions!$E$191+(AL12-AK12)*Assumptions!$D$192*Assumptions!$E$192+(AL13-AK13)*Assumptions!$D$193*Assumptions!$E$193+(AL14-AK14)*Assumptions!$D$194*Assumptions!$E$194+(AL15-AK15)*Assumptions!$D$195*Assumptions!$E$195+(AL16-AK16)*Assumptions!$D$196*Assumptions!$E$196</f>
        <v>0</v>
      </c>
    </row>
    <row r="95" customFormat="false" ht="15" hidden="false" customHeight="false" outlineLevel="0" collapsed="false">
      <c r="A95" s="9" t="s">
        <v>638</v>
      </c>
      <c r="B95" s="2" t="s">
        <v>105</v>
      </c>
      <c r="C95" s="37" t="n">
        <f aca="false">IF(C8=0,Assumptions!$D$163,0)</f>
        <v>2000</v>
      </c>
      <c r="D95" s="37" t="n">
        <f aca="false">IF(D8=0,Assumptions!$D$163,0)</f>
        <v>2000</v>
      </c>
      <c r="E95" s="37" t="n">
        <f aca="false">IF(E8=0,Assumptions!$D$163,0)</f>
        <v>2000</v>
      </c>
      <c r="F95" s="37" t="n">
        <f aca="false">IF(F8=0,Assumptions!$D$163,0)</f>
        <v>2000</v>
      </c>
      <c r="G95" s="37" t="n">
        <f aca="false">IF(G8=0,Assumptions!$D$163,0)</f>
        <v>2000</v>
      </c>
      <c r="H95" s="37" t="n">
        <f aca="false">IF(H8=0,Assumptions!$D$163,0)</f>
        <v>2000</v>
      </c>
      <c r="I95" s="37" t="n">
        <f aca="false">IF(I8=0,Assumptions!$D$163,0)</f>
        <v>2000</v>
      </c>
      <c r="J95" s="37" t="n">
        <f aca="false">IF(J8=0,Assumptions!$D$163,0)</f>
        <v>2000</v>
      </c>
      <c r="K95" s="37" t="n">
        <f aca="false">IF(K8=0,Assumptions!$D$163,0)</f>
        <v>2000</v>
      </c>
      <c r="L95" s="37" t="n">
        <f aca="false">IF(L8=0,Assumptions!$D$163,0)</f>
        <v>2000</v>
      </c>
      <c r="M95" s="37" t="n">
        <f aca="false">IF(M8=0,Assumptions!$D$163,0)</f>
        <v>2000</v>
      </c>
      <c r="N95" s="37" t="n">
        <f aca="false">IF(N8=0,Assumptions!$D$163,0)</f>
        <v>2000</v>
      </c>
      <c r="O95" s="37" t="n">
        <f aca="false">IF(O8=0,Assumptions!$D$163,0)</f>
        <v>0</v>
      </c>
      <c r="P95" s="37" t="n">
        <f aca="false">IF(P8=0,Assumptions!$D$163,0)</f>
        <v>0</v>
      </c>
      <c r="Q95" s="37" t="n">
        <f aca="false">IF(Q8=0,Assumptions!$D$163,0)</f>
        <v>0</v>
      </c>
      <c r="R95" s="37" t="n">
        <f aca="false">IF(R8=0,Assumptions!$D$163,0)</f>
        <v>0</v>
      </c>
      <c r="S95" s="37" t="n">
        <f aca="false">IF(S8=0,Assumptions!$D$163,0)</f>
        <v>0</v>
      </c>
      <c r="T95" s="37" t="n">
        <f aca="false">IF(T8=0,Assumptions!$D$163,0)</f>
        <v>0</v>
      </c>
      <c r="U95" s="37" t="n">
        <f aca="false">IF(U8=0,Assumptions!$D$163,0)</f>
        <v>0</v>
      </c>
      <c r="V95" s="37" t="n">
        <f aca="false">IF(V8=0,Assumptions!$D$163,0)</f>
        <v>0</v>
      </c>
      <c r="W95" s="37" t="n">
        <f aca="false">IF(W8=0,Assumptions!$D$163,0)</f>
        <v>0</v>
      </c>
      <c r="X95" s="37" t="n">
        <f aca="false">IF(X8=0,Assumptions!$D$163,0)</f>
        <v>0</v>
      </c>
      <c r="Y95" s="37" t="n">
        <f aca="false">IF(Y8=0,Assumptions!$D$163,0)</f>
        <v>0</v>
      </c>
      <c r="Z95" s="37" t="n">
        <f aca="false">IF(Z8=0,Assumptions!$D$163,0)</f>
        <v>0</v>
      </c>
      <c r="AA95" s="37" t="n">
        <f aca="false">IF(AA8=0,Assumptions!$D$163,0)</f>
        <v>0</v>
      </c>
      <c r="AB95" s="37" t="n">
        <f aca="false">IF(AB8=0,Assumptions!$D$163,0)</f>
        <v>0</v>
      </c>
      <c r="AC95" s="37" t="n">
        <f aca="false">IF(AC8=0,Assumptions!$D$163,0)</f>
        <v>0</v>
      </c>
      <c r="AD95" s="37" t="n">
        <f aca="false">IF(AD8=0,Assumptions!$D$163,0)</f>
        <v>0</v>
      </c>
      <c r="AE95" s="37" t="n">
        <f aca="false">IF(AE8=0,Assumptions!$D$163,0)</f>
        <v>0</v>
      </c>
      <c r="AF95" s="37" t="n">
        <f aca="false">IF(AF8=0,Assumptions!$D$163,0)</f>
        <v>0</v>
      </c>
      <c r="AG95" s="37" t="n">
        <f aca="false">IF(AG8=0,Assumptions!$D$163,0)</f>
        <v>0</v>
      </c>
      <c r="AH95" s="37" t="n">
        <f aca="false">IF(AH8=0,Assumptions!$D$163,0)</f>
        <v>0</v>
      </c>
      <c r="AI95" s="37" t="n">
        <f aca="false">IF(AI8=0,Assumptions!$D$163,0)</f>
        <v>0</v>
      </c>
      <c r="AJ95" s="37" t="n">
        <f aca="false">IF(AJ8=0,Assumptions!$D$163,0)</f>
        <v>0</v>
      </c>
      <c r="AK95" s="37" t="n">
        <f aca="false">IF(AK8=0,Assumptions!$D$163,0)</f>
        <v>0</v>
      </c>
      <c r="AL95" s="37" t="n">
        <f aca="false">IF(AL8=0,Assumptions!$D$163,0)</f>
        <v>0</v>
      </c>
    </row>
    <row r="96" customFormat="false" ht="15" hidden="false" customHeight="false" outlineLevel="0" collapsed="false">
      <c r="A96" s="9" t="s">
        <v>639</v>
      </c>
      <c r="B96" s="2" t="s">
        <v>105</v>
      </c>
      <c r="C96" s="37" t="n">
        <f aca="false">Assumptions!$D$164+Assumptions!$D$165/12</f>
        <v>2250</v>
      </c>
      <c r="D96" s="37" t="n">
        <f aca="false">Assumptions!$D$164+Assumptions!$D$165/12</f>
        <v>2250</v>
      </c>
      <c r="E96" s="37" t="n">
        <f aca="false">Assumptions!$D$164+Assumptions!$D$165/12</f>
        <v>2250</v>
      </c>
      <c r="F96" s="37" t="n">
        <f aca="false">Assumptions!$D$164+Assumptions!$D$165/12</f>
        <v>2250</v>
      </c>
      <c r="G96" s="37" t="n">
        <f aca="false">Assumptions!$D$164+Assumptions!$D$165/12</f>
        <v>2250</v>
      </c>
      <c r="H96" s="37" t="n">
        <f aca="false">Assumptions!$D$164+Assumptions!$D$165/12</f>
        <v>2250</v>
      </c>
      <c r="I96" s="37" t="n">
        <f aca="false">Assumptions!$D$164+Assumptions!$D$165/12</f>
        <v>2250</v>
      </c>
      <c r="J96" s="37" t="n">
        <f aca="false">Assumptions!$D$164+Assumptions!$D$165/12</f>
        <v>2250</v>
      </c>
      <c r="K96" s="37" t="n">
        <f aca="false">Assumptions!$D$164+Assumptions!$D$165/12</f>
        <v>2250</v>
      </c>
      <c r="L96" s="37" t="n">
        <f aca="false">Assumptions!$D$164+Assumptions!$D$165/12</f>
        <v>2250</v>
      </c>
      <c r="M96" s="37" t="n">
        <f aca="false">Assumptions!$D$164+Assumptions!$D$165/12</f>
        <v>2250</v>
      </c>
      <c r="N96" s="37" t="n">
        <f aca="false">Assumptions!$D$164+Assumptions!$D$165/12</f>
        <v>2250</v>
      </c>
      <c r="O96" s="37" t="n">
        <f aca="false">Assumptions!$D$164+Assumptions!$D$165/12</f>
        <v>2250</v>
      </c>
      <c r="P96" s="37" t="n">
        <f aca="false">Assumptions!$D$164+Assumptions!$D$165/12</f>
        <v>2250</v>
      </c>
      <c r="Q96" s="37" t="n">
        <f aca="false">Assumptions!$D$164+Assumptions!$D$165/12</f>
        <v>2250</v>
      </c>
      <c r="R96" s="37" t="n">
        <f aca="false">Assumptions!$D$164+Assumptions!$D$165/12</f>
        <v>2250</v>
      </c>
      <c r="S96" s="37" t="n">
        <f aca="false">Assumptions!$D$164+Assumptions!$D$165/12</f>
        <v>2250</v>
      </c>
      <c r="T96" s="37" t="n">
        <f aca="false">Assumptions!$D$164+Assumptions!$D$165/12</f>
        <v>2250</v>
      </c>
      <c r="U96" s="37" t="n">
        <f aca="false">Assumptions!$D$164+Assumptions!$D$165/12</f>
        <v>2250</v>
      </c>
      <c r="V96" s="37" t="n">
        <f aca="false">Assumptions!$D$164+Assumptions!$D$165/12</f>
        <v>2250</v>
      </c>
      <c r="W96" s="37" t="n">
        <f aca="false">Assumptions!$D$164+Assumptions!$D$165/12</f>
        <v>2250</v>
      </c>
      <c r="X96" s="37" t="n">
        <f aca="false">Assumptions!$D$164+Assumptions!$D$165/12</f>
        <v>2250</v>
      </c>
      <c r="Y96" s="37" t="n">
        <f aca="false">Assumptions!$D$164+Assumptions!$D$165/12</f>
        <v>2250</v>
      </c>
      <c r="Z96" s="37" t="n">
        <f aca="false">Assumptions!$D$164+Assumptions!$D$165/12</f>
        <v>2250</v>
      </c>
      <c r="AA96" s="37" t="n">
        <f aca="false">Assumptions!$D$164+Assumptions!$D$165/12</f>
        <v>2250</v>
      </c>
      <c r="AB96" s="37" t="n">
        <f aca="false">Assumptions!$D$164+Assumptions!$D$165/12</f>
        <v>2250</v>
      </c>
      <c r="AC96" s="37" t="n">
        <f aca="false">Assumptions!$D$164+Assumptions!$D$165/12</f>
        <v>2250</v>
      </c>
      <c r="AD96" s="37" t="n">
        <f aca="false">Assumptions!$D$164+Assumptions!$D$165/12</f>
        <v>2250</v>
      </c>
      <c r="AE96" s="37" t="n">
        <f aca="false">Assumptions!$D$164+Assumptions!$D$165/12</f>
        <v>2250</v>
      </c>
      <c r="AF96" s="37" t="n">
        <f aca="false">Assumptions!$D$164+Assumptions!$D$165/12</f>
        <v>2250</v>
      </c>
      <c r="AG96" s="37" t="n">
        <f aca="false">Assumptions!$D$164+Assumptions!$D$165/12</f>
        <v>2250</v>
      </c>
      <c r="AH96" s="37" t="n">
        <f aca="false">Assumptions!$D$164+Assumptions!$D$165/12</f>
        <v>2250</v>
      </c>
      <c r="AI96" s="37" t="n">
        <f aca="false">Assumptions!$D$164+Assumptions!$D$165/12</f>
        <v>2250</v>
      </c>
      <c r="AJ96" s="37" t="n">
        <f aca="false">Assumptions!$D$164+Assumptions!$D$165/12</f>
        <v>2250</v>
      </c>
      <c r="AK96" s="37" t="n">
        <f aca="false">Assumptions!$D$164+Assumptions!$D$165/12</f>
        <v>2250</v>
      </c>
      <c r="AL96" s="37" t="n">
        <f aca="false">Assumptions!$D$164+Assumptions!$D$165/12</f>
        <v>2250</v>
      </c>
    </row>
    <row r="97" customFormat="false" ht="15" hidden="false" customHeight="false" outlineLevel="0" collapsed="false">
      <c r="A97" s="9" t="s">
        <v>640</v>
      </c>
      <c r="B97" s="2" t="s">
        <v>105</v>
      </c>
      <c r="C97" s="37" t="n">
        <f aca="false">Assumptions!$D$166/12+IF(C$3&gt;=Assumptions!$E$124,Assumptions!$D$167/12,0)</f>
        <v>125</v>
      </c>
      <c r="D97" s="37" t="n">
        <f aca="false">Assumptions!$D$166/12+IF(D$3&gt;=Assumptions!$E$124,Assumptions!$D$167/12,0)</f>
        <v>125</v>
      </c>
      <c r="E97" s="37" t="n">
        <f aca="false">Assumptions!$D$166/12+IF(E$3&gt;=Assumptions!$E$124,Assumptions!$D$167/12,0)</f>
        <v>125</v>
      </c>
      <c r="F97" s="37" t="n">
        <f aca="false">Assumptions!$D$166/12+IF(F$3&gt;=Assumptions!$E$124,Assumptions!$D$167/12,0)</f>
        <v>125</v>
      </c>
      <c r="G97" s="37" t="n">
        <f aca="false">Assumptions!$D$166/12+IF(G$3&gt;=Assumptions!$E$124,Assumptions!$D$167/12,0)</f>
        <v>125</v>
      </c>
      <c r="H97" s="37" t="n">
        <f aca="false">Assumptions!$D$166/12+IF(H$3&gt;=Assumptions!$E$124,Assumptions!$D$167/12,0)</f>
        <v>458.333333333333</v>
      </c>
      <c r="I97" s="37" t="n">
        <f aca="false">Assumptions!$D$166/12+IF(I$3&gt;=Assumptions!$E$124,Assumptions!$D$167/12,0)</f>
        <v>458.333333333333</v>
      </c>
      <c r="J97" s="37" t="n">
        <f aca="false">Assumptions!$D$166/12+IF(J$3&gt;=Assumptions!$E$124,Assumptions!$D$167/12,0)</f>
        <v>458.333333333333</v>
      </c>
      <c r="K97" s="37" t="n">
        <f aca="false">Assumptions!$D$166/12+IF(K$3&gt;=Assumptions!$E$124,Assumptions!$D$167/12,0)</f>
        <v>458.333333333333</v>
      </c>
      <c r="L97" s="37" t="n">
        <f aca="false">Assumptions!$D$166/12+IF(L$3&gt;=Assumptions!$E$124,Assumptions!$D$167/12,0)</f>
        <v>458.333333333333</v>
      </c>
      <c r="M97" s="37" t="n">
        <f aca="false">Assumptions!$D$166/12+IF(M$3&gt;=Assumptions!$E$124,Assumptions!$D$167/12,0)</f>
        <v>458.333333333333</v>
      </c>
      <c r="N97" s="37" t="n">
        <f aca="false">Assumptions!$D$166/12+IF(N$3&gt;=Assumptions!$E$124,Assumptions!$D$167/12,0)</f>
        <v>458.333333333333</v>
      </c>
      <c r="O97" s="37" t="n">
        <f aca="false">Assumptions!$D$166/12+IF(O$3&gt;=Assumptions!$E$124,Assumptions!$D$167/12,0)</f>
        <v>458.333333333333</v>
      </c>
      <c r="P97" s="37" t="n">
        <f aca="false">Assumptions!$D$166/12+IF(P$3&gt;=Assumptions!$E$124,Assumptions!$D$167/12,0)</f>
        <v>458.333333333333</v>
      </c>
      <c r="Q97" s="37" t="n">
        <f aca="false">Assumptions!$D$166/12+IF(Q$3&gt;=Assumptions!$E$124,Assumptions!$D$167/12,0)</f>
        <v>458.333333333333</v>
      </c>
      <c r="R97" s="37" t="n">
        <f aca="false">Assumptions!$D$166/12+IF(R$3&gt;=Assumptions!$E$124,Assumptions!$D$167/12,0)</f>
        <v>458.333333333333</v>
      </c>
      <c r="S97" s="37" t="n">
        <f aca="false">Assumptions!$D$166/12+IF(S$3&gt;=Assumptions!$E$124,Assumptions!$D$167/12,0)</f>
        <v>458.333333333333</v>
      </c>
      <c r="T97" s="37" t="n">
        <f aca="false">Assumptions!$D$166/12+IF(T$3&gt;=Assumptions!$E$124,Assumptions!$D$167/12,0)</f>
        <v>458.333333333333</v>
      </c>
      <c r="U97" s="37" t="n">
        <f aca="false">Assumptions!$D$166/12+IF(U$3&gt;=Assumptions!$E$124,Assumptions!$D$167/12,0)</f>
        <v>458.333333333333</v>
      </c>
      <c r="V97" s="37" t="n">
        <f aca="false">Assumptions!$D$166/12+IF(V$3&gt;=Assumptions!$E$124,Assumptions!$D$167/12,0)</f>
        <v>458.333333333333</v>
      </c>
      <c r="W97" s="37" t="n">
        <f aca="false">Assumptions!$D$166/12+IF(W$3&gt;=Assumptions!$E$124,Assumptions!$D$167/12,0)</f>
        <v>458.333333333333</v>
      </c>
      <c r="X97" s="37" t="n">
        <f aca="false">Assumptions!$D$166/12+IF(X$3&gt;=Assumptions!$E$124,Assumptions!$D$167/12,0)</f>
        <v>458.333333333333</v>
      </c>
      <c r="Y97" s="37" t="n">
        <f aca="false">Assumptions!$D$166/12+IF(Y$3&gt;=Assumptions!$E$124,Assumptions!$D$167/12,0)</f>
        <v>458.333333333333</v>
      </c>
      <c r="Z97" s="37" t="n">
        <f aca="false">Assumptions!$D$166/12+IF(Z$3&gt;=Assumptions!$E$124,Assumptions!$D$167/12,0)</f>
        <v>458.333333333333</v>
      </c>
      <c r="AA97" s="37" t="n">
        <f aca="false">Assumptions!$D$166/12+IF(AA$3&gt;=Assumptions!$E$124,Assumptions!$D$167/12,0)</f>
        <v>458.333333333333</v>
      </c>
      <c r="AB97" s="37" t="n">
        <f aca="false">Assumptions!$D$166/12+IF(AB$3&gt;=Assumptions!$E$124,Assumptions!$D$167/12,0)</f>
        <v>458.333333333333</v>
      </c>
      <c r="AC97" s="37" t="n">
        <f aca="false">Assumptions!$D$166/12+IF(AC$3&gt;=Assumptions!$E$124,Assumptions!$D$167/12,0)</f>
        <v>458.333333333333</v>
      </c>
      <c r="AD97" s="37" t="n">
        <f aca="false">Assumptions!$D$166/12+IF(AD$3&gt;=Assumptions!$E$124,Assumptions!$D$167/12,0)</f>
        <v>458.333333333333</v>
      </c>
      <c r="AE97" s="37" t="n">
        <f aca="false">Assumptions!$D$166/12+IF(AE$3&gt;=Assumptions!$E$124,Assumptions!$D$167/12,0)</f>
        <v>458.333333333333</v>
      </c>
      <c r="AF97" s="37" t="n">
        <f aca="false">Assumptions!$D$166/12+IF(AF$3&gt;=Assumptions!$E$124,Assumptions!$D$167/12,0)</f>
        <v>458.333333333333</v>
      </c>
      <c r="AG97" s="37" t="n">
        <f aca="false">Assumptions!$D$166/12+IF(AG$3&gt;=Assumptions!$E$124,Assumptions!$D$167/12,0)</f>
        <v>458.333333333333</v>
      </c>
      <c r="AH97" s="37" t="n">
        <f aca="false">Assumptions!$D$166/12+IF(AH$3&gt;=Assumptions!$E$124,Assumptions!$D$167/12,0)</f>
        <v>458.333333333333</v>
      </c>
      <c r="AI97" s="37" t="n">
        <f aca="false">Assumptions!$D$166/12+IF(AI$3&gt;=Assumptions!$E$124,Assumptions!$D$167/12,0)</f>
        <v>458.333333333333</v>
      </c>
      <c r="AJ97" s="37" t="n">
        <f aca="false">Assumptions!$D$166/12+IF(AJ$3&gt;=Assumptions!$E$124,Assumptions!$D$167/12,0)</f>
        <v>458.333333333333</v>
      </c>
      <c r="AK97" s="37" t="n">
        <f aca="false">Assumptions!$D$166/12+IF(AK$3&gt;=Assumptions!$E$124,Assumptions!$D$167/12,0)</f>
        <v>458.333333333333</v>
      </c>
      <c r="AL97" s="37" t="n">
        <f aca="false">Assumptions!$D$166/12+IF(AL$3&gt;=Assumptions!$E$124,Assumptions!$D$167/12,0)</f>
        <v>458.333333333333</v>
      </c>
    </row>
    <row r="98" customFormat="false" ht="15" hidden="false" customHeight="false" outlineLevel="0" collapsed="false">
      <c r="A98" s="9" t="s">
        <v>641</v>
      </c>
      <c r="B98" s="2" t="s">
        <v>105</v>
      </c>
      <c r="C98" s="37" t="n">
        <f aca="false">C63*Assumptions!$D$168</f>
        <v>0</v>
      </c>
      <c r="D98" s="37" t="n">
        <f aca="false">D63*Assumptions!$D$168</f>
        <v>0</v>
      </c>
      <c r="E98" s="37" t="n">
        <f aca="false">E63*Assumptions!$D$168</f>
        <v>0</v>
      </c>
      <c r="F98" s="37" t="n">
        <f aca="false">F63*Assumptions!$D$168</f>
        <v>19.77375</v>
      </c>
      <c r="G98" s="37" t="n">
        <f aca="false">G63*Assumptions!$D$168</f>
        <v>67.836936875</v>
      </c>
      <c r="H98" s="37" t="n">
        <f aca="false">H63*Assumptions!$D$168</f>
        <v>162.238670796938</v>
      </c>
      <c r="I98" s="37" t="n">
        <f aca="false">I63*Assumptions!$D$168</f>
        <v>248.511137116606</v>
      </c>
      <c r="J98" s="37" t="n">
        <f aca="false">J63*Assumptions!$D$168</f>
        <v>345.309191941684</v>
      </c>
      <c r="K98" s="37" t="n">
        <f aca="false">K63*Assumptions!$D$168</f>
        <v>452.539743820194</v>
      </c>
      <c r="L98" s="37" t="n">
        <f aca="false">L63*Assumptions!$D$168</f>
        <v>650.360515955476</v>
      </c>
      <c r="M98" s="37" t="n">
        <f aca="false">M63*Assumptions!$D$168</f>
        <v>821.810513992886</v>
      </c>
      <c r="N98" s="37" t="n">
        <f aca="false">N63*Assumptions!$D$168</f>
        <v>1007.34176818176</v>
      </c>
      <c r="O98" s="37" t="n">
        <f aca="false">O63*Assumptions!$D$168</f>
        <v>1206.90865625632</v>
      </c>
      <c r="P98" s="37" t="n">
        <f aca="false">P63*Assumptions!$D$168</f>
        <v>1420.46787342214</v>
      </c>
      <c r="Q98" s="37" t="n">
        <f aca="false">Q63*Assumptions!$D$168</f>
        <v>1647.97840310462</v>
      </c>
      <c r="R98" s="37" t="n">
        <f aca="false">R63*Assumptions!$D$168</f>
        <v>1889.40148844521</v>
      </c>
      <c r="S98" s="37" t="n">
        <f aca="false">S63*Assumptions!$D$168</f>
        <v>2144.70060453142</v>
      </c>
      <c r="T98" s="37" t="n">
        <f aca="false">T63*Assumptions!$D$168</f>
        <v>2413.8414313474</v>
      </c>
      <c r="U98" s="37" t="n">
        <f aca="false">U63*Assumptions!$D$168</f>
        <v>2816.15322743146</v>
      </c>
      <c r="V98" s="37" t="n">
        <f aca="false">V63*Assumptions!$D$168</f>
        <v>3172.54952963785</v>
      </c>
      <c r="W98" s="37" t="n">
        <f aca="false">W63*Assumptions!$D$168</f>
        <v>3543.00610347033</v>
      </c>
      <c r="X98" s="37" t="n">
        <f aca="false">X63*Assumptions!$D$168</f>
        <v>3927.50084611271</v>
      </c>
      <c r="Y98" s="37" t="n">
        <f aca="false">Y63*Assumptions!$D$168</f>
        <v>4326.01376313811</v>
      </c>
      <c r="Z98" s="37" t="n">
        <f aca="false">Z63*Assumptions!$D$168</f>
        <v>4738.52694586687</v>
      </c>
      <c r="AA98" s="37" t="n">
        <f aca="false">AA63*Assumptions!$D$168</f>
        <v>5165.02454936169</v>
      </c>
      <c r="AB98" s="37" t="n">
        <f aca="false">AB63*Assumptions!$D$168</f>
        <v>5605.49277104857</v>
      </c>
      <c r="AC98" s="37" t="n">
        <f aca="false">AC63*Assumptions!$D$168</f>
        <v>6059.91982995292</v>
      </c>
      <c r="AD98" s="37" t="n">
        <f aca="false">AD63*Assumptions!$D$168</f>
        <v>6528.29594653978</v>
      </c>
      <c r="AE98" s="37" t="n">
        <f aca="false">AE63*Assumptions!$D$168</f>
        <v>7129.97472314801</v>
      </c>
      <c r="AF98" s="37" t="n">
        <f aca="false">AF63*Assumptions!$D$168</f>
        <v>7685.893850418</v>
      </c>
      <c r="AG98" s="37" t="n">
        <f aca="false">AG63*Assumptions!$D$168</f>
        <v>8256.05306418331</v>
      </c>
      <c r="AH98" s="37" t="n">
        <f aca="false">AH63*Assumptions!$D$168</f>
        <v>8839.66310495404</v>
      </c>
      <c r="AI98" s="37" t="n">
        <f aca="false">AI63*Assumptions!$D$168</f>
        <v>9433.97628950116</v>
      </c>
      <c r="AJ98" s="37" t="n">
        <f aca="false">AJ63*Assumptions!$D$168</f>
        <v>10039.0743611795</v>
      </c>
      <c r="AK98" s="37" t="n">
        <f aca="false">AK63*Assumptions!$D$168</f>
        <v>10655.0393248451</v>
      </c>
      <c r="AL98" s="37" t="n">
        <f aca="false">AL63*Assumptions!$D$168</f>
        <v>11281.953467129</v>
      </c>
    </row>
    <row r="99" customFormat="false" ht="15" hidden="false" customHeight="false" outlineLevel="0" collapsed="false">
      <c r="A99" s="9" t="s">
        <v>642</v>
      </c>
      <c r="B99" s="2" t="s">
        <v>105</v>
      </c>
      <c r="C99" s="37" t="n">
        <f aca="false">IF(C18&gt;0,(C24*Assumptions!$D$75*Assumptions!$E$151+C25*Assumptions!$D$76*Assumptions!$E$152)*12*Assumptions!$D$169,0)</f>
        <v>0</v>
      </c>
      <c r="D99" s="37" t="n">
        <f aca="false">IF(D18&gt;0,(D24*Assumptions!$D$75*Assumptions!$E$151+D25*Assumptions!$D$76*Assumptions!$E$152)*12*Assumptions!$D$169,0)</f>
        <v>0</v>
      </c>
      <c r="E99" s="37" t="n">
        <f aca="false">IF(E18&gt;0,(E24*Assumptions!$D$75*Assumptions!$E$151+E25*Assumptions!$D$76*Assumptions!$E$152)*12*Assumptions!$D$169,0)</f>
        <v>0</v>
      </c>
      <c r="F99" s="37" t="n">
        <f aca="false">IF(F18&gt;0,(F24*Assumptions!$D$75*Assumptions!$E$151+F25*Assumptions!$D$76*Assumptions!$E$152)*12*Assumptions!$D$169,0)</f>
        <v>0</v>
      </c>
      <c r="G99" s="37" t="n">
        <f aca="false">IF(G18&gt;0,(G24*Assumptions!$D$75*Assumptions!$E$151+G25*Assumptions!$D$76*Assumptions!$E$152)*12*Assumptions!$D$169,0)</f>
        <v>0</v>
      </c>
      <c r="H99" s="37" t="n">
        <f aca="false">IF(H18&gt;0,(H24*Assumptions!$D$75*Assumptions!$E$151+H25*Assumptions!$D$76*Assumptions!$E$152)*12*Assumptions!$D$169,0)</f>
        <v>0</v>
      </c>
      <c r="I99" s="37" t="n">
        <f aca="false">IF(I18&gt;0,(I24*Assumptions!$D$75*Assumptions!$E$151+I25*Assumptions!$D$76*Assumptions!$E$152)*12*Assumptions!$D$169,0)</f>
        <v>0</v>
      </c>
      <c r="J99" s="37" t="n">
        <f aca="false">IF(J18&gt;0,(J24*Assumptions!$D$75*Assumptions!$E$151+J25*Assumptions!$D$76*Assumptions!$E$152)*12*Assumptions!$D$169,0)</f>
        <v>0</v>
      </c>
      <c r="K99" s="37" t="n">
        <f aca="false">IF(K18&gt;0,(K24*Assumptions!$D$75*Assumptions!$E$151+K25*Assumptions!$D$76*Assumptions!$E$152)*12*Assumptions!$D$169,0)</f>
        <v>0</v>
      </c>
      <c r="L99" s="37" t="n">
        <f aca="false">IF(L18&gt;0,(L24*Assumptions!$D$75*Assumptions!$E$151+L25*Assumptions!$D$76*Assumptions!$E$152)*12*Assumptions!$D$169,0)</f>
        <v>0</v>
      </c>
      <c r="M99" s="37" t="n">
        <f aca="false">IF(M18&gt;0,(M24*Assumptions!$D$75*Assumptions!$E$151+M25*Assumptions!$D$76*Assumptions!$E$152)*12*Assumptions!$D$169,0)</f>
        <v>0</v>
      </c>
      <c r="N99" s="37" t="n">
        <f aca="false">IF(N18&gt;0,(N24*Assumptions!$D$75*Assumptions!$E$151+N25*Assumptions!$D$76*Assumptions!$E$152)*12*Assumptions!$D$169,0)</f>
        <v>0</v>
      </c>
      <c r="O99" s="37" t="n">
        <f aca="false">IF(O18&gt;0,(O24*Assumptions!$D$75*Assumptions!$E$151+O25*Assumptions!$D$76*Assumptions!$E$152)*12*Assumptions!$D$169,0)</f>
        <v>0</v>
      </c>
      <c r="P99" s="37" t="n">
        <f aca="false">IF(P18&gt;0,(P24*Assumptions!$D$75*Assumptions!$E$151+P25*Assumptions!$D$76*Assumptions!$E$152)*12*Assumptions!$D$169,0)</f>
        <v>0</v>
      </c>
      <c r="Q99" s="37" t="n">
        <f aca="false">IF(Q18&gt;0,(Q24*Assumptions!$D$75*Assumptions!$E$151+Q25*Assumptions!$D$76*Assumptions!$E$152)*12*Assumptions!$D$169,0)</f>
        <v>0</v>
      </c>
      <c r="R99" s="37" t="n">
        <f aca="false">IF(R18&gt;0,(R24*Assumptions!$D$75*Assumptions!$E$151+R25*Assumptions!$D$76*Assumptions!$E$152)*12*Assumptions!$D$169,0)</f>
        <v>2634.288</v>
      </c>
      <c r="S99" s="37" t="n">
        <f aca="false">IF(S18&gt;0,(S24*Assumptions!$D$75*Assumptions!$E$151+S25*Assumptions!$D$76*Assumptions!$E$152)*12*Assumptions!$D$169,0)</f>
        <v>2798.931</v>
      </c>
      <c r="T99" s="37" t="n">
        <f aca="false">IF(T18&gt;0,(T24*Assumptions!$D$75*Assumptions!$E$151+T25*Assumptions!$D$76*Assumptions!$E$152)*12*Assumptions!$D$169,0)</f>
        <v>2963.574</v>
      </c>
      <c r="U99" s="37" t="n">
        <f aca="false">IF(U18&gt;0,(U24*Assumptions!$D$75*Assumptions!$E$151+U25*Assumptions!$D$76*Assumptions!$E$152)*12*Assumptions!$D$169,0)</f>
        <v>4339.761</v>
      </c>
      <c r="V99" s="37" t="n">
        <f aca="false">IF(V18&gt;0,(V24*Assumptions!$D$75*Assumptions!$E$151+V25*Assumptions!$D$76*Assumptions!$E$152)*12*Assumptions!$D$169,0)</f>
        <v>4504.404</v>
      </c>
      <c r="W99" s="37" t="n">
        <f aca="false">IF(W18&gt;0,(W24*Assumptions!$D$75*Assumptions!$E$151+W25*Assumptions!$D$76*Assumptions!$E$152)*12*Assumptions!$D$169,0)</f>
        <v>4669.047</v>
      </c>
      <c r="X99" s="37" t="n">
        <f aca="false">IF(X18&gt;0,(X24*Assumptions!$D$75*Assumptions!$E$151+X25*Assumptions!$D$76*Assumptions!$E$152)*12*Assumptions!$D$169,0)</f>
        <v>4833.69</v>
      </c>
      <c r="Y99" s="37" t="n">
        <f aca="false">IF(Y18&gt;0,(Y24*Assumptions!$D$75*Assumptions!$E$151+Y25*Assumptions!$D$76*Assumptions!$E$152)*12*Assumptions!$D$169,0)</f>
        <v>4998.333</v>
      </c>
      <c r="Z99" s="37" t="n">
        <f aca="false">IF(Z18&gt;0,(Z24*Assumptions!$D$75*Assumptions!$E$151+Z25*Assumptions!$D$76*Assumptions!$E$152)*12*Assumptions!$D$169,0)</f>
        <v>5162.976</v>
      </c>
      <c r="AA99" s="37" t="n">
        <f aca="false">IF(AA18&gt;0,(AA24*Assumptions!$D$75*Assumptions!$E$151+AA25*Assumptions!$D$76*Assumptions!$E$152)*12*Assumptions!$D$169,0)</f>
        <v>5327.619</v>
      </c>
      <c r="AB99" s="37" t="n">
        <f aca="false">IF(AB18&gt;0,(AB24*Assumptions!$D$75*Assumptions!$E$151+AB25*Assumptions!$D$76*Assumptions!$E$152)*12*Assumptions!$D$169,0)</f>
        <v>5492.262</v>
      </c>
      <c r="AC99" s="37" t="n">
        <f aca="false">IF(AC18&gt;0,(AC24*Assumptions!$D$75*Assumptions!$E$151+AC25*Assumptions!$D$76*Assumptions!$E$152)*12*Assumptions!$D$169,0)</f>
        <v>5656.905</v>
      </c>
      <c r="AD99" s="37" t="n">
        <f aca="false">IF(AD18&gt;0,(AD24*Assumptions!$D$75*Assumptions!$E$151+AD25*Assumptions!$D$76*Assumptions!$E$152)*12*Assumptions!$D$169,0)</f>
        <v>5821.548</v>
      </c>
      <c r="AE99" s="37" t="n">
        <f aca="false">IF(AE18&gt;0,(AE24*Assumptions!$D$75*Assumptions!$E$151+AE25*Assumptions!$D$76*Assumptions!$E$152)*12*Assumptions!$D$169,0)</f>
        <v>7197.735</v>
      </c>
      <c r="AF99" s="37" t="n">
        <f aca="false">IF(AF18&gt;0,(AF24*Assumptions!$D$75*Assumptions!$E$151+AF25*Assumptions!$D$76*Assumptions!$E$152)*12*Assumptions!$D$169,0)</f>
        <v>7362.378</v>
      </c>
      <c r="AG99" s="37" t="n">
        <f aca="false">IF(AG18&gt;0,(AG24*Assumptions!$D$75*Assumptions!$E$151+AG25*Assumptions!$D$76*Assumptions!$E$152)*12*Assumptions!$D$169,0)</f>
        <v>7527.021</v>
      </c>
      <c r="AH99" s="37" t="n">
        <f aca="false">IF(AH18&gt;0,(AH24*Assumptions!$D$75*Assumptions!$E$151+AH25*Assumptions!$D$76*Assumptions!$E$152)*12*Assumptions!$D$169,0)</f>
        <v>7691.664</v>
      </c>
      <c r="AI99" s="37" t="n">
        <f aca="false">IF(AI18&gt;0,(AI24*Assumptions!$D$75*Assumptions!$E$151+AI25*Assumptions!$D$76*Assumptions!$E$152)*12*Assumptions!$D$169,0)</f>
        <v>7856.307</v>
      </c>
      <c r="AJ99" s="37" t="n">
        <f aca="false">IF(AJ18&gt;0,(AJ24*Assumptions!$D$75*Assumptions!$E$151+AJ25*Assumptions!$D$76*Assumptions!$E$152)*12*Assumptions!$D$169,0)</f>
        <v>8020.95</v>
      </c>
      <c r="AK99" s="37" t="n">
        <f aca="false">IF(AK18&gt;0,(AK24*Assumptions!$D$75*Assumptions!$E$151+AK25*Assumptions!$D$76*Assumptions!$E$152)*12*Assumptions!$D$169,0)</f>
        <v>8185.593</v>
      </c>
      <c r="AL99" s="37" t="n">
        <f aca="false">IF(AL18&gt;0,(AL24*Assumptions!$D$75*Assumptions!$E$151+AL25*Assumptions!$D$76*Assumptions!$E$152)*12*Assumptions!$D$169,0)</f>
        <v>8350.236</v>
      </c>
    </row>
    <row r="100" customFormat="false" ht="15" hidden="false" customHeight="false" outlineLevel="0" collapsed="false">
      <c r="A100" s="9" t="s">
        <v>643</v>
      </c>
      <c r="B100" s="2" t="s">
        <v>105</v>
      </c>
      <c r="C100" s="37" t="n">
        <f aca="false">Assumptions!$D$170+Assumptions!$D$171*C17</f>
        <v>440</v>
      </c>
      <c r="D100" s="37" t="n">
        <f aca="false">Assumptions!$D$170+Assumptions!$D$171*D17</f>
        <v>440</v>
      </c>
      <c r="E100" s="37" t="n">
        <f aca="false">Assumptions!$D$170+Assumptions!$D$171*E17</f>
        <v>440</v>
      </c>
      <c r="F100" s="37" t="n">
        <f aca="false">Assumptions!$D$170+Assumptions!$D$171*F17</f>
        <v>440</v>
      </c>
      <c r="G100" s="37" t="n">
        <f aca="false">Assumptions!$D$170+Assumptions!$D$171*G17</f>
        <v>440</v>
      </c>
      <c r="H100" s="37" t="n">
        <f aca="false">Assumptions!$D$170+Assumptions!$D$171*H17</f>
        <v>440</v>
      </c>
      <c r="I100" s="37" t="n">
        <f aca="false">Assumptions!$D$170+Assumptions!$D$171*I17</f>
        <v>440</v>
      </c>
      <c r="J100" s="37" t="n">
        <f aca="false">Assumptions!$D$170+Assumptions!$D$171*J17</f>
        <v>440</v>
      </c>
      <c r="K100" s="37" t="n">
        <f aca="false">Assumptions!$D$170+Assumptions!$D$171*K17</f>
        <v>480</v>
      </c>
      <c r="L100" s="37" t="n">
        <f aca="false">Assumptions!$D$170+Assumptions!$D$171*L17</f>
        <v>480</v>
      </c>
      <c r="M100" s="37" t="n">
        <f aca="false">Assumptions!$D$170+Assumptions!$D$171*M17</f>
        <v>480</v>
      </c>
      <c r="N100" s="37" t="n">
        <f aca="false">Assumptions!$D$170+Assumptions!$D$171*N17</f>
        <v>480</v>
      </c>
      <c r="O100" s="37" t="n">
        <f aca="false">Assumptions!$D$170+Assumptions!$D$171*O17</f>
        <v>520</v>
      </c>
      <c r="P100" s="37" t="n">
        <f aca="false">Assumptions!$D$170+Assumptions!$D$171*P17</f>
        <v>520</v>
      </c>
      <c r="Q100" s="37" t="n">
        <f aca="false">Assumptions!$D$170+Assumptions!$D$171*Q17</f>
        <v>520</v>
      </c>
      <c r="R100" s="37" t="n">
        <f aca="false">Assumptions!$D$170+Assumptions!$D$171*R17</f>
        <v>560</v>
      </c>
      <c r="S100" s="37" t="n">
        <f aca="false">Assumptions!$D$170+Assumptions!$D$171*S17</f>
        <v>560</v>
      </c>
      <c r="T100" s="37" t="n">
        <f aca="false">Assumptions!$D$170+Assumptions!$D$171*T17</f>
        <v>560</v>
      </c>
      <c r="U100" s="37" t="n">
        <f aca="false">Assumptions!$D$170+Assumptions!$D$171*U17</f>
        <v>560</v>
      </c>
      <c r="V100" s="37" t="n">
        <f aca="false">Assumptions!$D$170+Assumptions!$D$171*V17</f>
        <v>560</v>
      </c>
      <c r="W100" s="37" t="n">
        <f aca="false">Assumptions!$D$170+Assumptions!$D$171*W17</f>
        <v>600</v>
      </c>
      <c r="X100" s="37" t="n">
        <f aca="false">Assumptions!$D$170+Assumptions!$D$171*X17</f>
        <v>600</v>
      </c>
      <c r="Y100" s="37" t="n">
        <f aca="false">Assumptions!$D$170+Assumptions!$D$171*Y17</f>
        <v>640</v>
      </c>
      <c r="Z100" s="37" t="n">
        <f aca="false">Assumptions!$D$170+Assumptions!$D$171*Z17</f>
        <v>680</v>
      </c>
      <c r="AA100" s="37" t="n">
        <f aca="false">Assumptions!$D$170+Assumptions!$D$171*AA17</f>
        <v>680</v>
      </c>
      <c r="AB100" s="37" t="n">
        <f aca="false">Assumptions!$D$170+Assumptions!$D$171*AB17</f>
        <v>720</v>
      </c>
      <c r="AC100" s="37" t="n">
        <f aca="false">Assumptions!$D$170+Assumptions!$D$171*AC17</f>
        <v>720</v>
      </c>
      <c r="AD100" s="37" t="n">
        <f aca="false">Assumptions!$D$170+Assumptions!$D$171*AD17</f>
        <v>720</v>
      </c>
      <c r="AE100" s="37" t="n">
        <f aca="false">Assumptions!$D$170+Assumptions!$D$171*AE17</f>
        <v>720</v>
      </c>
      <c r="AF100" s="37" t="n">
        <f aca="false">Assumptions!$D$170+Assumptions!$D$171*AF17</f>
        <v>720</v>
      </c>
      <c r="AG100" s="37" t="n">
        <f aca="false">Assumptions!$D$170+Assumptions!$D$171*AG17</f>
        <v>760</v>
      </c>
      <c r="AH100" s="37" t="n">
        <f aca="false">Assumptions!$D$170+Assumptions!$D$171*AH17</f>
        <v>760</v>
      </c>
      <c r="AI100" s="37" t="n">
        <f aca="false">Assumptions!$D$170+Assumptions!$D$171*AI17</f>
        <v>760</v>
      </c>
      <c r="AJ100" s="37" t="n">
        <f aca="false">Assumptions!$D$170+Assumptions!$D$171*AJ17</f>
        <v>800</v>
      </c>
      <c r="AK100" s="37" t="n">
        <f aca="false">Assumptions!$D$170+Assumptions!$D$171*AK17</f>
        <v>800</v>
      </c>
      <c r="AL100" s="37" t="n">
        <f aca="false">Assumptions!$D$170+Assumptions!$D$171*AL17</f>
        <v>800</v>
      </c>
    </row>
    <row r="101" customFormat="false" ht="15" hidden="false" customHeight="false" outlineLevel="0" collapsed="false">
      <c r="A101" s="9" t="s">
        <v>644</v>
      </c>
      <c r="B101" s="2" t="s">
        <v>105</v>
      </c>
      <c r="C101" s="37" t="n">
        <f aca="false">IF(C$3&lt;Assumptions!$E$157,0,IF(C$3&lt;Assumptions!$E$157+12,Assumptions!$D$177/12,Assumptions!$D$178/12))</f>
        <v>0</v>
      </c>
      <c r="D101" s="37" t="n">
        <f aca="false">IF(D$3&lt;Assumptions!$E$157,0,IF(D$3&lt;Assumptions!$E$157+12,Assumptions!$D$177/12,Assumptions!$D$178/12))</f>
        <v>0</v>
      </c>
      <c r="E101" s="37" t="n">
        <f aca="false">IF(E$3&lt;Assumptions!$E$157,0,IF(E$3&lt;Assumptions!$E$157+12,Assumptions!$D$177/12,Assumptions!$D$178/12))</f>
        <v>0</v>
      </c>
      <c r="F101" s="37" t="n">
        <f aca="false">IF(F$3&lt;Assumptions!$E$157,0,IF(F$3&lt;Assumptions!$E$157+12,Assumptions!$D$177/12,Assumptions!$D$178/12))</f>
        <v>0</v>
      </c>
      <c r="G101" s="37" t="n">
        <f aca="false">IF(G$3&lt;Assumptions!$E$157,0,IF(G$3&lt;Assumptions!$E$157+12,Assumptions!$D$177/12,Assumptions!$D$178/12))</f>
        <v>0</v>
      </c>
      <c r="H101" s="37" t="n">
        <f aca="false">IF(H$3&lt;Assumptions!$E$157,0,IF(H$3&lt;Assumptions!$E$157+12,Assumptions!$D$177/12,Assumptions!$D$178/12))</f>
        <v>0</v>
      </c>
      <c r="I101" s="37" t="n">
        <f aca="false">IF(I$3&lt;Assumptions!$E$157,0,IF(I$3&lt;Assumptions!$E$157+12,Assumptions!$D$177/12,Assumptions!$D$178/12))</f>
        <v>0</v>
      </c>
      <c r="J101" s="37" t="n">
        <f aca="false">IF(J$3&lt;Assumptions!$E$157,0,IF(J$3&lt;Assumptions!$E$157+12,Assumptions!$D$177/12,Assumptions!$D$178/12))</f>
        <v>1666.66666666667</v>
      </c>
      <c r="K101" s="37" t="n">
        <f aca="false">IF(K$3&lt;Assumptions!$E$157,0,IF(K$3&lt;Assumptions!$E$157+12,Assumptions!$D$177/12,Assumptions!$D$178/12))</f>
        <v>1666.66666666667</v>
      </c>
      <c r="L101" s="37" t="n">
        <f aca="false">IF(L$3&lt;Assumptions!$E$157,0,IF(L$3&lt;Assumptions!$E$157+12,Assumptions!$D$177/12,Assumptions!$D$178/12))</f>
        <v>1666.66666666667</v>
      </c>
      <c r="M101" s="37" t="n">
        <f aca="false">IF(M$3&lt;Assumptions!$E$157,0,IF(M$3&lt;Assumptions!$E$157+12,Assumptions!$D$177/12,Assumptions!$D$178/12))</f>
        <v>1666.66666666667</v>
      </c>
      <c r="N101" s="37" t="n">
        <f aca="false">IF(N$3&lt;Assumptions!$E$157,0,IF(N$3&lt;Assumptions!$E$157+12,Assumptions!$D$177/12,Assumptions!$D$178/12))</f>
        <v>1666.66666666667</v>
      </c>
      <c r="O101" s="37" t="n">
        <f aca="false">IF(O$3&lt;Assumptions!$E$157,0,IF(O$3&lt;Assumptions!$E$157+12,Assumptions!$D$177/12,Assumptions!$D$178/12))</f>
        <v>1666.66666666667</v>
      </c>
      <c r="P101" s="37" t="n">
        <f aca="false">IF(P$3&lt;Assumptions!$E$157,0,IF(P$3&lt;Assumptions!$E$157+12,Assumptions!$D$177/12,Assumptions!$D$178/12))</f>
        <v>1666.66666666667</v>
      </c>
      <c r="Q101" s="37" t="n">
        <f aca="false">IF(Q$3&lt;Assumptions!$E$157,0,IF(Q$3&lt;Assumptions!$E$157+12,Assumptions!$D$177/12,Assumptions!$D$178/12))</f>
        <v>1666.66666666667</v>
      </c>
      <c r="R101" s="37" t="n">
        <f aca="false">IF(R$3&lt;Assumptions!$E$157,0,IF(R$3&lt;Assumptions!$E$157+12,Assumptions!$D$177/12,Assumptions!$D$178/12))</f>
        <v>1666.66666666667</v>
      </c>
      <c r="S101" s="37" t="n">
        <f aca="false">IF(S$3&lt;Assumptions!$E$157,0,IF(S$3&lt;Assumptions!$E$157+12,Assumptions!$D$177/12,Assumptions!$D$178/12))</f>
        <v>1666.66666666667</v>
      </c>
      <c r="T101" s="37" t="n">
        <f aca="false">IF(T$3&lt;Assumptions!$E$157,0,IF(T$3&lt;Assumptions!$E$157+12,Assumptions!$D$177/12,Assumptions!$D$178/12))</f>
        <v>1666.66666666667</v>
      </c>
      <c r="U101" s="37" t="n">
        <f aca="false">IF(U$3&lt;Assumptions!$E$157,0,IF(U$3&lt;Assumptions!$E$157+12,Assumptions!$D$177/12,Assumptions!$D$178/12))</f>
        <v>1666.66666666667</v>
      </c>
      <c r="V101" s="37" t="n">
        <f aca="false">IF(V$3&lt;Assumptions!$E$157,0,IF(V$3&lt;Assumptions!$E$157+12,Assumptions!$D$177/12,Assumptions!$D$178/12))</f>
        <v>833.333333333333</v>
      </c>
      <c r="W101" s="37" t="n">
        <f aca="false">IF(W$3&lt;Assumptions!$E$157,0,IF(W$3&lt;Assumptions!$E$157+12,Assumptions!$D$177/12,Assumptions!$D$178/12))</f>
        <v>833.333333333333</v>
      </c>
      <c r="X101" s="37" t="n">
        <f aca="false">IF(X$3&lt;Assumptions!$E$157,0,IF(X$3&lt;Assumptions!$E$157+12,Assumptions!$D$177/12,Assumptions!$D$178/12))</f>
        <v>833.333333333333</v>
      </c>
      <c r="Y101" s="37" t="n">
        <f aca="false">IF(Y$3&lt;Assumptions!$E$157,0,IF(Y$3&lt;Assumptions!$E$157+12,Assumptions!$D$177/12,Assumptions!$D$178/12))</f>
        <v>833.333333333333</v>
      </c>
      <c r="Z101" s="37" t="n">
        <f aca="false">IF(Z$3&lt;Assumptions!$E$157,0,IF(Z$3&lt;Assumptions!$E$157+12,Assumptions!$D$177/12,Assumptions!$D$178/12))</f>
        <v>833.333333333333</v>
      </c>
      <c r="AA101" s="37" t="n">
        <f aca="false">IF(AA$3&lt;Assumptions!$E$157,0,IF(AA$3&lt;Assumptions!$E$157+12,Assumptions!$D$177/12,Assumptions!$D$178/12))</f>
        <v>833.333333333333</v>
      </c>
      <c r="AB101" s="37" t="n">
        <f aca="false">IF(AB$3&lt;Assumptions!$E$157,0,IF(AB$3&lt;Assumptions!$E$157+12,Assumptions!$D$177/12,Assumptions!$D$178/12))</f>
        <v>833.333333333333</v>
      </c>
      <c r="AC101" s="37" t="n">
        <f aca="false">IF(AC$3&lt;Assumptions!$E$157,0,IF(AC$3&lt;Assumptions!$E$157+12,Assumptions!$D$177/12,Assumptions!$D$178/12))</f>
        <v>833.333333333333</v>
      </c>
      <c r="AD101" s="37" t="n">
        <f aca="false">IF(AD$3&lt;Assumptions!$E$157,0,IF(AD$3&lt;Assumptions!$E$157+12,Assumptions!$D$177/12,Assumptions!$D$178/12))</f>
        <v>833.333333333333</v>
      </c>
      <c r="AE101" s="37" t="n">
        <f aca="false">IF(AE$3&lt;Assumptions!$E$157,0,IF(AE$3&lt;Assumptions!$E$157+12,Assumptions!$D$177/12,Assumptions!$D$178/12))</f>
        <v>833.333333333333</v>
      </c>
      <c r="AF101" s="37" t="n">
        <f aca="false">IF(AF$3&lt;Assumptions!$E$157,0,IF(AF$3&lt;Assumptions!$E$157+12,Assumptions!$D$177/12,Assumptions!$D$178/12))</f>
        <v>833.333333333333</v>
      </c>
      <c r="AG101" s="37" t="n">
        <f aca="false">IF(AG$3&lt;Assumptions!$E$157,0,IF(AG$3&lt;Assumptions!$E$157+12,Assumptions!$D$177/12,Assumptions!$D$178/12))</f>
        <v>833.333333333333</v>
      </c>
      <c r="AH101" s="37" t="n">
        <f aca="false">IF(AH$3&lt;Assumptions!$E$157,0,IF(AH$3&lt;Assumptions!$E$157+12,Assumptions!$D$177/12,Assumptions!$D$178/12))</f>
        <v>833.333333333333</v>
      </c>
      <c r="AI101" s="37" t="n">
        <f aca="false">IF(AI$3&lt;Assumptions!$E$157,0,IF(AI$3&lt;Assumptions!$E$157+12,Assumptions!$D$177/12,Assumptions!$D$178/12))</f>
        <v>833.333333333333</v>
      </c>
      <c r="AJ101" s="37" t="n">
        <f aca="false">IF(AJ$3&lt;Assumptions!$E$157,0,IF(AJ$3&lt;Assumptions!$E$157+12,Assumptions!$D$177/12,Assumptions!$D$178/12))</f>
        <v>833.333333333333</v>
      </c>
      <c r="AK101" s="37" t="n">
        <f aca="false">IF(AK$3&lt;Assumptions!$E$157,0,IF(AK$3&lt;Assumptions!$E$157+12,Assumptions!$D$177/12,Assumptions!$D$178/12))</f>
        <v>833.333333333333</v>
      </c>
      <c r="AL101" s="37" t="n">
        <f aca="false">IF(AL$3&lt;Assumptions!$E$157,0,IF(AL$3&lt;Assumptions!$E$157+12,Assumptions!$D$177/12,Assumptions!$D$178/12))</f>
        <v>833.333333333333</v>
      </c>
    </row>
    <row r="102" customFormat="false" ht="15" hidden="false" customHeight="false" outlineLevel="0" collapsed="false">
      <c r="A102" s="9" t="s">
        <v>645</v>
      </c>
      <c r="B102" s="2" t="s">
        <v>105</v>
      </c>
      <c r="C102" s="37" t="n">
        <f aca="false">Assumptions!$D$179/12</f>
        <v>333.333333333333</v>
      </c>
      <c r="D102" s="37" t="n">
        <f aca="false">Assumptions!$D$179/12</f>
        <v>333.333333333333</v>
      </c>
      <c r="E102" s="37" t="n">
        <f aca="false">Assumptions!$D$179/12</f>
        <v>333.333333333333</v>
      </c>
      <c r="F102" s="37" t="n">
        <f aca="false">Assumptions!$D$179/12</f>
        <v>333.333333333333</v>
      </c>
      <c r="G102" s="37" t="n">
        <f aca="false">Assumptions!$D$179/12</f>
        <v>333.333333333333</v>
      </c>
      <c r="H102" s="37" t="n">
        <f aca="false">Assumptions!$D$179/12</f>
        <v>333.333333333333</v>
      </c>
      <c r="I102" s="37" t="n">
        <f aca="false">Assumptions!$D$179/12</f>
        <v>333.333333333333</v>
      </c>
      <c r="J102" s="37" t="n">
        <f aca="false">Assumptions!$D$179/12</f>
        <v>333.333333333333</v>
      </c>
      <c r="K102" s="37" t="n">
        <f aca="false">Assumptions!$D$179/12</f>
        <v>333.333333333333</v>
      </c>
      <c r="L102" s="37" t="n">
        <f aca="false">Assumptions!$D$179/12</f>
        <v>333.333333333333</v>
      </c>
      <c r="M102" s="37" t="n">
        <f aca="false">Assumptions!$D$179/12</f>
        <v>333.333333333333</v>
      </c>
      <c r="N102" s="37" t="n">
        <f aca="false">Assumptions!$D$179/12</f>
        <v>333.333333333333</v>
      </c>
      <c r="O102" s="37" t="n">
        <f aca="false">Assumptions!$D$179/12</f>
        <v>333.333333333333</v>
      </c>
      <c r="P102" s="37" t="n">
        <f aca="false">Assumptions!$D$179/12</f>
        <v>333.333333333333</v>
      </c>
      <c r="Q102" s="37" t="n">
        <f aca="false">Assumptions!$D$179/12</f>
        <v>333.333333333333</v>
      </c>
      <c r="R102" s="37" t="n">
        <f aca="false">Assumptions!$D$179/12</f>
        <v>333.333333333333</v>
      </c>
      <c r="S102" s="37" t="n">
        <f aca="false">Assumptions!$D$179/12</f>
        <v>333.333333333333</v>
      </c>
      <c r="T102" s="37" t="n">
        <f aca="false">Assumptions!$D$179/12</f>
        <v>333.333333333333</v>
      </c>
      <c r="U102" s="37" t="n">
        <f aca="false">Assumptions!$D$179/12</f>
        <v>333.333333333333</v>
      </c>
      <c r="V102" s="37" t="n">
        <f aca="false">Assumptions!$D$179/12</f>
        <v>333.333333333333</v>
      </c>
      <c r="W102" s="37" t="n">
        <f aca="false">Assumptions!$D$179/12</f>
        <v>333.333333333333</v>
      </c>
      <c r="X102" s="37" t="n">
        <f aca="false">Assumptions!$D$179/12</f>
        <v>333.333333333333</v>
      </c>
      <c r="Y102" s="37" t="n">
        <f aca="false">Assumptions!$D$179/12</f>
        <v>333.333333333333</v>
      </c>
      <c r="Z102" s="37" t="n">
        <f aca="false">Assumptions!$D$179/12</f>
        <v>333.333333333333</v>
      </c>
      <c r="AA102" s="37" t="n">
        <f aca="false">Assumptions!$D$179/12</f>
        <v>333.333333333333</v>
      </c>
      <c r="AB102" s="37" t="n">
        <f aca="false">Assumptions!$D$179/12</f>
        <v>333.333333333333</v>
      </c>
      <c r="AC102" s="37" t="n">
        <f aca="false">Assumptions!$D$179/12</f>
        <v>333.333333333333</v>
      </c>
      <c r="AD102" s="37" t="n">
        <f aca="false">Assumptions!$D$179/12</f>
        <v>333.333333333333</v>
      </c>
      <c r="AE102" s="37" t="n">
        <f aca="false">Assumptions!$D$179/12</f>
        <v>333.333333333333</v>
      </c>
      <c r="AF102" s="37" t="n">
        <f aca="false">Assumptions!$D$179/12</f>
        <v>333.333333333333</v>
      </c>
      <c r="AG102" s="37" t="n">
        <f aca="false">Assumptions!$D$179/12</f>
        <v>333.333333333333</v>
      </c>
      <c r="AH102" s="37" t="n">
        <f aca="false">Assumptions!$D$179/12</f>
        <v>333.333333333333</v>
      </c>
      <c r="AI102" s="37" t="n">
        <f aca="false">Assumptions!$D$179/12</f>
        <v>333.333333333333</v>
      </c>
      <c r="AJ102" s="37" t="n">
        <f aca="false">Assumptions!$D$179/12</f>
        <v>333.333333333333</v>
      </c>
      <c r="AK102" s="37" t="n">
        <f aca="false">Assumptions!$D$179/12</f>
        <v>333.333333333333</v>
      </c>
      <c r="AL102" s="37" t="n">
        <f aca="false">Assumptions!$D$179/12</f>
        <v>333.333333333333</v>
      </c>
    </row>
    <row r="103" customFormat="false" ht="15" hidden="false" customHeight="false" outlineLevel="0" collapsed="false">
      <c r="A103" s="9" t="s">
        <v>428</v>
      </c>
      <c r="B103" s="2" t="s">
        <v>105</v>
      </c>
      <c r="C103" s="37" t="n">
        <f aca="false">Assumptions!$D$180+IF(C$3=1,Assumptions!$D$181,0)</f>
        <v>5400</v>
      </c>
      <c r="D103" s="37" t="n">
        <f aca="false">Assumptions!$D$180+IF(D$3=1,Assumptions!$D$181,0)</f>
        <v>400</v>
      </c>
      <c r="E103" s="37" t="n">
        <f aca="false">Assumptions!$D$180+IF(E$3=1,Assumptions!$D$181,0)</f>
        <v>400</v>
      </c>
      <c r="F103" s="37" t="n">
        <f aca="false">Assumptions!$D$180+IF(F$3=1,Assumptions!$D$181,0)</f>
        <v>400</v>
      </c>
      <c r="G103" s="37" t="n">
        <f aca="false">Assumptions!$D$180+IF(G$3=1,Assumptions!$D$181,0)</f>
        <v>400</v>
      </c>
      <c r="H103" s="37" t="n">
        <f aca="false">Assumptions!$D$180+IF(H$3=1,Assumptions!$D$181,0)</f>
        <v>400</v>
      </c>
      <c r="I103" s="37" t="n">
        <f aca="false">Assumptions!$D$180+IF(I$3=1,Assumptions!$D$181,0)</f>
        <v>400</v>
      </c>
      <c r="J103" s="37" t="n">
        <f aca="false">Assumptions!$D$180+IF(J$3=1,Assumptions!$D$181,0)</f>
        <v>400</v>
      </c>
      <c r="K103" s="37" t="n">
        <f aca="false">Assumptions!$D$180+IF(K$3=1,Assumptions!$D$181,0)</f>
        <v>400</v>
      </c>
      <c r="L103" s="37" t="n">
        <f aca="false">Assumptions!$D$180+IF(L$3=1,Assumptions!$D$181,0)</f>
        <v>400</v>
      </c>
      <c r="M103" s="37" t="n">
        <f aca="false">Assumptions!$D$180+IF(M$3=1,Assumptions!$D$181,0)</f>
        <v>400</v>
      </c>
      <c r="N103" s="37" t="n">
        <f aca="false">Assumptions!$D$180+IF(N$3=1,Assumptions!$D$181,0)</f>
        <v>400</v>
      </c>
      <c r="O103" s="37" t="n">
        <f aca="false">Assumptions!$D$180+IF(O$3=1,Assumptions!$D$181,0)</f>
        <v>400</v>
      </c>
      <c r="P103" s="37" t="n">
        <f aca="false">Assumptions!$D$180+IF(P$3=1,Assumptions!$D$181,0)</f>
        <v>400</v>
      </c>
      <c r="Q103" s="37" t="n">
        <f aca="false">Assumptions!$D$180+IF(Q$3=1,Assumptions!$D$181,0)</f>
        <v>400</v>
      </c>
      <c r="R103" s="37" t="n">
        <f aca="false">Assumptions!$D$180+IF(R$3=1,Assumptions!$D$181,0)</f>
        <v>400</v>
      </c>
      <c r="S103" s="37" t="n">
        <f aca="false">Assumptions!$D$180+IF(S$3=1,Assumptions!$D$181,0)</f>
        <v>400</v>
      </c>
      <c r="T103" s="37" t="n">
        <f aca="false">Assumptions!$D$180+IF(T$3=1,Assumptions!$D$181,0)</f>
        <v>400</v>
      </c>
      <c r="U103" s="37" t="n">
        <f aca="false">Assumptions!$D$180+IF(U$3=1,Assumptions!$D$181,0)</f>
        <v>400</v>
      </c>
      <c r="V103" s="37" t="n">
        <f aca="false">Assumptions!$D$180+IF(V$3=1,Assumptions!$D$181,0)</f>
        <v>400</v>
      </c>
      <c r="W103" s="37" t="n">
        <f aca="false">Assumptions!$D$180+IF(W$3=1,Assumptions!$D$181,0)</f>
        <v>400</v>
      </c>
      <c r="X103" s="37" t="n">
        <f aca="false">Assumptions!$D$180+IF(X$3=1,Assumptions!$D$181,0)</f>
        <v>400</v>
      </c>
      <c r="Y103" s="37" t="n">
        <f aca="false">Assumptions!$D$180+IF(Y$3=1,Assumptions!$D$181,0)</f>
        <v>400</v>
      </c>
      <c r="Z103" s="37" t="n">
        <f aca="false">Assumptions!$D$180+IF(Z$3=1,Assumptions!$D$181,0)</f>
        <v>400</v>
      </c>
      <c r="AA103" s="37" t="n">
        <f aca="false">Assumptions!$D$180+IF(AA$3=1,Assumptions!$D$181,0)</f>
        <v>400</v>
      </c>
      <c r="AB103" s="37" t="n">
        <f aca="false">Assumptions!$D$180+IF(AB$3=1,Assumptions!$D$181,0)</f>
        <v>400</v>
      </c>
      <c r="AC103" s="37" t="n">
        <f aca="false">Assumptions!$D$180+IF(AC$3=1,Assumptions!$D$181,0)</f>
        <v>400</v>
      </c>
      <c r="AD103" s="37" t="n">
        <f aca="false">Assumptions!$D$180+IF(AD$3=1,Assumptions!$D$181,0)</f>
        <v>400</v>
      </c>
      <c r="AE103" s="37" t="n">
        <f aca="false">Assumptions!$D$180+IF(AE$3=1,Assumptions!$D$181,0)</f>
        <v>400</v>
      </c>
      <c r="AF103" s="37" t="n">
        <f aca="false">Assumptions!$D$180+IF(AF$3=1,Assumptions!$D$181,0)</f>
        <v>400</v>
      </c>
      <c r="AG103" s="37" t="n">
        <f aca="false">Assumptions!$D$180+IF(AG$3=1,Assumptions!$D$181,0)</f>
        <v>400</v>
      </c>
      <c r="AH103" s="37" t="n">
        <f aca="false">Assumptions!$D$180+IF(AH$3=1,Assumptions!$D$181,0)</f>
        <v>400</v>
      </c>
      <c r="AI103" s="37" t="n">
        <f aca="false">Assumptions!$D$180+IF(AI$3=1,Assumptions!$D$181,0)</f>
        <v>400</v>
      </c>
      <c r="AJ103" s="37" t="n">
        <f aca="false">Assumptions!$D$180+IF(AJ$3=1,Assumptions!$D$181,0)</f>
        <v>400</v>
      </c>
      <c r="AK103" s="37" t="n">
        <f aca="false">Assumptions!$D$180+IF(AK$3=1,Assumptions!$D$181,0)</f>
        <v>400</v>
      </c>
      <c r="AL103" s="37" t="n">
        <f aca="false">Assumptions!$D$180+IF(AL$3=1,Assumptions!$D$181,0)</f>
        <v>400</v>
      </c>
    </row>
    <row r="104" customFormat="false" ht="15" hidden="false" customHeight="false" outlineLevel="0" collapsed="false">
      <c r="A104" s="3" t="s">
        <v>646</v>
      </c>
      <c r="B104" s="2" t="s">
        <v>105</v>
      </c>
      <c r="C104" s="46" t="n">
        <f aca="false">SUM(C83:C103)</f>
        <v>13548.3333333333</v>
      </c>
      <c r="D104" s="46" t="n">
        <f aca="false">SUM(D83:D103)</f>
        <v>8548.33333333333</v>
      </c>
      <c r="E104" s="46" t="n">
        <f aca="false">SUM(E83:E103)</f>
        <v>8548.33333333333</v>
      </c>
      <c r="F104" s="46" t="n">
        <f aca="false">SUM(F83:F103)</f>
        <v>8568.10708333333</v>
      </c>
      <c r="G104" s="46" t="n">
        <f aca="false">SUM(G83:G103)</f>
        <v>8616.17027020833</v>
      </c>
      <c r="H104" s="46" t="n">
        <f aca="false">SUM(H83:H103)</f>
        <v>9043.9053374636</v>
      </c>
      <c r="I104" s="46" t="n">
        <f aca="false">SUM(I83:I103)</f>
        <v>9130.17780378327</v>
      </c>
      <c r="J104" s="46" t="n">
        <f aca="false">SUM(J83:J103)</f>
        <v>10893.642525275</v>
      </c>
      <c r="K104" s="46" t="n">
        <f aca="false">SUM(K83:K103)</f>
        <v>14240.8730771535</v>
      </c>
      <c r="L104" s="46" t="n">
        <f aca="false">SUM(L83:L103)</f>
        <v>14438.6938492888</v>
      </c>
      <c r="M104" s="46" t="n">
        <f aca="false">SUM(M83:M103)</f>
        <v>14610.1438473262</v>
      </c>
      <c r="N104" s="46" t="n">
        <f aca="false">SUM(N83:N103)</f>
        <v>14795.6751015151</v>
      </c>
      <c r="O104" s="46" t="n">
        <f aca="false">SUM(O83:O103)</f>
        <v>34285.2419895896</v>
      </c>
      <c r="P104" s="46" t="n">
        <f aca="false">SUM(P83:P103)</f>
        <v>21748.8012067555</v>
      </c>
      <c r="Q104" s="46" t="n">
        <f aca="false">SUM(Q83:Q103)</f>
        <v>21976.311736438</v>
      </c>
      <c r="R104" s="46" t="n">
        <f aca="false">SUM(R83:R103)</f>
        <v>39892.0228217785</v>
      </c>
      <c r="S104" s="46" t="n">
        <f aca="false">SUM(S83:S103)</f>
        <v>31311.9649378648</v>
      </c>
      <c r="T104" s="46" t="n">
        <f aca="false">SUM(T83:T103)</f>
        <v>31745.7487646807</v>
      </c>
      <c r="U104" s="46" t="n">
        <f aca="false">SUM(U83:U103)</f>
        <v>33524.2475607648</v>
      </c>
      <c r="V104" s="46" t="n">
        <f aca="false">SUM(V83:V103)</f>
        <v>33211.9535296378</v>
      </c>
      <c r="W104" s="46" t="n">
        <f aca="false">SUM(W83:W103)</f>
        <v>58037.0531034703</v>
      </c>
      <c r="X104" s="46" t="n">
        <f aca="false">SUM(X83:X103)</f>
        <v>45836.1908461127</v>
      </c>
      <c r="Y104" s="46" t="n">
        <f aca="false">SUM(Y83:Y103)</f>
        <v>58939.3467631381</v>
      </c>
      <c r="Z104" s="46" t="n">
        <f aca="false">SUM(Z83:Z103)</f>
        <v>55556.5029458669</v>
      </c>
      <c r="AA104" s="46" t="n">
        <f aca="false">SUM(AA83:AA103)</f>
        <v>56147.6435493617</v>
      </c>
      <c r="AB104" s="46" t="n">
        <f aca="false">SUM(AB83:AB103)</f>
        <v>71792.7547710486</v>
      </c>
      <c r="AC104" s="46" t="n">
        <f aca="false">SUM(AC83:AC103)</f>
        <v>63411.8248299529</v>
      </c>
      <c r="AD104" s="46" t="n">
        <f aca="false">SUM(AD83:AD103)</f>
        <v>64044.8439465398</v>
      </c>
      <c r="AE104" s="46" t="n">
        <f aca="false">SUM(AE83:AE103)</f>
        <v>66022.709723148</v>
      </c>
      <c r="AF104" s="46" t="n">
        <f aca="false">SUM(AF83:AF103)</f>
        <v>66743.271850418</v>
      </c>
      <c r="AG104" s="46" t="n">
        <f aca="false">SUM(AG83:AG103)</f>
        <v>90018.0740641833</v>
      </c>
      <c r="AH104" s="46" t="n">
        <f aca="false">SUM(AH83:AH103)</f>
        <v>77266.327104954</v>
      </c>
      <c r="AI104" s="46" t="n">
        <f aca="false">SUM(AI83:AI103)</f>
        <v>78025.2832895012</v>
      </c>
      <c r="AJ104" s="46" t="n">
        <f aca="false">SUM(AJ83:AJ103)</f>
        <v>82335.0243611795</v>
      </c>
      <c r="AK104" s="46" t="n">
        <f aca="false">SUM(AK83:AK103)</f>
        <v>83115.6323248451</v>
      </c>
      <c r="AL104" s="46" t="n">
        <f aca="false">SUM(AL83:AL103)</f>
        <v>83907.189467129</v>
      </c>
    </row>
    <row r="105" customFormat="false" ht="15" hidden="false" customHeight="false" outlineLevel="0" collapsed="false">
      <c r="A105" s="9" t="s">
        <v>647</v>
      </c>
      <c r="B105" s="2" t="s">
        <v>105</v>
      </c>
      <c r="C105" s="37" t="n">
        <f aca="false">C85+C88+C92+C95</f>
        <v>2000</v>
      </c>
      <c r="D105" s="37" t="n">
        <f aca="false">D85+D88+D92+D95</f>
        <v>2000</v>
      </c>
      <c r="E105" s="37" t="n">
        <f aca="false">E85+E88+E92+E95</f>
        <v>2000</v>
      </c>
      <c r="F105" s="37" t="n">
        <f aca="false">F85+F88+F92+F95</f>
        <v>2000</v>
      </c>
      <c r="G105" s="37" t="n">
        <f aca="false">G85+G88+G92+G95</f>
        <v>2000</v>
      </c>
      <c r="H105" s="37" t="n">
        <f aca="false">H85+H88+H92+H95</f>
        <v>2000</v>
      </c>
      <c r="I105" s="37" t="n">
        <f aca="false">I85+I88+I92+I95</f>
        <v>2000</v>
      </c>
      <c r="J105" s="37" t="n">
        <f aca="false">J85+J88+J92+J95</f>
        <v>2000</v>
      </c>
      <c r="K105" s="37" t="n">
        <f aca="false">K85+K88+K92+K95</f>
        <v>2000</v>
      </c>
      <c r="L105" s="37" t="n">
        <f aca="false">L85+L88+L92+L95</f>
        <v>2000</v>
      </c>
      <c r="M105" s="37" t="n">
        <f aca="false">M85+M88+M92+M95</f>
        <v>2000</v>
      </c>
      <c r="N105" s="37" t="n">
        <f aca="false">N85+N88+N92+N95</f>
        <v>2000</v>
      </c>
      <c r="O105" s="37" t="n">
        <f aca="false">O85+O88+O92+O95</f>
        <v>8500</v>
      </c>
      <c r="P105" s="37" t="n">
        <f aca="false">P85+P88+P92+P95</f>
        <v>8500</v>
      </c>
      <c r="Q105" s="37" t="n">
        <f aca="false">Q85+Q88+Q92+Q95</f>
        <v>8500</v>
      </c>
      <c r="R105" s="37" t="n">
        <f aca="false">R85+R88+R92+R95</f>
        <v>8500</v>
      </c>
      <c r="S105" s="37" t="n">
        <f aca="false">S85+S88+S92+S95</f>
        <v>8500</v>
      </c>
      <c r="T105" s="37" t="n">
        <f aca="false">T85+T88+T92+T95</f>
        <v>8500</v>
      </c>
      <c r="U105" s="37" t="n">
        <f aca="false">U85+U88+U92+U95</f>
        <v>8500</v>
      </c>
      <c r="V105" s="37" t="n">
        <f aca="false">V85+V88+V92+V95</f>
        <v>8500</v>
      </c>
      <c r="W105" s="37" t="n">
        <f aca="false">W85+W88+W92+W95</f>
        <v>17000</v>
      </c>
      <c r="X105" s="37" t="n">
        <f aca="false">X85+X88+X92+X95</f>
        <v>17000</v>
      </c>
      <c r="Y105" s="37" t="n">
        <f aca="false">Y85+Y88+Y92+Y95</f>
        <v>17000</v>
      </c>
      <c r="Z105" s="37" t="n">
        <f aca="false">Z85+Z88+Z92+Z95</f>
        <v>17000</v>
      </c>
      <c r="AA105" s="37" t="n">
        <f aca="false">AA85+AA88+AA92+AA95</f>
        <v>17000</v>
      </c>
      <c r="AB105" s="37" t="n">
        <f aca="false">AB85+AB88+AB92+AB95</f>
        <v>17000</v>
      </c>
      <c r="AC105" s="37" t="n">
        <f aca="false">AC85+AC88+AC92+AC95</f>
        <v>17000</v>
      </c>
      <c r="AD105" s="37" t="n">
        <f aca="false">AD85+AD88+AD92+AD95</f>
        <v>17000</v>
      </c>
      <c r="AE105" s="37" t="n">
        <f aca="false">AE85+AE88+AE92+AE95</f>
        <v>17000</v>
      </c>
      <c r="AF105" s="37" t="n">
        <f aca="false">AF85+AF88+AF92+AF95</f>
        <v>17000</v>
      </c>
      <c r="AG105" s="37" t="n">
        <f aca="false">AG85+AG88+AG92+AG95</f>
        <v>26000</v>
      </c>
      <c r="AH105" s="37" t="n">
        <f aca="false">AH85+AH88+AH92+AH95</f>
        <v>26000</v>
      </c>
      <c r="AI105" s="37" t="n">
        <f aca="false">AI85+AI88+AI92+AI95</f>
        <v>26000</v>
      </c>
      <c r="AJ105" s="37" t="n">
        <f aca="false">AJ85+AJ88+AJ92+AJ95</f>
        <v>26000</v>
      </c>
      <c r="AK105" s="37" t="n">
        <f aca="false">AK85+AK88+AK92+AK95</f>
        <v>26000</v>
      </c>
      <c r="AL105" s="37" t="n">
        <f aca="false">AL85+AL88+AL92+AL95</f>
        <v>26000</v>
      </c>
    </row>
    <row r="106" customFormat="false" ht="15" hidden="false" customHeight="false" outlineLevel="0" collapsed="false">
      <c r="A106" s="9" t="s">
        <v>648</v>
      </c>
      <c r="B106" s="2" t="s">
        <v>105</v>
      </c>
      <c r="C106" s="37" t="n">
        <f aca="false">C86+C91+C90+C96+C97+C98+C99</f>
        <v>2375</v>
      </c>
      <c r="D106" s="37" t="n">
        <f aca="false">D86+D91+D90+D96+D97+D98+D99</f>
        <v>2375</v>
      </c>
      <c r="E106" s="37" t="n">
        <f aca="false">E86+E91+E90+E96+E97+E98+E99</f>
        <v>2375</v>
      </c>
      <c r="F106" s="37" t="n">
        <f aca="false">F86+F91+F90+F96+F97+F98+F99</f>
        <v>2394.77375</v>
      </c>
      <c r="G106" s="37" t="n">
        <f aca="false">G86+G91+G90+G96+G97+G98+G99</f>
        <v>2442.836936875</v>
      </c>
      <c r="H106" s="37" t="n">
        <f aca="false">H86+H91+H90+H96+H97+H98+H99</f>
        <v>2870.57200413027</v>
      </c>
      <c r="I106" s="37" t="n">
        <f aca="false">I86+I91+I90+I96+I97+I98+I99</f>
        <v>2956.84447044994</v>
      </c>
      <c r="J106" s="37" t="n">
        <f aca="false">J86+J91+J90+J96+J97+J98+J99</f>
        <v>3053.64252527502</v>
      </c>
      <c r="K106" s="37" t="n">
        <f aca="false">K86+K91+K90+K96+K97+K98+K99</f>
        <v>3160.87307715353</v>
      </c>
      <c r="L106" s="37" t="n">
        <f aca="false">L86+L91+L90+L96+L97+L98+L99</f>
        <v>3358.69384928881</v>
      </c>
      <c r="M106" s="37" t="n">
        <f aca="false">M86+M91+M90+M96+M97+M98+M99</f>
        <v>3530.14384732622</v>
      </c>
      <c r="N106" s="37" t="n">
        <f aca="false">N86+N91+N90+N96+N97+N98+N99</f>
        <v>3715.6751015151</v>
      </c>
      <c r="O106" s="37" t="n">
        <f aca="false">O86+O91+O90+O96+O97+O98+O99</f>
        <v>3915.24198958965</v>
      </c>
      <c r="P106" s="37" t="n">
        <f aca="false">P86+P91+P90+P96+P97+P98+P99</f>
        <v>4128.80120675547</v>
      </c>
      <c r="Q106" s="37" t="n">
        <f aca="false">Q86+Q91+Q90+Q96+Q97+Q98+Q99</f>
        <v>4356.31173643796</v>
      </c>
      <c r="R106" s="37" t="n">
        <f aca="false">R86+R91+R90+R96+R97+R98+R99</f>
        <v>13232.0228217785</v>
      </c>
      <c r="S106" s="37" t="n">
        <f aca="false">S86+S91+S90+S96+S97+S98+S99</f>
        <v>13651.9649378648</v>
      </c>
      <c r="T106" s="37" t="n">
        <f aca="false">T86+T91+T90+T96+T97+T98+T99</f>
        <v>14085.7487646807</v>
      </c>
      <c r="U106" s="37" t="n">
        <f aca="false">U86+U91+U90+U96+U97+U98+U99</f>
        <v>15864.2475607648</v>
      </c>
      <c r="V106" s="37" t="n">
        <f aca="false">V86+V91+V90+V96+V97+V98+V99</f>
        <v>16385.2868629712</v>
      </c>
      <c r="W106" s="37" t="n">
        <f aca="false">W86+W91+W90+W96+W97+W98+W99</f>
        <v>16920.3864368037</v>
      </c>
      <c r="X106" s="37" t="n">
        <f aca="false">X86+X91+X90+X96+X97+X98+X99</f>
        <v>17469.524179446</v>
      </c>
      <c r="Y106" s="37" t="n">
        <f aca="false">Y86+Y91+Y90+Y96+Y97+Y98+Y99</f>
        <v>23032.6800964714</v>
      </c>
      <c r="Z106" s="37" t="n">
        <f aca="false">Z86+Z91+Z90+Z96+Z97+Z98+Z99</f>
        <v>23609.8362792002</v>
      </c>
      <c r="AA106" s="37" t="n">
        <f aca="false">AA86+AA91+AA90+AA96+AA97+AA98+AA99</f>
        <v>24200.976882695</v>
      </c>
      <c r="AB106" s="37" t="n">
        <f aca="false">AB86+AB91+AB90+AB96+AB97+AB98+AB99</f>
        <v>30806.0881043819</v>
      </c>
      <c r="AC106" s="37" t="n">
        <f aca="false">AC86+AC91+AC90+AC96+AC97+AC98+AC99</f>
        <v>31425.1581632863</v>
      </c>
      <c r="AD106" s="37" t="n">
        <f aca="false">AD86+AD91+AD90+AD96+AD97+AD98+AD99</f>
        <v>32058.1772798731</v>
      </c>
      <c r="AE106" s="37" t="n">
        <f aca="false">AE86+AE91+AE90+AE96+AE97+AE98+AE99</f>
        <v>34036.0430564813</v>
      </c>
      <c r="AF106" s="37" t="n">
        <f aca="false">AF86+AF91+AF90+AF96+AF97+AF98+AF99</f>
        <v>34756.6051837513</v>
      </c>
      <c r="AG106" s="37" t="n">
        <f aca="false">AG86+AG91+AG90+AG96+AG97+AG98+AG99</f>
        <v>35491.4073975166</v>
      </c>
      <c r="AH106" s="37" t="n">
        <f aca="false">AH86+AH91+AH90+AH96+AH97+AH98+AH99</f>
        <v>36239.6604382874</v>
      </c>
      <c r="AI106" s="37" t="n">
        <f aca="false">AI86+AI91+AI90+AI96+AI97+AI98+AI99</f>
        <v>36998.6166228345</v>
      </c>
      <c r="AJ106" s="37" t="n">
        <f aca="false">AJ86+AJ91+AJ90+AJ96+AJ97+AJ98+AJ99</f>
        <v>37768.3576945128</v>
      </c>
      <c r="AK106" s="37" t="n">
        <f aca="false">AK86+AK91+AK90+AK96+AK97+AK98+AK99</f>
        <v>38548.9656581784</v>
      </c>
      <c r="AL106" s="37" t="n">
        <f aca="false">AL86+AL91+AL90+AL96+AL97+AL98+AL99</f>
        <v>39340.5228004623</v>
      </c>
    </row>
    <row r="107" customFormat="false" ht="15" hidden="false" customHeight="false" outlineLevel="0" collapsed="false">
      <c r="A107" s="9" t="s">
        <v>649</v>
      </c>
      <c r="B107" s="2" t="s">
        <v>105</v>
      </c>
      <c r="C107" s="37" t="n">
        <f aca="false">C84+C89+C93</f>
        <v>0</v>
      </c>
      <c r="D107" s="37" t="n">
        <f aca="false">D84+D89+D93</f>
        <v>0</v>
      </c>
      <c r="E107" s="37" t="n">
        <f aca="false">E84+E89+E93</f>
        <v>0</v>
      </c>
      <c r="F107" s="37" t="n">
        <f aca="false">F84+F89+F93</f>
        <v>0</v>
      </c>
      <c r="G107" s="37" t="n">
        <f aca="false">G84+G89+G93</f>
        <v>0</v>
      </c>
      <c r="H107" s="37" t="n">
        <f aca="false">H84+H89+H93</f>
        <v>0</v>
      </c>
      <c r="I107" s="37" t="n">
        <f aca="false">I84+I89+I93</f>
        <v>0</v>
      </c>
      <c r="J107" s="37" t="n">
        <f aca="false">J84+J89+J93</f>
        <v>0</v>
      </c>
      <c r="K107" s="37" t="n">
        <f aca="false">K84+K89+K93</f>
        <v>3200</v>
      </c>
      <c r="L107" s="37" t="n">
        <f aca="false">L84+L89+L93</f>
        <v>3200</v>
      </c>
      <c r="M107" s="37" t="n">
        <f aca="false">M84+M89+M93</f>
        <v>3200</v>
      </c>
      <c r="N107" s="37" t="n">
        <f aca="false">N84+N89+N93</f>
        <v>3200</v>
      </c>
      <c r="O107" s="37" t="n">
        <f aca="false">O84+O89+O93</f>
        <v>3200</v>
      </c>
      <c r="P107" s="37" t="n">
        <f aca="false">P84+P89+P93</f>
        <v>3200</v>
      </c>
      <c r="Q107" s="37" t="n">
        <f aca="false">Q84+Q89+Q93</f>
        <v>3200</v>
      </c>
      <c r="R107" s="37" t="n">
        <f aca="false">R84+R89+R93</f>
        <v>3200</v>
      </c>
      <c r="S107" s="37" t="n">
        <f aca="false">S84+S89+S93</f>
        <v>3200</v>
      </c>
      <c r="T107" s="37" t="n">
        <f aca="false">T84+T89+T93</f>
        <v>3200</v>
      </c>
      <c r="U107" s="37" t="n">
        <f aca="false">U84+U89+U93</f>
        <v>3200</v>
      </c>
      <c r="V107" s="37" t="n">
        <f aca="false">V84+V89+V93</f>
        <v>3200</v>
      </c>
      <c r="W107" s="37" t="n">
        <f aca="false">W84+W89+W93</f>
        <v>3200</v>
      </c>
      <c r="X107" s="37" t="n">
        <f aca="false">X84+X89+X93</f>
        <v>3200</v>
      </c>
      <c r="Y107" s="37" t="n">
        <f aca="false">Y84+Y89+Y93</f>
        <v>3200</v>
      </c>
      <c r="Z107" s="37" t="n">
        <f aca="false">Z84+Z89+Z93</f>
        <v>6700</v>
      </c>
      <c r="AA107" s="37" t="n">
        <f aca="false">AA84+AA89+AA93</f>
        <v>6700</v>
      </c>
      <c r="AB107" s="37" t="n">
        <f aca="false">AB84+AB89+AB93</f>
        <v>6700</v>
      </c>
      <c r="AC107" s="37" t="n">
        <f aca="false">AC84+AC89+AC93</f>
        <v>6700</v>
      </c>
      <c r="AD107" s="37" t="n">
        <f aca="false">AD84+AD89+AD93</f>
        <v>6700</v>
      </c>
      <c r="AE107" s="37" t="n">
        <f aca="false">AE84+AE89+AE93</f>
        <v>6700</v>
      </c>
      <c r="AF107" s="37" t="n">
        <f aca="false">AF84+AF89+AF93</f>
        <v>6700</v>
      </c>
      <c r="AG107" s="37" t="n">
        <f aca="false">AG84+AG89+AG93</f>
        <v>6700</v>
      </c>
      <c r="AH107" s="37" t="n">
        <f aca="false">AH84+AH89+AH93</f>
        <v>6700</v>
      </c>
      <c r="AI107" s="37" t="n">
        <f aca="false">AI84+AI89+AI93</f>
        <v>6700</v>
      </c>
      <c r="AJ107" s="37" t="n">
        <f aca="false">AJ84+AJ89+AJ93</f>
        <v>10200</v>
      </c>
      <c r="AK107" s="37" t="n">
        <f aca="false">AK84+AK89+AK93</f>
        <v>10200</v>
      </c>
      <c r="AL107" s="37" t="n">
        <f aca="false">AL84+AL89+AL93</f>
        <v>10200</v>
      </c>
    </row>
    <row r="108" customFormat="false" ht="1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ustomFormat="false" ht="15" hidden="false" customHeight="false" outlineLevel="0" collapsed="false">
      <c r="A109" s="5" t="s">
        <v>650</v>
      </c>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row>
    <row r="110" customFormat="false" ht="15" hidden="false" customHeight="false" outlineLevel="0" collapsed="false">
      <c r="A110" s="9" t="s">
        <v>651</v>
      </c>
      <c r="B110" s="2" t="s">
        <v>105</v>
      </c>
      <c r="C110" s="37" t="n">
        <f aca="false">C79-C96-C97-C98-C99</f>
        <v>-2675</v>
      </c>
      <c r="D110" s="37" t="n">
        <f aca="false">D79-D96-D97-D98-D99</f>
        <v>-2675</v>
      </c>
      <c r="E110" s="37" t="n">
        <f aca="false">E79-E96-E97-E98-E99</f>
        <v>-2675</v>
      </c>
      <c r="F110" s="37" t="n">
        <f aca="false">F79-F96-F97-F98-F99</f>
        <v>-2458.98781883333</v>
      </c>
      <c r="G110" s="37" t="n">
        <f aca="false">G79-G96-G97-G98-G99</f>
        <v>-1829.00128051917</v>
      </c>
      <c r="H110" s="37" t="n">
        <f aca="false">H79-H96-H97-H98-H99</f>
        <v>-859.699992898361</v>
      </c>
      <c r="I110" s="37" t="n">
        <f aca="false">I79-I96-I97-I98-I99</f>
        <v>306.00341732351</v>
      </c>
      <c r="J110" s="37" t="n">
        <f aca="false">J79-J96-J97-J98-J99</f>
        <v>-4046.46088193484</v>
      </c>
      <c r="K110" s="37" t="n">
        <f aca="false">K79-K96-K97-K98-K99</f>
        <v>3069.56547381077</v>
      </c>
      <c r="L110" s="37" t="n">
        <f aca="false">L79-L96-L97-L98-L99</f>
        <v>5897.76153569328</v>
      </c>
      <c r="M110" s="37" t="n">
        <f aca="false">M79-M96-M97-M98-M99</f>
        <v>8279.13079976493</v>
      </c>
      <c r="N110" s="37" t="n">
        <f aca="false">N79-N96-N97-N98-N99</f>
        <v>10860.8726350383</v>
      </c>
      <c r="O110" s="37" t="n">
        <f aca="false">O79-O96-O97-O98-O99</f>
        <v>13643.0231689233</v>
      </c>
      <c r="P110" s="37" t="n">
        <f aca="false">P79-P96-P97-P98-P99</f>
        <v>16625.6450980316</v>
      </c>
      <c r="Q110" s="37" t="n">
        <f aca="false">Q79-Q96-Q97-Q98-Q99</f>
        <v>19808.8275047932</v>
      </c>
      <c r="R110" s="37" t="n">
        <f aca="false">R79-R96-R97-R98-R99</f>
        <v>20558.3976798187</v>
      </c>
      <c r="S110" s="37" t="n">
        <f aca="false">S79-S96-S97-S98-S99</f>
        <v>23978.4299499363</v>
      </c>
      <c r="T110" s="37" t="n">
        <f aca="false">T79-T96-T97-T98-T99</f>
        <v>27599.4465118396</v>
      </c>
      <c r="U110" s="37" t="n">
        <f aca="false">U79-U96-U97-U98-U99</f>
        <v>31998.6866935741</v>
      </c>
      <c r="V110" s="37" t="n">
        <f aca="false">V79-V96-V97-V98-V99</f>
        <v>33489.8728234252</v>
      </c>
      <c r="W110" s="37" t="n">
        <f aca="false">W79-W96-W97-W98-W99</f>
        <v>41985.0624061335</v>
      </c>
      <c r="X110" s="37" t="n">
        <f aca="false">X79-X96-X97-X98-X99</f>
        <v>47292.0828051373</v>
      </c>
      <c r="Y110" s="37" t="n">
        <f aca="false">Y79-Y96-Y97-Y98-Y99</f>
        <v>52808.7871093632</v>
      </c>
      <c r="Z110" s="37" t="n">
        <f aca="false">Z79-Z96-Z97-Z98-Z99</f>
        <v>58535.5540053236</v>
      </c>
      <c r="AA110" s="37" t="n">
        <f aca="false">AA79-AA96-AA97-AA98-AA99</f>
        <v>64472.7876544621</v>
      </c>
      <c r="AB110" s="37" t="n">
        <f aca="false">AB79-AB96-AB97-AB98-AB99</f>
        <v>70620.9175756942</v>
      </c>
      <c r="AC110" s="37" t="n">
        <f aca="false">AC79-AC96-AC97-AC98-AC99</f>
        <v>76980.3985330875</v>
      </c>
      <c r="AD110" s="37" t="n">
        <f aca="false">AD79-AD96-AD97-AD98-AD99</f>
        <v>83551.7104286286</v>
      </c>
      <c r="AE110" s="37" t="n">
        <f aca="false">AE79-AE96-AE97-AE98-AE99</f>
        <v>90912.40462232</v>
      </c>
      <c r="AF110" s="37" t="n">
        <f aca="false">AF79-AF96-AF97-AF98-AF99</f>
        <v>98774.0148591824</v>
      </c>
      <c r="AG110" s="37" t="n">
        <f aca="false">AG79-AG96-AG97-AG98-AG99</f>
        <v>106856.409503101</v>
      </c>
      <c r="AH110" s="37" t="n">
        <f aca="false">AH79-AH96-AH97-AH98-AH99</f>
        <v>111754.085788982</v>
      </c>
      <c r="AI110" s="37" t="n">
        <f aca="false">AI79-AI96-AI97-AI98-AI99</f>
        <v>123628.423547784</v>
      </c>
      <c r="AJ110" s="37" t="n">
        <f aca="false">AJ79-AJ96-AJ97-AJ98-AJ99</f>
        <v>132282.420257004</v>
      </c>
      <c r="AK110" s="37" t="n">
        <f aca="false">AK79-AK96-AK97-AK98-AK99</f>
        <v>141115.205022305</v>
      </c>
      <c r="AL110" s="37" t="n">
        <f aca="false">AL79-AL96-AL97-AL98-AL99</f>
        <v>150128.413876189</v>
      </c>
    </row>
    <row r="111" customFormat="false" ht="15" hidden="false" customHeight="false" outlineLevel="0" collapsed="false">
      <c r="A111" s="9" t="s">
        <v>652</v>
      </c>
      <c r="B111" s="2" t="s">
        <v>165</v>
      </c>
      <c r="C111" s="32" t="n">
        <f aca="false">IF(C63=0,0,C110/C63)</f>
        <v>0</v>
      </c>
      <c r="D111" s="32" t="n">
        <f aca="false">IF(D63=0,0,D110/D63)</f>
        <v>0</v>
      </c>
      <c r="E111" s="32" t="n">
        <f aca="false">IF(E63=0,0,E110/E63)</f>
        <v>0</v>
      </c>
      <c r="F111" s="32" t="n">
        <f aca="false">IF(F63=0,0,F110/F63)</f>
        <v>-6.21780850580525</v>
      </c>
      <c r="G111" s="32" t="n">
        <f aca="false">IF(G63=0,0,G110/G63)</f>
        <v>-1.34808657699962</v>
      </c>
      <c r="H111" s="32" t="n">
        <f aca="false">IF(H63=0,0,H110/H63)</f>
        <v>-0.264949160602525</v>
      </c>
      <c r="I111" s="32" t="n">
        <f aca="false">IF(I63=0,0,I110/I63)</f>
        <v>0.0615673448027255</v>
      </c>
      <c r="J111" s="32" t="n">
        <f aca="false">IF(J63=0,0,J110/J63)</f>
        <v>-0.585918500921083</v>
      </c>
      <c r="K111" s="32" t="n">
        <f aca="false">IF(K63=0,0,K110/K63)</f>
        <v>0.339148717403082</v>
      </c>
      <c r="L111" s="32" t="n">
        <f aca="false">IF(L63=0,0,L110/L63)</f>
        <v>0.453422478071919</v>
      </c>
      <c r="M111" s="32" t="n">
        <f aca="false">IF(M63=0,0,M110/M63)</f>
        <v>0.503712878990776</v>
      </c>
      <c r="N111" s="32" t="n">
        <f aca="false">IF(N63=0,0,N110/N63)</f>
        <v>0.539085788860022</v>
      </c>
      <c r="O111" s="32" t="n">
        <f aca="false">IF(O63=0,0,O110/O63)</f>
        <v>0.565205291146156</v>
      </c>
      <c r="P111" s="32" t="n">
        <f aca="false">IF(P63=0,0,P110/P63)</f>
        <v>0.585217216422422</v>
      </c>
      <c r="Q111" s="32" t="n">
        <f aca="false">IF(Q63=0,0,Q110/Q63)</f>
        <v>0.601003856223947</v>
      </c>
      <c r="R111" s="32" t="n">
        <f aca="false">IF(R63=0,0,R110/R63)</f>
        <v>0.544045238810951</v>
      </c>
      <c r="S111" s="32" t="n">
        <f aca="false">IF(S63=0,0,S110/S63)</f>
        <v>0.559015787548005</v>
      </c>
      <c r="T111" s="32" t="n">
        <f aca="false">IF(T63=0,0,T110/T63)</f>
        <v>0.571691374450261</v>
      </c>
      <c r="U111" s="32" t="n">
        <f aca="false">IF(U63=0,0,U110/U63)</f>
        <v>0.568127585919025</v>
      </c>
      <c r="V111" s="32" t="n">
        <f aca="false">IF(V63=0,0,V110/V63)</f>
        <v>0.527806934305736</v>
      </c>
      <c r="W111" s="32" t="n">
        <f aca="false">IF(W63=0,0,W110/W63)</f>
        <v>0.592506210545469</v>
      </c>
      <c r="X111" s="32" t="n">
        <f aca="false">IF(X63=0,0,X110/X63)</f>
        <v>0.602063305116091</v>
      </c>
      <c r="Y111" s="32" t="n">
        <f aca="false">IF(Y63=0,0,Y110/Y63)</f>
        <v>0.610363142615796</v>
      </c>
      <c r="Z111" s="32" t="n">
        <f aca="false">IF(Z63=0,0,Z110/Z63)</f>
        <v>0.617655599240399</v>
      </c>
      <c r="AA111" s="32" t="n">
        <f aca="false">IF(AA63=0,0,AA110/AA63)</f>
        <v>0.624128569364011</v>
      </c>
      <c r="AB111" s="32" t="n">
        <f aca="false">IF(AB63=0,0,AB110/AB63)</f>
        <v>0.629926042724017</v>
      </c>
      <c r="AC111" s="32" t="n">
        <f aca="false">IF(AC63=0,0,AC110/AC63)</f>
        <v>0.635160205854452</v>
      </c>
      <c r="AD111" s="32" t="n">
        <f aca="false">IF(AD63=0,0,AD110/AD63)</f>
        <v>0.639919751745583</v>
      </c>
      <c r="AE111" s="32" t="n">
        <f aca="false">IF(AE63=0,0,AE110/AE63)</f>
        <v>0.637536654422953</v>
      </c>
      <c r="AF111" s="32" t="n">
        <f aca="false">IF(AF63=0,0,AF110/AF63)</f>
        <v>0.642566868483427</v>
      </c>
      <c r="AG111" s="32" t="n">
        <f aca="false">IF(AG63=0,0,AG110/AG63)</f>
        <v>0.647139793509014</v>
      </c>
      <c r="AH111" s="32" t="n">
        <f aca="false">IF(AH63=0,0,AH110/AH63)</f>
        <v>0.632117335593657</v>
      </c>
      <c r="AI111" s="32" t="n">
        <f aca="false">IF(AI63=0,0,AI110/AI63)</f>
        <v>0.655229670681741</v>
      </c>
      <c r="AJ111" s="32" t="n">
        <f aca="false">IF(AJ63=0,0,AJ110/AJ63)</f>
        <v>0.658837734923711</v>
      </c>
      <c r="AK111" s="32" t="n">
        <f aca="false">IF(AK63=0,0,AK110/AK63)</f>
        <v>0.662199362761886</v>
      </c>
      <c r="AL111" s="32" t="n">
        <f aca="false">IF(AL63=0,0,AL110/AL63)</f>
        <v>0.665347602760473</v>
      </c>
    </row>
    <row r="112" customFormat="false" ht="15" hidden="false" customHeight="false" outlineLevel="0" collapsed="false">
      <c r="A112" s="3" t="s">
        <v>653</v>
      </c>
      <c r="B112" s="2" t="s">
        <v>105</v>
      </c>
      <c r="C112" s="45" t="n">
        <f aca="false">C79-C104</f>
        <v>-13848.3333333333</v>
      </c>
      <c r="D112" s="45" t="n">
        <f aca="false">D79-D104</f>
        <v>-8848.33333333333</v>
      </c>
      <c r="E112" s="45" t="n">
        <f aca="false">E79-E104</f>
        <v>-8848.33333333333</v>
      </c>
      <c r="F112" s="45" t="n">
        <f aca="false">F79-F104</f>
        <v>-8632.32115216667</v>
      </c>
      <c r="G112" s="45" t="n">
        <f aca="false">G79-G104</f>
        <v>-8002.3346138525</v>
      </c>
      <c r="H112" s="45" t="n">
        <f aca="false">H79-H104</f>
        <v>-7033.03332623169</v>
      </c>
      <c r="I112" s="45" t="n">
        <f aca="false">I79-I104</f>
        <v>-5867.32991600982</v>
      </c>
      <c r="J112" s="45" t="n">
        <f aca="false">J79-J104</f>
        <v>-11886.4608819348</v>
      </c>
      <c r="K112" s="45" t="n">
        <f aca="false">K79-K104</f>
        <v>-8010.43452618923</v>
      </c>
      <c r="L112" s="45" t="n">
        <f aca="false">L79-L104</f>
        <v>-5182.23846430672</v>
      </c>
      <c r="M112" s="45" t="n">
        <f aca="false">M79-M104</f>
        <v>-2800.86920023507</v>
      </c>
      <c r="N112" s="45" t="n">
        <f aca="false">N79-N104</f>
        <v>-219.127364961714</v>
      </c>
      <c r="O112" s="45" t="n">
        <f aca="false">O79-O104</f>
        <v>-16726.9768310767</v>
      </c>
      <c r="P112" s="45" t="n">
        <f aca="false">P79-P104</f>
        <v>-994.354901968432</v>
      </c>
      <c r="Q112" s="45" t="n">
        <f aca="false">Q79-Q104</f>
        <v>2188.82750479323</v>
      </c>
      <c r="R112" s="45" t="n">
        <f aca="false">R79-R104</f>
        <v>-12101.6023201813</v>
      </c>
      <c r="S112" s="45" t="n">
        <f aca="false">S79-S104</f>
        <v>318.429949936279</v>
      </c>
      <c r="T112" s="45" t="n">
        <f aca="false">T79-T104</f>
        <v>3939.44651183963</v>
      </c>
      <c r="U112" s="45" t="n">
        <f aca="false">U79-U104</f>
        <v>8338.68669357409</v>
      </c>
      <c r="V112" s="45" t="n">
        <f aca="false">V79-V104</f>
        <v>10663.2061567585</v>
      </c>
      <c r="W112" s="45" t="n">
        <f aca="false">W79-W104</f>
        <v>-5131.60426053318</v>
      </c>
      <c r="X112" s="45" t="n">
        <f aca="false">X79-X104</f>
        <v>12925.4161384706</v>
      </c>
      <c r="Y112" s="45" t="n">
        <f aca="false">Y79-Y104</f>
        <v>5902.12044269658</v>
      </c>
      <c r="Z112" s="45" t="n">
        <f aca="false">Z79-Z104</f>
        <v>15588.8873386569</v>
      </c>
      <c r="AA112" s="45" t="n">
        <f aca="false">AA79-AA104</f>
        <v>21526.1209877954</v>
      </c>
      <c r="AB112" s="45" t="n">
        <f aca="false">AB79-AB104</f>
        <v>12634.2509090275</v>
      </c>
      <c r="AC112" s="45" t="n">
        <f aca="false">AC79-AC104</f>
        <v>27993.7318664208</v>
      </c>
      <c r="AD112" s="45" t="n">
        <f aca="false">AD79-AD104</f>
        <v>34565.043761962</v>
      </c>
      <c r="AE112" s="45" t="n">
        <f aca="false">AE79-AE104</f>
        <v>41925.7379556533</v>
      </c>
      <c r="AF112" s="45" t="n">
        <f aca="false">AF79-AF104</f>
        <v>49787.3481925157</v>
      </c>
      <c r="AG112" s="45" t="n">
        <f aca="false">AG79-AG104</f>
        <v>35329.7428364342</v>
      </c>
      <c r="AH112" s="45" t="n">
        <f aca="false">AH79-AH104</f>
        <v>53727.4191223154</v>
      </c>
      <c r="AI112" s="45" t="n">
        <f aca="false">AI79-AI104</f>
        <v>65601.7568811173</v>
      </c>
      <c r="AJ112" s="45" t="n">
        <f aca="false">AJ79-AJ104</f>
        <v>70715.753590337</v>
      </c>
      <c r="AK112" s="45" t="n">
        <f aca="false">AK79-AK104</f>
        <v>79548.5383556383</v>
      </c>
      <c r="AL112" s="45" t="n">
        <f aca="false">AL79-AL104</f>
        <v>88561.7472095227</v>
      </c>
    </row>
    <row r="113" customFormat="false" ht="15" hidden="false" customHeight="false" outlineLevel="0" collapsed="false">
      <c r="A113" s="9" t="s">
        <v>654</v>
      </c>
      <c r="B113" s="2" t="s">
        <v>165</v>
      </c>
      <c r="C113" s="32" t="n">
        <f aca="false">IF(C63=0,0,C112/C63)</f>
        <v>0</v>
      </c>
      <c r="D113" s="32" t="n">
        <f aca="false">IF(D63=0,0,D112/D63)</f>
        <v>0</v>
      </c>
      <c r="E113" s="32" t="n">
        <f aca="false">IF(E63=0,0,E112/E63)</f>
        <v>0</v>
      </c>
      <c r="F113" s="32" t="n">
        <f aca="false">IF(F63=0,0,F112/F63)</f>
        <v>-21.8277290654698</v>
      </c>
      <c r="G113" s="32" t="n">
        <f aca="false">IF(G63=0,0,G112/G63)</f>
        <v>-5.89821340886753</v>
      </c>
      <c r="H113" s="32" t="n">
        <f aca="false">IF(H63=0,0,H112/H63)</f>
        <v>-2.16749597727981</v>
      </c>
      <c r="I113" s="32" t="n">
        <f aca="false">IF(I63=0,0,I112/I63)</f>
        <v>-1.18049637213176</v>
      </c>
      <c r="J113" s="32" t="n">
        <f aca="false">IF(J63=0,0,J112/J63)</f>
        <v>-1.72113299606896</v>
      </c>
      <c r="K113" s="32" t="n">
        <f aca="false">IF(K63=0,0,K112/K63)</f>
        <v>-0.88505315119593</v>
      </c>
      <c r="L113" s="32" t="n">
        <f aca="false">IF(L63=0,0,L112/L63)</f>
        <v>-0.398412752401892</v>
      </c>
      <c r="M113" s="32" t="n">
        <f aca="false">IF(M63=0,0,M112/M63)</f>
        <v>-0.170408455023692</v>
      </c>
      <c r="N113" s="32" t="n">
        <f aca="false">IF(N63=0,0,N112/N63)</f>
        <v>-0.0108765153934417</v>
      </c>
      <c r="O113" s="32" t="n">
        <f aca="false">IF(O63=0,0,O112/O63)</f>
        <v>-0.692967804330848</v>
      </c>
      <c r="P113" s="32" t="n">
        <f aca="false">IF(P63=0,0,P112/P63)</f>
        <v>-0.035000964139121</v>
      </c>
      <c r="Q113" s="32" t="n">
        <f aca="false">IF(Q63=0,0,Q112/Q63)</f>
        <v>0.0664094717706769</v>
      </c>
      <c r="R113" s="32" t="n">
        <f aca="false">IF(R63=0,0,R112/R63)</f>
        <v>-0.32024962386739</v>
      </c>
      <c r="S113" s="32" t="n">
        <f aca="false">IF(S63=0,0,S112/S63)</f>
        <v>0.00742364573552797</v>
      </c>
      <c r="T113" s="32" t="n">
        <f aca="false">IF(T63=0,0,T112/T63)</f>
        <v>0.0816011868194804</v>
      </c>
      <c r="U113" s="32" t="n">
        <f aca="false">IF(U63=0,0,U112/U63)</f>
        <v>0.14805101179064</v>
      </c>
      <c r="V113" s="32" t="n">
        <f aca="false">IF(V63=0,0,V112/V63)</f>
        <v>0.168054210929462</v>
      </c>
      <c r="W113" s="32" t="n">
        <f aca="false">IF(W63=0,0,W112/W63)</f>
        <v>-0.0724187894498239</v>
      </c>
      <c r="X113" s="32" t="n">
        <f aca="false">IF(X63=0,0,X112/X63)</f>
        <v>0.164550138178375</v>
      </c>
      <c r="Y113" s="32" t="n">
        <f aca="false">IF(Y63=0,0,Y112/Y63)</f>
        <v>0.0682166165649824</v>
      </c>
      <c r="Z113" s="32" t="n">
        <f aca="false">IF(Z63=0,0,Z112/Z63)</f>
        <v>0.164490858833821</v>
      </c>
      <c r="AA113" s="32" t="n">
        <f aca="false">IF(AA63=0,0,AA112/AA63)</f>
        <v>0.208383530243391</v>
      </c>
      <c r="AB113" s="32" t="n">
        <f aca="false">IF(AB63=0,0,AB112/AB63)</f>
        <v>0.1126952743056</v>
      </c>
      <c r="AC113" s="32" t="n">
        <f aca="false">IF(AC63=0,0,AC112/AC63)</f>
        <v>0.230974440685285</v>
      </c>
      <c r="AD113" s="32" t="n">
        <f aca="false">IF(AD63=0,0,AD112/AD63)</f>
        <v>0.264732512473509</v>
      </c>
      <c r="AE113" s="32" t="n">
        <f aca="false">IF(AE63=0,0,AE112/AE63)</f>
        <v>0.294010424886488</v>
      </c>
      <c r="AF113" s="32" t="n">
        <f aca="false">IF(AF63=0,0,AF112/AF63)</f>
        <v>0.323887820736739</v>
      </c>
      <c r="AG113" s="32" t="n">
        <f aca="false">IF(AG63=0,0,AG112/AG63)</f>
        <v>0.213962668128327</v>
      </c>
      <c r="AH113" s="32" t="n">
        <f aca="false">IF(AH63=0,0,AH112/AH63)</f>
        <v>0.303899698916154</v>
      </c>
      <c r="AI113" s="32" t="n">
        <f aca="false">IF(AI63=0,0,AI112/AI63)</f>
        <v>0.347688794565468</v>
      </c>
      <c r="AJ113" s="32" t="n">
        <f aca="false">IF(AJ63=0,0,AJ112/AJ63)</f>
        <v>0.352202558952003</v>
      </c>
      <c r="AK113" s="32" t="n">
        <f aca="false">IF(AK63=0,0,AK112/AK63)</f>
        <v>0.373290684015354</v>
      </c>
      <c r="AL113" s="32" t="n">
        <f aca="false">IF(AL63=0,0,AL112/AL63)</f>
        <v>0.392492964394667</v>
      </c>
    </row>
    <row r="114" customFormat="false" ht="15" hidden="false" customHeight="false" outlineLevel="0" collapsed="false">
      <c r="A114" s="9" t="s">
        <v>655</v>
      </c>
      <c r="B114" s="2" t="s">
        <v>105</v>
      </c>
      <c r="C114" s="37" t="n">
        <f aca="false">C112</f>
        <v>-13848.3333333333</v>
      </c>
      <c r="D114" s="37" t="n">
        <f aca="false">C114+D112</f>
        <v>-22696.6666666667</v>
      </c>
      <c r="E114" s="37" t="n">
        <f aca="false">D114+E112</f>
        <v>-31545</v>
      </c>
      <c r="F114" s="37" t="n">
        <f aca="false">E114+F112</f>
        <v>-40177.3211521667</v>
      </c>
      <c r="G114" s="37" t="n">
        <f aca="false">F114+G112</f>
        <v>-48179.6557660192</v>
      </c>
      <c r="H114" s="37" t="n">
        <f aca="false">G114+H112</f>
        <v>-55212.6890922509</v>
      </c>
      <c r="I114" s="37" t="n">
        <f aca="false">H114+I112</f>
        <v>-61080.0190082607</v>
      </c>
      <c r="J114" s="37" t="n">
        <f aca="false">I114+J112</f>
        <v>-72966.4798901955</v>
      </c>
      <c r="K114" s="37" t="n">
        <f aca="false">J114+K112</f>
        <v>-80976.9144163847</v>
      </c>
      <c r="L114" s="37" t="n">
        <f aca="false">K114+L112</f>
        <v>-86159.1528806915</v>
      </c>
      <c r="M114" s="37" t="n">
        <f aca="false">L114+M112</f>
        <v>-88960.0220809265</v>
      </c>
      <c r="N114" s="37" t="n">
        <f aca="false">M114+N112</f>
        <v>-89179.1494458882</v>
      </c>
      <c r="O114" s="37" t="n">
        <f aca="false">N114+O112</f>
        <v>-105906.126276965</v>
      </c>
      <c r="P114" s="37" t="n">
        <f aca="false">O114+P112</f>
        <v>-106900.481178933</v>
      </c>
      <c r="Q114" s="37" t="n">
        <f aca="false">P114+Q112</f>
        <v>-104711.65367414</v>
      </c>
      <c r="R114" s="37" t="n">
        <f aca="false">Q114+R112</f>
        <v>-116813.255994321</v>
      </c>
      <c r="S114" s="37" t="n">
        <f aca="false">R114+S112</f>
        <v>-116494.826044385</v>
      </c>
      <c r="T114" s="37" t="n">
        <f aca="false">S114+T112</f>
        <v>-112555.379532545</v>
      </c>
      <c r="U114" s="37" t="n">
        <f aca="false">T114+U112</f>
        <v>-104216.692838971</v>
      </c>
      <c r="V114" s="37" t="n">
        <f aca="false">U114+V112</f>
        <v>-93553.4866822129</v>
      </c>
      <c r="W114" s="37" t="n">
        <f aca="false">V114+W112</f>
        <v>-98685.090942746</v>
      </c>
      <c r="X114" s="37" t="n">
        <f aca="false">W114+X112</f>
        <v>-85759.6748042754</v>
      </c>
      <c r="Y114" s="37" t="n">
        <f aca="false">X114+Y112</f>
        <v>-79857.5543615788</v>
      </c>
      <c r="Z114" s="37" t="n">
        <f aca="false">Y114+Z112</f>
        <v>-64268.6670229219</v>
      </c>
      <c r="AA114" s="37" t="n">
        <f aca="false">Z114+AA112</f>
        <v>-42742.5460351265</v>
      </c>
      <c r="AB114" s="37" t="n">
        <f aca="false">AA114+AB112</f>
        <v>-30108.295126099</v>
      </c>
      <c r="AC114" s="37" t="n">
        <f aca="false">AB114+AC112</f>
        <v>-2114.56325967819</v>
      </c>
      <c r="AD114" s="37" t="n">
        <f aca="false">AC114+AD112</f>
        <v>32450.4805022838</v>
      </c>
      <c r="AE114" s="37" t="n">
        <f aca="false">AD114+AE112</f>
        <v>74376.2184579371</v>
      </c>
      <c r="AF114" s="37" t="n">
        <f aca="false">AE114+AF112</f>
        <v>124163.566650453</v>
      </c>
      <c r="AG114" s="37" t="n">
        <f aca="false">AF114+AG112</f>
        <v>159493.309486887</v>
      </c>
      <c r="AH114" s="37" t="n">
        <f aca="false">AG114+AH112</f>
        <v>213220.728609202</v>
      </c>
      <c r="AI114" s="37" t="n">
        <f aca="false">AH114+AI112</f>
        <v>278822.48549032</v>
      </c>
      <c r="AJ114" s="37" t="n">
        <f aca="false">AI114+AJ112</f>
        <v>349538.239080657</v>
      </c>
      <c r="AK114" s="37" t="n">
        <f aca="false">AJ114+AK112</f>
        <v>429086.777436295</v>
      </c>
      <c r="AL114" s="37" t="n">
        <f aca="false">AK114+AL112</f>
        <v>517648.524645818</v>
      </c>
    </row>
    <row r="115" customFormat="false" ht="15" hidden="false" customHeight="false" outlineLevel="0" collapsed="false">
      <c r="A115" s="9" t="s">
        <v>656</v>
      </c>
      <c r="B115" s="2" t="s">
        <v>105</v>
      </c>
      <c r="C115" s="37" t="n">
        <f aca="false">Assumptions!$D$7</f>
        <v>50000</v>
      </c>
      <c r="D115" s="37" t="n">
        <f aca="false">C116</f>
        <v>36151.6666666667</v>
      </c>
      <c r="E115" s="37" t="n">
        <f aca="false">D116</f>
        <v>27303.3333333333</v>
      </c>
      <c r="F115" s="37" t="n">
        <f aca="false">E116</f>
        <v>18455</v>
      </c>
      <c r="G115" s="37" t="n">
        <f aca="false">F116</f>
        <v>9822.67884783334</v>
      </c>
      <c r="H115" s="37" t="n">
        <f aca="false">G116</f>
        <v>1820.34423398084</v>
      </c>
      <c r="I115" s="37" t="n">
        <f aca="false">H116</f>
        <v>-5212.68909225085</v>
      </c>
      <c r="J115" s="37" t="n">
        <f aca="false">I116</f>
        <v>-11080.0190082607</v>
      </c>
      <c r="K115" s="37" t="n">
        <f aca="false">J116</f>
        <v>-22966.4798901955</v>
      </c>
      <c r="L115" s="37" t="n">
        <f aca="false">K116</f>
        <v>-30976.9144163847</v>
      </c>
      <c r="M115" s="37" t="n">
        <f aca="false">L116</f>
        <v>-36159.1528806915</v>
      </c>
      <c r="N115" s="37" t="n">
        <f aca="false">M116</f>
        <v>-38960.0220809265</v>
      </c>
      <c r="O115" s="37" t="n">
        <f aca="false">N116</f>
        <v>-39179.1494458883</v>
      </c>
      <c r="P115" s="37" t="n">
        <f aca="false">O116</f>
        <v>-55906.1262769649</v>
      </c>
      <c r="Q115" s="37" t="n">
        <f aca="false">P116</f>
        <v>-56900.4811789334</v>
      </c>
      <c r="R115" s="37" t="n">
        <f aca="false">Q116</f>
        <v>-54711.6536741401</v>
      </c>
      <c r="S115" s="37" t="n">
        <f aca="false">R116</f>
        <v>-66813.2559943214</v>
      </c>
      <c r="T115" s="37" t="n">
        <f aca="false">S116</f>
        <v>-66494.8260443851</v>
      </c>
      <c r="U115" s="37" t="n">
        <f aca="false">T116</f>
        <v>-62555.3795325455</v>
      </c>
      <c r="V115" s="37" t="n">
        <f aca="false">U116</f>
        <v>-54216.6928389714</v>
      </c>
      <c r="W115" s="37" t="n">
        <f aca="false">V116</f>
        <v>-43553.4866822129</v>
      </c>
      <c r="X115" s="37" t="n">
        <f aca="false">W116</f>
        <v>-48685.090942746</v>
      </c>
      <c r="Y115" s="37" t="n">
        <f aca="false">X116</f>
        <v>-35759.6748042754</v>
      </c>
      <c r="Z115" s="37" t="n">
        <f aca="false">Y116</f>
        <v>-29857.5543615789</v>
      </c>
      <c r="AA115" s="37" t="n">
        <f aca="false">Z116</f>
        <v>-14268.6670229219</v>
      </c>
      <c r="AB115" s="37" t="n">
        <f aca="false">AA116</f>
        <v>7257.45396487347</v>
      </c>
      <c r="AC115" s="37" t="n">
        <f aca="false">AB116</f>
        <v>19891.704873901</v>
      </c>
      <c r="AD115" s="37" t="n">
        <f aca="false">AC116</f>
        <v>47885.4367403218</v>
      </c>
      <c r="AE115" s="37" t="n">
        <f aca="false">AD116</f>
        <v>82450.4805022837</v>
      </c>
      <c r="AF115" s="37" t="n">
        <f aca="false">AE116</f>
        <v>124376.218457937</v>
      </c>
      <c r="AG115" s="37" t="n">
        <f aca="false">AF116</f>
        <v>174163.566650453</v>
      </c>
      <c r="AH115" s="37" t="n">
        <f aca="false">AG116</f>
        <v>209493.309486887</v>
      </c>
      <c r="AI115" s="37" t="n">
        <f aca="false">AH116</f>
        <v>263220.728609202</v>
      </c>
      <c r="AJ115" s="37" t="n">
        <f aca="false">AI116</f>
        <v>328822.48549032</v>
      </c>
      <c r="AK115" s="37" t="n">
        <f aca="false">AJ116</f>
        <v>399538.239080657</v>
      </c>
      <c r="AL115" s="37" t="n">
        <f aca="false">AK116</f>
        <v>479086.777436295</v>
      </c>
    </row>
    <row r="116" customFormat="false" ht="15" hidden="false" customHeight="false" outlineLevel="0" collapsed="false">
      <c r="A116" s="3" t="s">
        <v>657</v>
      </c>
      <c r="B116" s="2" t="s">
        <v>105</v>
      </c>
      <c r="C116" s="45" t="n">
        <f aca="false">C115+C112</f>
        <v>36151.6666666667</v>
      </c>
      <c r="D116" s="45" t="n">
        <f aca="false">D115+D112</f>
        <v>27303.3333333333</v>
      </c>
      <c r="E116" s="45" t="n">
        <f aca="false">E115+E112</f>
        <v>18455</v>
      </c>
      <c r="F116" s="45" t="n">
        <f aca="false">F115+F112</f>
        <v>9822.67884783334</v>
      </c>
      <c r="G116" s="45" t="n">
        <f aca="false">G115+G112</f>
        <v>1820.34423398084</v>
      </c>
      <c r="H116" s="45" t="n">
        <f aca="false">H115+H112</f>
        <v>-5212.68909225085</v>
      </c>
      <c r="I116" s="45" t="n">
        <f aca="false">I115+I112</f>
        <v>-11080.0190082607</v>
      </c>
      <c r="J116" s="45" t="n">
        <f aca="false">J115+J112</f>
        <v>-22966.4798901955</v>
      </c>
      <c r="K116" s="45" t="n">
        <f aca="false">K115+K112</f>
        <v>-30976.9144163847</v>
      </c>
      <c r="L116" s="45" t="n">
        <f aca="false">L115+L112</f>
        <v>-36159.1528806915</v>
      </c>
      <c r="M116" s="45" t="n">
        <f aca="false">M115+M112</f>
        <v>-38960.0220809265</v>
      </c>
      <c r="N116" s="45" t="n">
        <f aca="false">N115+N112</f>
        <v>-39179.1494458883</v>
      </c>
      <c r="O116" s="45" t="n">
        <f aca="false">O115+O112</f>
        <v>-55906.1262769649</v>
      </c>
      <c r="P116" s="45" t="n">
        <f aca="false">P115+P112</f>
        <v>-56900.4811789334</v>
      </c>
      <c r="Q116" s="45" t="n">
        <f aca="false">Q115+Q112</f>
        <v>-54711.6536741401</v>
      </c>
      <c r="R116" s="45" t="n">
        <f aca="false">R115+R112</f>
        <v>-66813.2559943214</v>
      </c>
      <c r="S116" s="45" t="n">
        <f aca="false">S115+S112</f>
        <v>-66494.8260443851</v>
      </c>
      <c r="T116" s="45" t="n">
        <f aca="false">T115+T112</f>
        <v>-62555.3795325455</v>
      </c>
      <c r="U116" s="45" t="n">
        <f aca="false">U115+U112</f>
        <v>-54216.6928389714</v>
      </c>
      <c r="V116" s="45" t="n">
        <f aca="false">V115+V112</f>
        <v>-43553.4866822129</v>
      </c>
      <c r="W116" s="45" t="n">
        <f aca="false">W115+W112</f>
        <v>-48685.090942746</v>
      </c>
      <c r="X116" s="45" t="n">
        <f aca="false">X115+X112</f>
        <v>-35759.6748042754</v>
      </c>
      <c r="Y116" s="45" t="n">
        <f aca="false">Y115+Y112</f>
        <v>-29857.5543615789</v>
      </c>
      <c r="Z116" s="45" t="n">
        <f aca="false">Z115+Z112</f>
        <v>-14268.6670229219</v>
      </c>
      <c r="AA116" s="45" t="n">
        <f aca="false">AA115+AA112</f>
        <v>7257.45396487347</v>
      </c>
      <c r="AB116" s="45" t="n">
        <f aca="false">AB115+AB112</f>
        <v>19891.704873901</v>
      </c>
      <c r="AC116" s="45" t="n">
        <f aca="false">AC115+AC112</f>
        <v>47885.4367403218</v>
      </c>
      <c r="AD116" s="45" t="n">
        <f aca="false">AD115+AD112</f>
        <v>82450.4805022837</v>
      </c>
      <c r="AE116" s="45" t="n">
        <f aca="false">AE115+AE112</f>
        <v>124376.218457937</v>
      </c>
      <c r="AF116" s="45" t="n">
        <f aca="false">AF115+AF112</f>
        <v>174163.566650453</v>
      </c>
      <c r="AG116" s="45" t="n">
        <f aca="false">AG115+AG112</f>
        <v>209493.309486887</v>
      </c>
      <c r="AH116" s="45" t="n">
        <f aca="false">AH115+AH112</f>
        <v>263220.728609202</v>
      </c>
      <c r="AI116" s="45" t="n">
        <f aca="false">AI115+AI112</f>
        <v>328822.48549032</v>
      </c>
      <c r="AJ116" s="45" t="n">
        <f aca="false">AJ115+AJ112</f>
        <v>399538.239080657</v>
      </c>
      <c r="AK116" s="45" t="n">
        <f aca="false">AK115+AK112</f>
        <v>479086.777436295</v>
      </c>
      <c r="AL116" s="45" t="n">
        <f aca="false">AL115+AL112</f>
        <v>567648.524645818</v>
      </c>
    </row>
    <row r="117" customFormat="false" ht="15" hidden="false" customHeight="false" outlineLevel="0" collapsed="false">
      <c r="A117" s="9" t="s">
        <v>658</v>
      </c>
      <c r="B117" s="2" t="s">
        <v>105</v>
      </c>
      <c r="C117" s="37" t="n">
        <f aca="false">MAX(0,-C112)</f>
        <v>13848.3333333333</v>
      </c>
      <c r="D117" s="37" t="n">
        <f aca="false">MAX(0,-D112)</f>
        <v>8848.33333333333</v>
      </c>
      <c r="E117" s="37" t="n">
        <f aca="false">MAX(0,-E112)</f>
        <v>8848.33333333333</v>
      </c>
      <c r="F117" s="37" t="n">
        <f aca="false">MAX(0,-F112)</f>
        <v>8632.32115216667</v>
      </c>
      <c r="G117" s="37" t="n">
        <f aca="false">MAX(0,-G112)</f>
        <v>8002.3346138525</v>
      </c>
      <c r="H117" s="37" t="n">
        <f aca="false">MAX(0,-H112)</f>
        <v>7033.03332623169</v>
      </c>
      <c r="I117" s="37" t="n">
        <f aca="false">MAX(0,-I112)</f>
        <v>5867.32991600982</v>
      </c>
      <c r="J117" s="37" t="n">
        <f aca="false">MAX(0,-J112)</f>
        <v>11886.4608819348</v>
      </c>
      <c r="K117" s="37" t="n">
        <f aca="false">MAX(0,-K112)</f>
        <v>8010.43452618923</v>
      </c>
      <c r="L117" s="37" t="n">
        <f aca="false">MAX(0,-L112)</f>
        <v>5182.23846430672</v>
      </c>
      <c r="M117" s="37" t="n">
        <f aca="false">MAX(0,-M112)</f>
        <v>2800.86920023507</v>
      </c>
      <c r="N117" s="37" t="n">
        <f aca="false">MAX(0,-N112)</f>
        <v>219.127364961714</v>
      </c>
      <c r="O117" s="37" t="n">
        <f aca="false">MAX(0,-O112)</f>
        <v>16726.9768310767</v>
      </c>
      <c r="P117" s="37" t="n">
        <f aca="false">MAX(0,-P112)</f>
        <v>994.354901968432</v>
      </c>
      <c r="Q117" s="37" t="n">
        <f aca="false">MAX(0,-Q112)</f>
        <v>0</v>
      </c>
      <c r="R117" s="37" t="n">
        <f aca="false">MAX(0,-R112)</f>
        <v>12101.6023201813</v>
      </c>
      <c r="S117" s="37" t="n">
        <f aca="false">MAX(0,-S112)</f>
        <v>0</v>
      </c>
      <c r="T117" s="37" t="n">
        <f aca="false">MAX(0,-T112)</f>
        <v>0</v>
      </c>
      <c r="U117" s="37" t="n">
        <f aca="false">MAX(0,-U112)</f>
        <v>0</v>
      </c>
      <c r="V117" s="37" t="n">
        <f aca="false">MAX(0,-V112)</f>
        <v>0</v>
      </c>
      <c r="W117" s="37" t="n">
        <f aca="false">MAX(0,-W112)</f>
        <v>5131.60426053318</v>
      </c>
      <c r="X117" s="37" t="n">
        <f aca="false">MAX(0,-X112)</f>
        <v>0</v>
      </c>
      <c r="Y117" s="37" t="n">
        <f aca="false">MAX(0,-Y112)</f>
        <v>0</v>
      </c>
      <c r="Z117" s="37" t="n">
        <f aca="false">MAX(0,-Z112)</f>
        <v>0</v>
      </c>
      <c r="AA117" s="37" t="n">
        <f aca="false">MAX(0,-AA112)</f>
        <v>0</v>
      </c>
      <c r="AB117" s="37" t="n">
        <f aca="false">MAX(0,-AB112)</f>
        <v>0</v>
      </c>
      <c r="AC117" s="37" t="n">
        <f aca="false">MAX(0,-AC112)</f>
        <v>0</v>
      </c>
      <c r="AD117" s="37" t="n">
        <f aca="false">MAX(0,-AD112)</f>
        <v>0</v>
      </c>
      <c r="AE117" s="37" t="n">
        <f aca="false">MAX(0,-AE112)</f>
        <v>0</v>
      </c>
      <c r="AF117" s="37" t="n">
        <f aca="false">MAX(0,-AF112)</f>
        <v>0</v>
      </c>
      <c r="AG117" s="37" t="n">
        <f aca="false">MAX(0,-AG112)</f>
        <v>0</v>
      </c>
      <c r="AH117" s="37" t="n">
        <f aca="false">MAX(0,-AH112)</f>
        <v>0</v>
      </c>
      <c r="AI117" s="37" t="n">
        <f aca="false">MAX(0,-AI112)</f>
        <v>0</v>
      </c>
      <c r="AJ117" s="37" t="n">
        <f aca="false">MAX(0,-AJ112)</f>
        <v>0</v>
      </c>
      <c r="AK117" s="37" t="n">
        <f aca="false">MAX(0,-AK112)</f>
        <v>0</v>
      </c>
      <c r="AL117" s="37" t="n">
        <f aca="false">MAX(0,-AL112)</f>
        <v>0</v>
      </c>
    </row>
    <row r="118" customFormat="false" ht="15" hidden="false" customHeight="false" outlineLevel="0" collapsed="false">
      <c r="A118" s="9" t="s">
        <v>659</v>
      </c>
      <c r="B118" s="2" t="s">
        <v>109</v>
      </c>
      <c r="C118" s="42" t="n">
        <f aca="false">IF(C117=0,"cash+",IF(C116&lt;=0,0,C116/C117))</f>
        <v>2.610542784932</v>
      </c>
      <c r="D118" s="42" t="n">
        <f aca="false">IF(D117=0,"cash+",IF(D116&lt;=0,0,D116/D117))</f>
        <v>3.08570352232059</v>
      </c>
      <c r="E118" s="42" t="n">
        <f aca="false">IF(E117=0,"cash+",IF(E116&lt;=0,0,E116/E117))</f>
        <v>2.08570352232059</v>
      </c>
      <c r="F118" s="42" t="n">
        <f aca="false">IF(F117=0,"cash+",IF(F116&lt;=0,0,F116/F117))</f>
        <v>1.13789543677576</v>
      </c>
      <c r="G118" s="42" t="n">
        <f aca="false">IF(G117=0,"cash+",IF(G116&lt;=0,0,G116/G117))</f>
        <v>0.227476645481648</v>
      </c>
      <c r="H118" s="42" t="n">
        <f aca="false">IF(H117=0,"cash+",IF(H116&lt;=0,0,H116/H117))</f>
        <v>0</v>
      </c>
      <c r="I118" s="42" t="n">
        <f aca="false">IF(I117=0,"cash+",IF(I116&lt;=0,0,I116/I117))</f>
        <v>0</v>
      </c>
      <c r="J118" s="42" t="n">
        <f aca="false">IF(J117=0,"cash+",IF(J116&lt;=0,0,J116/J117))</f>
        <v>0</v>
      </c>
      <c r="K118" s="42" t="n">
        <f aca="false">IF(K117=0,"cash+",IF(K116&lt;=0,0,K116/K117))</f>
        <v>0</v>
      </c>
      <c r="L118" s="42" t="n">
        <f aca="false">IF(L117=0,"cash+",IF(L116&lt;=0,0,L116/L117))</f>
        <v>0</v>
      </c>
      <c r="M118" s="42" t="n">
        <f aca="false">IF(M117=0,"cash+",IF(M116&lt;=0,0,M116/M117))</f>
        <v>0</v>
      </c>
      <c r="N118" s="42" t="n">
        <f aca="false">IF(N117=0,"cash+",IF(N116&lt;=0,0,N116/N117))</f>
        <v>0</v>
      </c>
      <c r="O118" s="42" t="n">
        <f aca="false">IF(O117=0,"cash+",IF(O116&lt;=0,0,O116/O117))</f>
        <v>0</v>
      </c>
      <c r="P118" s="42" t="n">
        <f aca="false">IF(P117=0,"cash+",IF(P116&lt;=0,0,P116/P117))</f>
        <v>0</v>
      </c>
      <c r="Q118" s="42" t="str">
        <f aca="false">IF(Q117=0,"cash+",IF(Q116&lt;=0,0,Q116/Q117))</f>
        <v>cash+</v>
      </c>
      <c r="R118" s="42" t="n">
        <f aca="false">IF(R117=0,"cash+",IF(R116&lt;=0,0,R116/R117))</f>
        <v>0</v>
      </c>
      <c r="S118" s="42" t="str">
        <f aca="false">IF(S117=0,"cash+",IF(S116&lt;=0,0,S116/S117))</f>
        <v>cash+</v>
      </c>
      <c r="T118" s="42" t="str">
        <f aca="false">IF(T117=0,"cash+",IF(T116&lt;=0,0,T116/T117))</f>
        <v>cash+</v>
      </c>
      <c r="U118" s="42" t="str">
        <f aca="false">IF(U117=0,"cash+",IF(U116&lt;=0,0,U116/U117))</f>
        <v>cash+</v>
      </c>
      <c r="V118" s="42" t="str">
        <f aca="false">IF(V117=0,"cash+",IF(V116&lt;=0,0,V116/V117))</f>
        <v>cash+</v>
      </c>
      <c r="W118" s="42" t="n">
        <f aca="false">IF(W117=0,"cash+",IF(W116&lt;=0,0,W116/W117))</f>
        <v>0</v>
      </c>
      <c r="X118" s="42" t="str">
        <f aca="false">IF(X117=0,"cash+",IF(X116&lt;=0,0,X116/X117))</f>
        <v>cash+</v>
      </c>
      <c r="Y118" s="42" t="str">
        <f aca="false">IF(Y117=0,"cash+",IF(Y116&lt;=0,0,Y116/Y117))</f>
        <v>cash+</v>
      </c>
      <c r="Z118" s="42" t="str">
        <f aca="false">IF(Z117=0,"cash+",IF(Z116&lt;=0,0,Z116/Z117))</f>
        <v>cash+</v>
      </c>
      <c r="AA118" s="42" t="str">
        <f aca="false">IF(AA117=0,"cash+",IF(AA116&lt;=0,0,AA116/AA117))</f>
        <v>cash+</v>
      </c>
      <c r="AB118" s="42" t="str">
        <f aca="false">IF(AB117=0,"cash+",IF(AB116&lt;=0,0,AB116/AB117))</f>
        <v>cash+</v>
      </c>
      <c r="AC118" s="42" t="str">
        <f aca="false">IF(AC117=0,"cash+",IF(AC116&lt;=0,0,AC116/AC117))</f>
        <v>cash+</v>
      </c>
      <c r="AD118" s="42" t="str">
        <f aca="false">IF(AD117=0,"cash+",IF(AD116&lt;=0,0,AD116/AD117))</f>
        <v>cash+</v>
      </c>
      <c r="AE118" s="42" t="str">
        <f aca="false">IF(AE117=0,"cash+",IF(AE116&lt;=0,0,AE116/AE117))</f>
        <v>cash+</v>
      </c>
      <c r="AF118" s="42" t="str">
        <f aca="false">IF(AF117=0,"cash+",IF(AF116&lt;=0,0,AF116/AF117))</f>
        <v>cash+</v>
      </c>
      <c r="AG118" s="42" t="str">
        <f aca="false">IF(AG117=0,"cash+",IF(AG116&lt;=0,0,AG116/AG117))</f>
        <v>cash+</v>
      </c>
      <c r="AH118" s="42" t="str">
        <f aca="false">IF(AH117=0,"cash+",IF(AH116&lt;=0,0,AH116/AH117))</f>
        <v>cash+</v>
      </c>
      <c r="AI118" s="42" t="str">
        <f aca="false">IF(AI117=0,"cash+",IF(AI116&lt;=0,0,AI116/AI117))</f>
        <v>cash+</v>
      </c>
      <c r="AJ118" s="42" t="str">
        <f aca="false">IF(AJ117=0,"cash+",IF(AJ116&lt;=0,0,AJ116/AJ117))</f>
        <v>cash+</v>
      </c>
      <c r="AK118" s="42" t="str">
        <f aca="false">IF(AK117=0,"cash+",IF(AK116&lt;=0,0,AK116/AK117))</f>
        <v>cash+</v>
      </c>
      <c r="AL118" s="42" t="str">
        <f aca="false">IF(AL117=0,"cash+",IF(AL116&lt;=0,0,AL116/AL117))</f>
        <v>cash+</v>
      </c>
    </row>
    <row r="119" customFormat="false" ht="1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ustomFormat="false" ht="15" hidden="false" customHeight="false" outlineLevel="0" collapsed="false">
      <c r="A120" s="5" t="s">
        <v>660</v>
      </c>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row>
    <row r="121" customFormat="false" ht="15" hidden="false" customHeight="false" outlineLevel="0" collapsed="false">
      <c r="A121" s="9" t="s">
        <v>661</v>
      </c>
      <c r="B121" s="2" t="s">
        <v>105</v>
      </c>
      <c r="C121" s="37" t="n">
        <f aca="false">C43</f>
        <v>0</v>
      </c>
      <c r="D121" s="37" t="n">
        <f aca="false">MAX(C121,D43)</f>
        <v>0</v>
      </c>
      <c r="E121" s="37" t="n">
        <f aca="false">MAX(D121,E43)</f>
        <v>0</v>
      </c>
      <c r="F121" s="37" t="n">
        <f aca="false">MAX(E121,F43)</f>
        <v>353.875</v>
      </c>
      <c r="G121" s="37" t="n">
        <f aca="false">MAX(F121,G43)</f>
        <v>988.5307375</v>
      </c>
      <c r="H121" s="37" t="n">
        <f aca="false">MAX(G121,H43)</f>
        <v>2161.09821593875</v>
      </c>
      <c r="I121" s="37" t="n">
        <f aca="false">MAX(H121,I43)</f>
        <v>3515.61078533212</v>
      </c>
      <c r="J121" s="37" t="n">
        <f aca="false">MAX(I121,J43)</f>
        <v>5050.58532443617</v>
      </c>
      <c r="K121" s="37" t="n">
        <f aca="false">MAX(J121,K43)</f>
        <v>6764.57225159824</v>
      </c>
      <c r="L121" s="37" t="n">
        <f aca="false">MAX(K121,L43)</f>
        <v>9316.15492600482</v>
      </c>
      <c r="M121" s="37" t="n">
        <f aca="false">MAX(L121,M43)</f>
        <v>12117.1694608392</v>
      </c>
      <c r="N121" s="37" t="n">
        <f aca="false">MAX(M121,N43)</f>
        <v>15167.0643792852</v>
      </c>
      <c r="O121" s="37" t="n">
        <f aca="false">MAX(N121,O43)</f>
        <v>18465.328182895</v>
      </c>
      <c r="P121" s="37" t="n">
        <f aca="false">MAX(O121,P43)</f>
        <v>22011.4888949275</v>
      </c>
      <c r="Q121" s="37" t="n">
        <f aca="false">MAX(P121,Q43)</f>
        <v>25805.1136157147</v>
      </c>
      <c r="R121" s="37" t="n">
        <f aca="false">MAX(Q121,R43)</f>
        <v>29845.8080898474</v>
      </c>
      <c r="S121" s="37" t="n">
        <f aca="false">MAX(R121,S43)</f>
        <v>34133.2162849765</v>
      </c>
      <c r="T121" s="37" t="n">
        <f aca="false">MAX(S121,T43)</f>
        <v>38667.0199820272</v>
      </c>
      <c r="U121" s="37" t="n">
        <f aca="false">MAX(T121,U43)</f>
        <v>44456.558376634</v>
      </c>
      <c r="V121" s="37" t="n">
        <f aca="false">MAX(U121,V43)</f>
        <v>50499.2933158026</v>
      </c>
      <c r="W121" s="37" t="n">
        <f aca="false">MAX(V121,W43)</f>
        <v>56795.081411624</v>
      </c>
      <c r="X121" s="37" t="n">
        <f aca="false">MAX(W121,X43)</f>
        <v>63343.8161855888</v>
      </c>
      <c r="Y121" s="37" t="n">
        <f aca="false">MAX(X121,Y43)</f>
        <v>70145.4277195471</v>
      </c>
      <c r="Z121" s="37" t="n">
        <f aca="false">MAX(Y121,Z43)</f>
        <v>77199.8823170435</v>
      </c>
      <c r="AA121" s="37" t="n">
        <f aca="false">MAX(Z121,AA43)</f>
        <v>84507.1821748584</v>
      </c>
      <c r="AB121" s="37" t="n">
        <f aca="false">MAX(AA121,AB43)</f>
        <v>92067.3650645889</v>
      </c>
      <c r="AC121" s="37" t="n">
        <f aca="false">MAX(AB121,AC43)</f>
        <v>99880.5040241079</v>
      </c>
      <c r="AD121" s="37" t="n">
        <f aca="false">MAX(AC121,AD43)</f>
        <v>107946.707058742</v>
      </c>
      <c r="AE121" s="37" t="n">
        <f aca="false">MAX(AD121,AE43)</f>
        <v>117275.736852016</v>
      </c>
      <c r="AF121" s="37" t="n">
        <f aca="false">MAX(AE121,AF43)</f>
        <v>126865.47611001</v>
      </c>
      <c r="AG121" s="37" t="n">
        <f aca="false">MAX(AF121,AG43)</f>
        <v>136716.199781195</v>
      </c>
      <c r="AH121" s="37" t="n">
        <f aca="false">MAX(AG121,AH43)</f>
        <v>146814.062305334</v>
      </c>
      <c r="AI121" s="37" t="n">
        <f aca="false">MAX(AH121,AI43)</f>
        <v>157110.163538028</v>
      </c>
      <c r="AJ121" s="37" t="n">
        <f aca="false">MAX(AI121,AJ43)</f>
        <v>167606.218887981</v>
      </c>
      <c r="AK121" s="37" t="n">
        <f aca="false">MAX(AJ121,AK43)</f>
        <v>178303.949318153</v>
      </c>
      <c r="AL121" s="37" t="n">
        <f aca="false">MAX(AK121,AL43)</f>
        <v>189205.081721715</v>
      </c>
    </row>
    <row r="122" customFormat="false" ht="15" hidden="false" customHeight="false" outlineLevel="0" collapsed="false">
      <c r="A122" s="9" t="s">
        <v>662</v>
      </c>
      <c r="B122" s="2" t="s">
        <v>552</v>
      </c>
      <c r="C122" s="40" t="n">
        <f aca="false">IF(C112&gt;=0,1,0)</f>
        <v>0</v>
      </c>
      <c r="D122" s="40" t="n">
        <f aca="false">IF(D112&gt;=0,1,0)</f>
        <v>0</v>
      </c>
      <c r="E122" s="40" t="n">
        <f aca="false">IF(E112&gt;=0,1,0)</f>
        <v>0</v>
      </c>
      <c r="F122" s="40" t="n">
        <f aca="false">IF(F112&gt;=0,1,0)</f>
        <v>0</v>
      </c>
      <c r="G122" s="40" t="n">
        <f aca="false">IF(G112&gt;=0,1,0)</f>
        <v>0</v>
      </c>
      <c r="H122" s="40" t="n">
        <f aca="false">IF(H112&gt;=0,1,0)</f>
        <v>0</v>
      </c>
      <c r="I122" s="40" t="n">
        <f aca="false">IF(I112&gt;=0,1,0)</f>
        <v>0</v>
      </c>
      <c r="J122" s="40" t="n">
        <f aca="false">IF(J112&gt;=0,1,0)</f>
        <v>0</v>
      </c>
      <c r="K122" s="40" t="n">
        <f aca="false">IF(K112&gt;=0,1,0)</f>
        <v>0</v>
      </c>
      <c r="L122" s="40" t="n">
        <f aca="false">IF(L112&gt;=0,1,0)</f>
        <v>0</v>
      </c>
      <c r="M122" s="40" t="n">
        <f aca="false">IF(M112&gt;=0,1,0)</f>
        <v>0</v>
      </c>
      <c r="N122" s="40" t="n">
        <f aca="false">IF(N112&gt;=0,1,0)</f>
        <v>0</v>
      </c>
      <c r="O122" s="40" t="n">
        <f aca="false">IF(O112&gt;=0,1,0)</f>
        <v>0</v>
      </c>
      <c r="P122" s="40" t="n">
        <f aca="false">IF(P112&gt;=0,1,0)</f>
        <v>0</v>
      </c>
      <c r="Q122" s="40" t="n">
        <f aca="false">IF(Q112&gt;=0,1,0)</f>
        <v>1</v>
      </c>
      <c r="R122" s="40" t="n">
        <f aca="false">IF(R112&gt;=0,1,0)</f>
        <v>0</v>
      </c>
      <c r="S122" s="40" t="n">
        <f aca="false">IF(S112&gt;=0,1,0)</f>
        <v>1</v>
      </c>
      <c r="T122" s="40" t="n">
        <f aca="false">IF(T112&gt;=0,1,0)</f>
        <v>1</v>
      </c>
      <c r="U122" s="40" t="n">
        <f aca="false">IF(U112&gt;=0,1,0)</f>
        <v>1</v>
      </c>
      <c r="V122" s="40" t="n">
        <f aca="false">IF(V112&gt;=0,1,0)</f>
        <v>1</v>
      </c>
      <c r="W122" s="40" t="n">
        <f aca="false">IF(W112&gt;=0,1,0)</f>
        <v>0</v>
      </c>
      <c r="X122" s="40" t="n">
        <f aca="false">IF(X112&gt;=0,1,0)</f>
        <v>1</v>
      </c>
      <c r="Y122" s="40" t="n">
        <f aca="false">IF(Y112&gt;=0,1,0)</f>
        <v>1</v>
      </c>
      <c r="Z122" s="40" t="n">
        <f aca="false">IF(Z112&gt;=0,1,0)</f>
        <v>1</v>
      </c>
      <c r="AA122" s="40" t="n">
        <f aca="false">IF(AA112&gt;=0,1,0)</f>
        <v>1</v>
      </c>
      <c r="AB122" s="40" t="n">
        <f aca="false">IF(AB112&gt;=0,1,0)</f>
        <v>1</v>
      </c>
      <c r="AC122" s="40" t="n">
        <f aca="false">IF(AC112&gt;=0,1,0)</f>
        <v>1</v>
      </c>
      <c r="AD122" s="40" t="n">
        <f aca="false">IF(AD112&gt;=0,1,0)</f>
        <v>1</v>
      </c>
      <c r="AE122" s="40" t="n">
        <f aca="false">IF(AE112&gt;=0,1,0)</f>
        <v>1</v>
      </c>
      <c r="AF122" s="40" t="n">
        <f aca="false">IF(AF112&gt;=0,1,0)</f>
        <v>1</v>
      </c>
      <c r="AG122" s="40" t="n">
        <f aca="false">IF(AG112&gt;=0,1,0)</f>
        <v>1</v>
      </c>
      <c r="AH122" s="40" t="n">
        <f aca="false">IF(AH112&gt;=0,1,0)</f>
        <v>1</v>
      </c>
      <c r="AI122" s="40" t="n">
        <f aca="false">IF(AI112&gt;=0,1,0)</f>
        <v>1</v>
      </c>
      <c r="AJ122" s="40" t="n">
        <f aca="false">IF(AJ112&gt;=0,1,0)</f>
        <v>1</v>
      </c>
      <c r="AK122" s="40" t="n">
        <f aca="false">IF(AK112&gt;=0,1,0)</f>
        <v>1</v>
      </c>
      <c r="AL122" s="40" t="n">
        <f aca="false">IF(AL112&gt;=0,1,0)</f>
        <v>1</v>
      </c>
    </row>
    <row r="123" customFormat="false" ht="15" hidden="false" customHeight="false" outlineLevel="0" collapsed="false">
      <c r="A123" s="2" t="s">
        <v>663</v>
      </c>
      <c r="B123" s="2" t="s">
        <v>552</v>
      </c>
      <c r="C123" s="40" t="n">
        <f aca="false">IF(AND(C122=1,D123=1),1,0)</f>
        <v>0</v>
      </c>
      <c r="D123" s="40" t="n">
        <f aca="false">IF(AND(D122=1,E123=1),1,0)</f>
        <v>0</v>
      </c>
      <c r="E123" s="40" t="n">
        <f aca="false">IF(AND(E122=1,F123=1),1,0)</f>
        <v>0</v>
      </c>
      <c r="F123" s="40" t="n">
        <f aca="false">IF(AND(F122=1,G123=1),1,0)</f>
        <v>0</v>
      </c>
      <c r="G123" s="40" t="n">
        <f aca="false">IF(AND(G122=1,H123=1),1,0)</f>
        <v>0</v>
      </c>
      <c r="H123" s="40" t="n">
        <f aca="false">IF(AND(H122=1,I123=1),1,0)</f>
        <v>0</v>
      </c>
      <c r="I123" s="40" t="n">
        <f aca="false">IF(AND(I122=1,J123=1),1,0)</f>
        <v>0</v>
      </c>
      <c r="J123" s="40" t="n">
        <f aca="false">IF(AND(J122=1,K123=1),1,0)</f>
        <v>0</v>
      </c>
      <c r="K123" s="40" t="n">
        <f aca="false">IF(AND(K122=1,L123=1),1,0)</f>
        <v>0</v>
      </c>
      <c r="L123" s="40" t="n">
        <f aca="false">IF(AND(L122=1,M123=1),1,0)</f>
        <v>0</v>
      </c>
      <c r="M123" s="40" t="n">
        <f aca="false">IF(AND(M122=1,N123=1),1,0)</f>
        <v>0</v>
      </c>
      <c r="N123" s="40" t="n">
        <f aca="false">IF(AND(N122=1,O123=1),1,0)</f>
        <v>0</v>
      </c>
      <c r="O123" s="40" t="n">
        <f aca="false">IF(AND(O122=1,P123=1),1,0)</f>
        <v>0</v>
      </c>
      <c r="P123" s="40" t="n">
        <f aca="false">IF(AND(P122=1,Q123=1),1,0)</f>
        <v>0</v>
      </c>
      <c r="Q123" s="40" t="n">
        <f aca="false">IF(AND(Q122=1,R123=1),1,0)</f>
        <v>0</v>
      </c>
      <c r="R123" s="40" t="n">
        <f aca="false">IF(AND(R122=1,S123=1),1,0)</f>
        <v>0</v>
      </c>
      <c r="S123" s="40" t="n">
        <f aca="false">IF(AND(S122=1,T123=1),1,0)</f>
        <v>0</v>
      </c>
      <c r="T123" s="40" t="n">
        <f aca="false">IF(AND(T122=1,U123=1),1,0)</f>
        <v>0</v>
      </c>
      <c r="U123" s="40" t="n">
        <f aca="false">IF(AND(U122=1,V123=1),1,0)</f>
        <v>0</v>
      </c>
      <c r="V123" s="40" t="n">
        <f aca="false">IF(AND(V122=1,W123=1),1,0)</f>
        <v>0</v>
      </c>
      <c r="W123" s="40" t="n">
        <f aca="false">IF(AND(W122=1,X123=1),1,0)</f>
        <v>0</v>
      </c>
      <c r="X123" s="40" t="n">
        <f aca="false">IF(AND(X122=1,Y123=1),1,0)</f>
        <v>1</v>
      </c>
      <c r="Y123" s="40" t="n">
        <f aca="false">IF(AND(Y122=1,Z123=1),1,0)</f>
        <v>1</v>
      </c>
      <c r="Z123" s="40" t="n">
        <f aca="false">IF(AND(Z122=1,AA123=1),1,0)</f>
        <v>1</v>
      </c>
      <c r="AA123" s="40" t="n">
        <f aca="false">IF(AND(AA122=1,AB123=1),1,0)</f>
        <v>1</v>
      </c>
      <c r="AB123" s="40" t="n">
        <f aca="false">IF(AND(AB122=1,AC123=1),1,0)</f>
        <v>1</v>
      </c>
      <c r="AC123" s="40" t="n">
        <f aca="false">IF(AND(AC122=1,AD123=1),1,0)</f>
        <v>1</v>
      </c>
      <c r="AD123" s="40" t="n">
        <f aca="false">IF(AND(AD122=1,AE123=1),1,0)</f>
        <v>1</v>
      </c>
      <c r="AE123" s="40" t="n">
        <f aca="false">IF(AND(AE122=1,AF123=1),1,0)</f>
        <v>1</v>
      </c>
      <c r="AF123" s="40" t="n">
        <f aca="false">IF(AND(AF122=1,AG123=1),1,0)</f>
        <v>1</v>
      </c>
      <c r="AG123" s="40" t="n">
        <f aca="false">IF(AND(AG122=1,AH123=1),1,0)</f>
        <v>1</v>
      </c>
      <c r="AH123" s="40" t="n">
        <f aca="false">IF(AND(AH122=1,AI123=1),1,0)</f>
        <v>1</v>
      </c>
      <c r="AI123" s="40" t="n">
        <f aca="false">IF(AND(AI122=1,AJ123=1),1,0)</f>
        <v>1</v>
      </c>
      <c r="AJ123" s="40" t="n">
        <f aca="false">IF(AND(AJ122=1,AK123=1),1,0)</f>
        <v>1</v>
      </c>
      <c r="AK123" s="40" t="n">
        <f aca="false">IF(AND(AK122=1,AL123=1),1,0)</f>
        <v>1</v>
      </c>
      <c r="AL123" s="40" t="n">
        <f aca="false">AL122</f>
        <v>1</v>
      </c>
    </row>
    <row r="124" customFormat="false" ht="15" hidden="false" customHeight="false" outlineLevel="0" collapsed="false">
      <c r="A124" s="9" t="s">
        <v>664</v>
      </c>
      <c r="B124" s="2" t="s">
        <v>146</v>
      </c>
      <c r="C124" s="42" t="n">
        <f aca="false">(C30*Pricing!$B$6*(Assumptions!$E$153+Assumptions!$E$154)*CHOOSE(Assumptions!$E$121,Pricing!$B$23,Pricing!$B$33,Pricing!$B$43)+C31*Pricing!$C$6*(Assumptions!$E$153+Assumptions!$E$154)*CHOOSE(Assumptions!$E$121,Pricing!$C$23,Pricing!$C$33,Pricing!$C$43)+C32*Pricing!$D$6*(Assumptions!$E$153+Assumptions!$E$154)*CHOOSE(Assumptions!$E$121,Pricing!$D$23,Pricing!$D$33,Pricing!$D$43)+C33*Pricing!$E$6*(Assumptions!$E$153+Assumptions!$E$154)*CHOOSE(Assumptions!$E$121,Pricing!$E$23,Pricing!$E$33,Pricing!$E$43))/60+(C22*Assumptions!$D$105+C23*Assumptions!$D$106+C24*Assumptions!$D$107+C25*Assumptions!$D$108)</f>
        <v>0</v>
      </c>
      <c r="D124" s="42" t="n">
        <f aca="false">(D30*Pricing!$B$6*(Assumptions!$E$153+Assumptions!$E$154)*CHOOSE(Assumptions!$E$121,Pricing!$B$23,Pricing!$B$33,Pricing!$B$43)+D31*Pricing!$C$6*(Assumptions!$E$153+Assumptions!$E$154)*CHOOSE(Assumptions!$E$121,Pricing!$C$23,Pricing!$C$33,Pricing!$C$43)+D32*Pricing!$D$6*(Assumptions!$E$153+Assumptions!$E$154)*CHOOSE(Assumptions!$E$121,Pricing!$D$23,Pricing!$D$33,Pricing!$D$43)+D33*Pricing!$E$6*(Assumptions!$E$153+Assumptions!$E$154)*CHOOSE(Assumptions!$E$121,Pricing!$E$23,Pricing!$E$33,Pricing!$E$43))/60+(D22*Assumptions!$D$105+D23*Assumptions!$D$106+D24*Assumptions!$D$107+D25*Assumptions!$D$108)</f>
        <v>0</v>
      </c>
      <c r="E124" s="42" t="n">
        <f aca="false">(E30*Pricing!$B$6*(Assumptions!$E$153+Assumptions!$E$154)*CHOOSE(Assumptions!$E$121,Pricing!$B$23,Pricing!$B$33,Pricing!$B$43)+E31*Pricing!$C$6*(Assumptions!$E$153+Assumptions!$E$154)*CHOOSE(Assumptions!$E$121,Pricing!$C$23,Pricing!$C$33,Pricing!$C$43)+E32*Pricing!$D$6*(Assumptions!$E$153+Assumptions!$E$154)*CHOOSE(Assumptions!$E$121,Pricing!$D$23,Pricing!$D$33,Pricing!$D$43)+E33*Pricing!$E$6*(Assumptions!$E$153+Assumptions!$E$154)*CHOOSE(Assumptions!$E$121,Pricing!$E$23,Pricing!$E$33,Pricing!$E$43))/60+(E22*Assumptions!$D$105+E23*Assumptions!$D$106+E24*Assumptions!$D$107+E25*Assumptions!$D$108)</f>
        <v>0</v>
      </c>
      <c r="F124" s="42" t="n">
        <f aca="false">(F30*Pricing!$B$6*(Assumptions!$E$153+Assumptions!$E$154)*CHOOSE(Assumptions!$E$121,Pricing!$B$23,Pricing!$B$33,Pricing!$B$43)+F31*Pricing!$C$6*(Assumptions!$E$153+Assumptions!$E$154)*CHOOSE(Assumptions!$E$121,Pricing!$C$23,Pricing!$C$33,Pricing!$C$43)+F32*Pricing!$D$6*(Assumptions!$E$153+Assumptions!$E$154)*CHOOSE(Assumptions!$E$121,Pricing!$D$23,Pricing!$D$33,Pricing!$D$43)+F33*Pricing!$E$6*(Assumptions!$E$153+Assumptions!$E$154)*CHOOSE(Assumptions!$E$121,Pricing!$E$23,Pricing!$E$33,Pricing!$E$43))/60+(F22*Assumptions!$D$105+F23*Assumptions!$D$106+F24*Assumptions!$D$107+F25*Assumptions!$D$108)</f>
        <v>4.24166666666667</v>
      </c>
      <c r="G124" s="42" t="n">
        <f aca="false">(G30*Pricing!$B$6*(Assumptions!$E$153+Assumptions!$E$154)*CHOOSE(Assumptions!$E$121,Pricing!$B$23,Pricing!$B$33,Pricing!$B$43)+G31*Pricing!$C$6*(Assumptions!$E$153+Assumptions!$E$154)*CHOOSE(Assumptions!$E$121,Pricing!$C$23,Pricing!$C$33,Pricing!$C$43)+G32*Pricing!$D$6*(Assumptions!$E$153+Assumptions!$E$154)*CHOOSE(Assumptions!$E$121,Pricing!$D$23,Pricing!$D$33,Pricing!$D$43)+G33*Pricing!$E$6*(Assumptions!$E$153+Assumptions!$E$154)*CHOOSE(Assumptions!$E$121,Pricing!$E$23,Pricing!$E$33,Pricing!$E$43))/60+(G22*Assumptions!$D$105+G23*Assumptions!$D$106+G24*Assumptions!$D$107+G25*Assumptions!$D$108)</f>
        <v>11.5700416666667</v>
      </c>
      <c r="H124" s="42" t="n">
        <f aca="false">(H30*Pricing!$B$6*(Assumptions!$E$153+Assumptions!$E$154)*CHOOSE(Assumptions!$E$121,Pricing!$B$23,Pricing!$B$33,Pricing!$B$43)+H31*Pricing!$C$6*(Assumptions!$E$153+Assumptions!$E$154)*CHOOSE(Assumptions!$E$121,Pricing!$C$23,Pricing!$C$33,Pricing!$C$43)+H32*Pricing!$D$6*(Assumptions!$E$153+Assumptions!$E$154)*CHOOSE(Assumptions!$E$121,Pricing!$D$23,Pricing!$D$33,Pricing!$D$43)+H33*Pricing!$E$6*(Assumptions!$E$153+Assumptions!$E$154)*CHOOSE(Assumptions!$E$121,Pricing!$E$23,Pricing!$E$33,Pricing!$E$43))/60+(H22*Assumptions!$D$105+H23*Assumptions!$D$106+H24*Assumptions!$D$107+H25*Assumptions!$D$108)</f>
        <v>22.8784522916667</v>
      </c>
      <c r="I124" s="42" t="n">
        <f aca="false">(I30*Pricing!$B$6*(Assumptions!$E$153+Assumptions!$E$154)*CHOOSE(Assumptions!$E$121,Pricing!$B$23,Pricing!$B$33,Pricing!$B$43)+I31*Pricing!$C$6*(Assumptions!$E$153+Assumptions!$E$154)*CHOOSE(Assumptions!$E$121,Pricing!$C$23,Pricing!$C$33,Pricing!$C$43)+I32*Pricing!$D$6*(Assumptions!$E$153+Assumptions!$E$154)*CHOOSE(Assumptions!$E$121,Pricing!$D$23,Pricing!$D$33,Pricing!$D$43)+I33*Pricing!$E$6*(Assumptions!$E$153+Assumptions!$E$154)*CHOOSE(Assumptions!$E$121,Pricing!$E$23,Pricing!$E$33,Pricing!$E$43))/60+(I22*Assumptions!$D$105+I23*Assumptions!$D$106+I24*Assumptions!$D$107+I25*Assumptions!$D$108)</f>
        <v>33.4070339177083</v>
      </c>
      <c r="J124" s="42" t="n">
        <f aca="false">(J30*Pricing!$B$6*(Assumptions!$E$153+Assumptions!$E$154)*CHOOSE(Assumptions!$E$121,Pricing!$B$23,Pricing!$B$33,Pricing!$B$43)+J31*Pricing!$C$6*(Assumptions!$E$153+Assumptions!$E$154)*CHOOSE(Assumptions!$E$121,Pricing!$C$23,Pricing!$C$33,Pricing!$C$43)+J32*Pricing!$D$6*(Assumptions!$E$153+Assumptions!$E$154)*CHOOSE(Assumptions!$E$121,Pricing!$D$23,Pricing!$D$33,Pricing!$D$43)+J33*Pricing!$E$6*(Assumptions!$E$153+Assumptions!$E$154)*CHOOSE(Assumptions!$E$121,Pricing!$E$23,Pricing!$E$33,Pricing!$E$43))/60+(J22*Assumptions!$D$105+J23*Assumptions!$D$106+J24*Assumptions!$D$107+J25*Assumptions!$D$108)</f>
        <v>45.1326059194323</v>
      </c>
      <c r="K124" s="42" t="n">
        <f aca="false">(K30*Pricing!$B$6*(Assumptions!$E$153+Assumptions!$E$154)*CHOOSE(Assumptions!$E$121,Pricing!$B$23,Pricing!$B$33,Pricing!$B$43)+K31*Pricing!$C$6*(Assumptions!$E$153+Assumptions!$E$154)*CHOOSE(Assumptions!$E$121,Pricing!$C$23,Pricing!$C$33,Pricing!$C$43)+K32*Pricing!$D$6*(Assumptions!$E$153+Assumptions!$E$154)*CHOOSE(Assumptions!$E$121,Pricing!$D$23,Pricing!$D$33,Pricing!$D$43)+K33*Pricing!$E$6*(Assumptions!$E$153+Assumptions!$E$154)*CHOOSE(Assumptions!$E$121,Pricing!$E$23,Pricing!$E$33,Pricing!$E$43))/60+(K22*Assumptions!$D$105+K23*Assumptions!$D$106+K24*Assumptions!$D$107+K25*Assumptions!$D$108)</f>
        <v>58.0324806841407</v>
      </c>
      <c r="L124" s="42" t="n">
        <f aca="false">(L30*Pricing!$B$6*(Assumptions!$E$153+Assumptions!$E$154)*CHOOSE(Assumptions!$E$121,Pricing!$B$23,Pricing!$B$33,Pricing!$B$43)+L31*Pricing!$C$6*(Assumptions!$E$153+Assumptions!$E$154)*CHOOSE(Assumptions!$E$121,Pricing!$C$23,Pricing!$C$33,Pricing!$C$43)+L32*Pricing!$D$6*(Assumptions!$E$153+Assumptions!$E$154)*CHOOSE(Assumptions!$E$121,Pricing!$D$23,Pricing!$D$33,Pricing!$D$43)+L33*Pricing!$E$6*(Assumptions!$E$153+Assumptions!$E$154)*CHOOSE(Assumptions!$E$121,Pricing!$E$23,Pricing!$E$33,Pricing!$E$43))/60+(L22*Assumptions!$D$105+L23*Assumptions!$D$106+L24*Assumptions!$D$107+L25*Assumptions!$D$108)</f>
        <v>78.2970925667648</v>
      </c>
      <c r="M124" s="42" t="n">
        <f aca="false">(M30*Pricing!$B$6*(Assumptions!$E$153+Assumptions!$E$154)*CHOOSE(Assumptions!$E$121,Pricing!$B$23,Pricing!$B$33,Pricing!$B$43)+M31*Pricing!$C$6*(Assumptions!$E$153+Assumptions!$E$154)*CHOOSE(Assumptions!$E$121,Pricing!$C$23,Pricing!$C$33,Pricing!$C$43)+M32*Pricing!$D$6*(Assumptions!$E$153+Assumptions!$E$154)*CHOOSE(Assumptions!$E$121,Pricing!$D$23,Pricing!$D$33,Pricing!$D$43)+M33*Pricing!$E$6*(Assumptions!$E$153+Assumptions!$E$154)*CHOOSE(Assumptions!$E$121,Pricing!$E$23,Pricing!$E$33,Pricing!$E$43))/60+(M22*Assumptions!$D$105+M23*Assumptions!$D$106+M24*Assumptions!$D$107+M25*Assumptions!$D$108)</f>
        <v>96.7028805387264</v>
      </c>
      <c r="N124" s="42" t="n">
        <f aca="false">(N30*Pricing!$B$6*(Assumptions!$E$153+Assumptions!$E$154)*CHOOSE(Assumptions!$E$121,Pricing!$B$23,Pricing!$B$33,Pricing!$B$43)+N31*Pricing!$C$6*(Assumptions!$E$153+Assumptions!$E$154)*CHOOSE(Assumptions!$E$121,Pricing!$C$23,Pricing!$C$33,Pricing!$C$43)+N32*Pricing!$D$6*(Assumptions!$E$153+Assumptions!$E$154)*CHOOSE(Assumptions!$E$121,Pricing!$D$23,Pricing!$D$33,Pricing!$D$43)+N33*Pricing!$E$6*(Assumptions!$E$153+Assumptions!$E$154)*CHOOSE(Assumptions!$E$121,Pricing!$E$23,Pricing!$E$33,Pricing!$E$43))/60+(N22*Assumptions!$D$105+N23*Assumptions!$D$106+N24*Assumptions!$D$107+N25*Assumptions!$D$108)</f>
        <v>116.467567511004</v>
      </c>
      <c r="O124" s="42" t="n">
        <f aca="false">(O30*Pricing!$B$6*(Assumptions!$E$153+Assumptions!$E$154)*CHOOSE(Assumptions!$E$121,Pricing!$B$23,Pricing!$B$33,Pricing!$B$43)+O31*Pricing!$C$6*(Assumptions!$E$153+Assumptions!$E$154)*CHOOSE(Assumptions!$E$121,Pricing!$C$23,Pricing!$C$33,Pricing!$C$43)+O32*Pricing!$D$6*(Assumptions!$E$153+Assumptions!$E$154)*CHOOSE(Assumptions!$E$121,Pricing!$D$23,Pricing!$D$33,Pricing!$D$43)+O33*Pricing!$E$6*(Assumptions!$E$153+Assumptions!$E$154)*CHOOSE(Assumptions!$E$121,Pricing!$E$23,Pricing!$E$33,Pricing!$E$43))/60+(O22*Assumptions!$D$105+O23*Assumptions!$D$106+O24*Assumptions!$D$107+O25*Assumptions!$D$108)</f>
        <v>137.569330739914</v>
      </c>
      <c r="P124" s="42" t="n">
        <f aca="false">(P30*Pricing!$B$6*(Assumptions!$E$153+Assumptions!$E$154)*CHOOSE(Assumptions!$E$121,Pricing!$B$23,Pricing!$B$33,Pricing!$B$43)+P31*Pricing!$C$6*(Assumptions!$E$153+Assumptions!$E$154)*CHOOSE(Assumptions!$E$121,Pricing!$C$23,Pricing!$C$33,Pricing!$C$43)+P32*Pricing!$D$6*(Assumptions!$E$153+Assumptions!$E$154)*CHOOSE(Assumptions!$E$121,Pricing!$D$23,Pricing!$D$33,Pricing!$D$43)+P33*Pricing!$E$6*(Assumptions!$E$153+Assumptions!$E$154)*CHOOSE(Assumptions!$E$121,Pricing!$E$23,Pricing!$E$33,Pricing!$E$43))/60+(P22*Assumptions!$D$105+P23*Assumptions!$D$106+P24*Assumptions!$D$107+P25*Assumptions!$D$108)</f>
        <v>159.986791746584</v>
      </c>
      <c r="Q124" s="42" t="n">
        <f aca="false">(Q30*Pricing!$B$6*(Assumptions!$E$153+Assumptions!$E$154)*CHOOSE(Assumptions!$E$121,Pricing!$B$23,Pricing!$B$33,Pricing!$B$43)+Q31*Pricing!$C$6*(Assumptions!$E$153+Assumptions!$E$154)*CHOOSE(Assumptions!$E$121,Pricing!$C$23,Pricing!$C$33,Pricing!$C$43)+Q32*Pricing!$D$6*(Assumptions!$E$153+Assumptions!$E$154)*CHOOSE(Assumptions!$E$121,Pricing!$D$23,Pricing!$D$33,Pricing!$D$43)+Q33*Pricing!$E$6*(Assumptions!$E$153+Assumptions!$E$154)*CHOOSE(Assumptions!$E$121,Pricing!$E$23,Pricing!$E$33,Pricing!$E$43))/60+(Q22*Assumptions!$D$105+Q23*Assumptions!$D$106+Q24*Assumptions!$D$107+Q25*Assumptions!$D$108)</f>
        <v>183.69900646751</v>
      </c>
      <c r="R124" s="42" t="n">
        <f aca="false">(R30*Pricing!$B$6*(Assumptions!$E$153+Assumptions!$E$154)*CHOOSE(Assumptions!$E$121,Pricing!$B$23,Pricing!$B$33,Pricing!$B$43)+R31*Pricing!$C$6*(Assumptions!$E$153+Assumptions!$E$154)*CHOOSE(Assumptions!$E$121,Pricing!$C$23,Pricing!$C$33,Pricing!$C$43)+R32*Pricing!$D$6*(Assumptions!$E$153+Assumptions!$E$154)*CHOOSE(Assumptions!$E$121,Pricing!$D$23,Pricing!$D$33,Pricing!$D$43)+R33*Pricing!$E$6*(Assumptions!$E$153+Assumptions!$E$154)*CHOOSE(Assumptions!$E$121,Pricing!$E$23,Pricing!$E$33,Pricing!$E$43))/60+(R22*Assumptions!$D$105+R23*Assumptions!$D$106+R24*Assumptions!$D$107+R25*Assumptions!$D$108)</f>
        <v>208.685455630785</v>
      </c>
      <c r="S124" s="42" t="n">
        <f aca="false">(S30*Pricing!$B$6*(Assumptions!$E$153+Assumptions!$E$154)*CHOOSE(Assumptions!$E$121,Pricing!$B$23,Pricing!$B$33,Pricing!$B$43)+S31*Pricing!$C$6*(Assumptions!$E$153+Assumptions!$E$154)*CHOOSE(Assumptions!$E$121,Pricing!$C$23,Pricing!$C$33,Pricing!$C$43)+S32*Pricing!$D$6*(Assumptions!$E$153+Assumptions!$E$154)*CHOOSE(Assumptions!$E$121,Pricing!$D$23,Pricing!$D$33,Pricing!$D$43)+S33*Pricing!$E$6*(Assumptions!$E$153+Assumptions!$E$154)*CHOOSE(Assumptions!$E$121,Pricing!$E$23,Pricing!$E$33,Pricing!$E$43))/60+(S22*Assumptions!$D$105+S23*Assumptions!$D$106+S24*Assumptions!$D$107+S25*Assumptions!$D$108)</f>
        <v>234.926035352764</v>
      </c>
      <c r="T124" s="42" t="n">
        <f aca="false">(T30*Pricing!$B$6*(Assumptions!$E$153+Assumptions!$E$154)*CHOOSE(Assumptions!$E$121,Pricing!$B$23,Pricing!$B$33,Pricing!$B$43)+T31*Pricing!$C$6*(Assumptions!$E$153+Assumptions!$E$154)*CHOOSE(Assumptions!$E$121,Pricing!$C$23,Pricing!$C$33,Pricing!$C$43)+T32*Pricing!$D$6*(Assumptions!$E$153+Assumptions!$E$154)*CHOOSE(Assumptions!$E$121,Pricing!$D$23,Pricing!$D$33,Pricing!$D$43)+T33*Pricing!$E$6*(Assumptions!$E$153+Assumptions!$E$154)*CHOOSE(Assumptions!$E$121,Pricing!$E$23,Pricing!$E$33,Pricing!$E$43))/60+(T22*Assumptions!$D$105+T23*Assumptions!$D$106+T24*Assumptions!$D$107+T25*Assumptions!$D$108)</f>
        <v>262.401047950004</v>
      </c>
      <c r="U124" s="42" t="n">
        <f aca="false">(U30*Pricing!$B$6*(Assumptions!$E$153+Assumptions!$E$154)*CHOOSE(Assumptions!$E$121,Pricing!$B$23,Pricing!$B$33,Pricing!$B$43)+U31*Pricing!$C$6*(Assumptions!$E$153+Assumptions!$E$154)*CHOOSE(Assumptions!$E$121,Pricing!$C$23,Pricing!$C$33,Pricing!$C$43)+U32*Pricing!$D$6*(Assumptions!$E$153+Assumptions!$E$154)*CHOOSE(Assumptions!$E$121,Pricing!$D$23,Pricing!$D$33,Pricing!$D$43)+U33*Pricing!$E$6*(Assumptions!$E$153+Assumptions!$E$154)*CHOOSE(Assumptions!$E$121,Pricing!$E$23,Pricing!$E$33,Pricing!$E$43))/60+(U22*Assumptions!$D$105+U23*Assumptions!$D$106+U24*Assumptions!$D$107+U25*Assumptions!$D$108)</f>
        <v>300.729486294818</v>
      </c>
      <c r="V124" s="42" t="n">
        <f aca="false">(V30*Pricing!$B$6*(Assumptions!$E$153+Assumptions!$E$154)*CHOOSE(Assumptions!$E$121,Pricing!$B$23,Pricing!$B$33,Pricing!$B$43)+V31*Pricing!$C$6*(Assumptions!$E$153+Assumptions!$E$154)*CHOOSE(Assumptions!$E$121,Pricing!$C$23,Pricing!$C$33,Pricing!$C$43)+V32*Pricing!$D$6*(Assumptions!$E$153+Assumptions!$E$154)*CHOOSE(Assumptions!$E$121,Pricing!$D$23,Pricing!$D$33,Pricing!$D$43)+V33*Pricing!$E$6*(Assumptions!$E$153+Assumptions!$E$154)*CHOOSE(Assumptions!$E$121,Pricing!$E$23,Pricing!$E$33,Pricing!$E$43))/60+(V22*Assumptions!$D$105+V23*Assumptions!$D$106+V24*Assumptions!$D$107+V25*Assumptions!$D$108)</f>
        <v>334.629954002865</v>
      </c>
      <c r="W124" s="42" t="n">
        <f aca="false">(W30*Pricing!$B$6*(Assumptions!$E$153+Assumptions!$E$154)*CHOOSE(Assumptions!$E$121,Pricing!$B$23,Pricing!$B$33,Pricing!$B$43)+W31*Pricing!$C$6*(Assumptions!$E$153+Assumptions!$E$154)*CHOOSE(Assumptions!$E$121,Pricing!$C$23,Pricing!$C$33,Pricing!$C$43)+W32*Pricing!$D$6*(Assumptions!$E$153+Assumptions!$E$154)*CHOOSE(Assumptions!$E$121,Pricing!$D$23,Pricing!$D$33,Pricing!$D$43)+W33*Pricing!$E$6*(Assumptions!$E$153+Assumptions!$E$154)*CHOOSE(Assumptions!$E$121,Pricing!$E$23,Pricing!$E$33,Pricing!$E$43))/60+(W22*Assumptions!$D$105+W23*Assumptions!$D$106+W24*Assumptions!$D$107+W25*Assumptions!$D$108)</f>
        <v>369.684075989495</v>
      </c>
      <c r="X124" s="42" t="n">
        <f aca="false">(X30*Pricing!$B$6*(Assumptions!$E$153+Assumptions!$E$154)*CHOOSE(Assumptions!$E$121,Pricing!$B$23,Pricing!$B$33,Pricing!$B$43)+X31*Pricing!$C$6*(Assumptions!$E$153+Assumptions!$E$154)*CHOOSE(Assumptions!$E$121,Pricing!$C$23,Pricing!$C$33,Pricing!$C$43)+X32*Pricing!$D$6*(Assumptions!$E$153+Assumptions!$E$154)*CHOOSE(Assumptions!$E$121,Pricing!$D$23,Pricing!$D$33,Pricing!$D$43)+X33*Pricing!$E$6*(Assumptions!$E$153+Assumptions!$E$154)*CHOOSE(Assumptions!$E$121,Pricing!$E$23,Pricing!$E$33,Pricing!$E$43))/60+(X22*Assumptions!$D$105+X23*Assumptions!$D$106+X24*Assumptions!$D$107+X25*Assumptions!$D$108)</f>
        <v>405.873847592037</v>
      </c>
      <c r="Y124" s="42" t="n">
        <f aca="false">(Y30*Pricing!$B$6*(Assumptions!$E$153+Assumptions!$E$154)*CHOOSE(Assumptions!$E$121,Pricing!$B$23,Pricing!$B$33,Pricing!$B$43)+Y31*Pricing!$C$6*(Assumptions!$E$153+Assumptions!$E$154)*CHOOSE(Assumptions!$E$121,Pricing!$C$23,Pricing!$C$33,Pricing!$C$43)+Y32*Pricing!$D$6*(Assumptions!$E$153+Assumptions!$E$154)*CHOOSE(Assumptions!$E$121,Pricing!$D$23,Pricing!$D$33,Pricing!$D$43)+Y33*Pricing!$E$6*(Assumptions!$E$153+Assumptions!$E$154)*CHOOSE(Assumptions!$E$121,Pricing!$E$23,Pricing!$E$33,Pricing!$E$43))/60+(Y22*Assumptions!$D$105+Y23*Assumptions!$D$106+Y24*Assumptions!$D$107+Y25*Assumptions!$D$108)</f>
        <v>443.181626392983</v>
      </c>
      <c r="Z124" s="42" t="n">
        <f aca="false">(Z30*Pricing!$B$6*(Assumptions!$E$153+Assumptions!$E$154)*CHOOSE(Assumptions!$E$121,Pricing!$B$23,Pricing!$B$33,Pricing!$B$43)+Z31*Pricing!$C$6*(Assumptions!$E$153+Assumptions!$E$154)*CHOOSE(Assumptions!$E$121,Pricing!$C$23,Pricing!$C$33,Pricing!$C$43)+Z32*Pricing!$D$6*(Assumptions!$E$153+Assumptions!$E$154)*CHOOSE(Assumptions!$E$121,Pricing!$D$23,Pricing!$D$33,Pricing!$D$43)+Z33*Pricing!$E$6*(Assumptions!$E$153+Assumptions!$E$154)*CHOOSE(Assumptions!$E$121,Pricing!$E$23,Pricing!$E$33,Pricing!$E$43))/60+(Z22*Assumptions!$D$105+Z23*Assumptions!$D$106+Z24*Assumptions!$D$107+Z25*Assumptions!$D$108)</f>
        <v>481.590124230026</v>
      </c>
      <c r="AA124" s="42" t="n">
        <f aca="false">(AA30*Pricing!$B$6*(Assumptions!$E$153+Assumptions!$E$154)*CHOOSE(Assumptions!$E$121,Pricing!$B$23,Pricing!$B$33,Pricing!$B$43)+AA31*Pricing!$C$6*(Assumptions!$E$153+Assumptions!$E$154)*CHOOSE(Assumptions!$E$121,Pricing!$C$23,Pricing!$C$33,Pricing!$C$43)+AA32*Pricing!$D$6*(Assumptions!$E$153+Assumptions!$E$154)*CHOOSE(Assumptions!$E$121,Pricing!$D$23,Pricing!$D$33,Pricing!$D$43)+AA33*Pricing!$E$6*(Assumptions!$E$153+Assumptions!$E$154)*CHOOSE(Assumptions!$E$121,Pricing!$E$23,Pricing!$E$33,Pricing!$E$43))/60+(AA22*Assumptions!$D$105+AA23*Assumptions!$D$106+AA24*Assumptions!$D$107+AA25*Assumptions!$D$108)</f>
        <v>521.082399388607</v>
      </c>
      <c r="AB124" s="42" t="n">
        <f aca="false">(AB30*Pricing!$B$6*(Assumptions!$E$153+Assumptions!$E$154)*CHOOSE(Assumptions!$E$121,Pricing!$B$23,Pricing!$B$33,Pricing!$B$43)+AB31*Pricing!$C$6*(Assumptions!$E$153+Assumptions!$E$154)*CHOOSE(Assumptions!$E$121,Pricing!$C$23,Pricing!$C$33,Pricing!$C$43)+AB32*Pricing!$D$6*(Assumptions!$E$153+Assumptions!$E$154)*CHOOSE(Assumptions!$E$121,Pricing!$D$23,Pricing!$D$33,Pricing!$D$43)+AB33*Pricing!$E$6*(Assumptions!$E$153+Assumptions!$E$154)*CHOOSE(Assumptions!$E$121,Pricing!$E$23,Pricing!$E$33,Pricing!$E$43))/60+(AB22*Assumptions!$D$105+AB23*Assumptions!$D$106+AB24*Assumptions!$D$107+AB25*Assumptions!$D$108)</f>
        <v>561.64184897273</v>
      </c>
      <c r="AC124" s="42" t="n">
        <f aca="false">(AC30*Pricing!$B$6*(Assumptions!$E$153+Assumptions!$E$154)*CHOOSE(Assumptions!$E$121,Pricing!$B$23,Pricing!$B$33,Pricing!$B$43)+AC31*Pricing!$C$6*(Assumptions!$E$153+Assumptions!$E$154)*CHOOSE(Assumptions!$E$121,Pricing!$C$23,Pricing!$C$33,Pricing!$C$43)+AC32*Pricing!$D$6*(Assumptions!$E$153+Assumptions!$E$154)*CHOOSE(Assumptions!$E$121,Pricing!$D$23,Pricing!$D$33,Pricing!$D$43)+AC33*Pricing!$E$6*(Assumptions!$E$153+Assumptions!$E$154)*CHOOSE(Assumptions!$E$121,Pricing!$E$23,Pricing!$E$33,Pricing!$E$43))/60+(AC22*Assumptions!$D$105+AC23*Assumptions!$D$106+AC24*Assumptions!$D$107+AC25*Assumptions!$D$108)</f>
        <v>603.252201449895</v>
      </c>
      <c r="AD124" s="42" t="n">
        <f aca="false">(AD30*Pricing!$B$6*(Assumptions!$E$153+Assumptions!$E$154)*CHOOSE(Assumptions!$E$121,Pricing!$B$23,Pricing!$B$33,Pricing!$B$43)+AD31*Pricing!$C$6*(Assumptions!$E$153+Assumptions!$E$154)*CHOOSE(Assumptions!$E$121,Pricing!$C$23,Pricing!$C$33,Pricing!$C$43)+AD32*Pricing!$D$6*(Assumptions!$E$153+Assumptions!$E$154)*CHOOSE(Assumptions!$E$121,Pricing!$D$23,Pricing!$D$33,Pricing!$D$43)+AD33*Pricing!$E$6*(Assumptions!$E$153+Assumptions!$E$154)*CHOOSE(Assumptions!$E$121,Pricing!$E$23,Pricing!$E$33,Pricing!$E$43))/60+(AD22*Assumptions!$D$105+AD23*Assumptions!$D$106+AD24*Assumptions!$D$107+AD25*Assumptions!$D$108)</f>
        <v>645.897509366103</v>
      </c>
      <c r="AE124" s="42" t="n">
        <f aca="false">(AE30*Pricing!$B$6*(Assumptions!$E$153+Assumptions!$E$154)*CHOOSE(Assumptions!$E$121,Pricing!$B$23,Pricing!$B$33,Pricing!$B$43)+AE31*Pricing!$C$6*(Assumptions!$E$153+Assumptions!$E$154)*CHOOSE(Assumptions!$E$121,Pricing!$C$23,Pricing!$C$33,Pricing!$C$43)+AE32*Pricing!$D$6*(Assumptions!$E$153+Assumptions!$E$154)*CHOOSE(Assumptions!$E$121,Pricing!$D$23,Pricing!$D$33,Pricing!$D$43)+AE33*Pricing!$E$6*(Assumptions!$E$153+Assumptions!$E$154)*CHOOSE(Assumptions!$E$121,Pricing!$E$23,Pricing!$E$33,Pricing!$E$43))/60+(AE22*Assumptions!$D$105+AE23*Assumptions!$D$106+AE24*Assumptions!$D$107+AE25*Assumptions!$D$108)</f>
        <v>699.200435560325</v>
      </c>
      <c r="AF124" s="42" t="n">
        <f aca="false">(AF30*Pricing!$B$6*(Assumptions!$E$153+Assumptions!$E$154)*CHOOSE(Assumptions!$E$121,Pricing!$B$23,Pricing!$B$33,Pricing!$B$43)+AF31*Pricing!$C$6*(Assumptions!$E$153+Assumptions!$E$154)*CHOOSE(Assumptions!$E$121,Pricing!$C$23,Pricing!$C$33,Pricing!$C$43)+AF32*Pricing!$D$6*(Assumptions!$E$153+Assumptions!$E$154)*CHOOSE(Assumptions!$E$121,Pricing!$D$23,Pricing!$D$33,Pricing!$D$43)+AF33*Pricing!$E$6*(Assumptions!$E$153+Assumptions!$E$154)*CHOOSE(Assumptions!$E$121,Pricing!$E$23,Pricing!$E$33,Pricing!$E$43))/60+(AF22*Assumptions!$D$105+AF23*Assumptions!$D$106+AF24*Assumptions!$D$107+AF25*Assumptions!$D$108)</f>
        <v>747.883175167893</v>
      </c>
      <c r="AG124" s="42" t="n">
        <f aca="false">(AG30*Pricing!$B$6*(Assumptions!$E$153+Assumptions!$E$154)*CHOOSE(Assumptions!$E$121,Pricing!$B$23,Pricing!$B$33,Pricing!$B$43)+AG31*Pricing!$C$6*(Assumptions!$E$153+Assumptions!$E$154)*CHOOSE(Assumptions!$E$121,Pricing!$C$23,Pricing!$C$33,Pricing!$C$43)+AG32*Pricing!$D$6*(Assumptions!$E$153+Assumptions!$E$154)*CHOOSE(Assumptions!$E$121,Pricing!$D$23,Pricing!$D$33,Pricing!$D$43)+AG33*Pricing!$E$6*(Assumptions!$E$153+Assumptions!$E$154)*CHOOSE(Assumptions!$E$121,Pricing!$E$23,Pricing!$E$33,Pricing!$E$43))/60+(AG22*Assumptions!$D$105+AG23*Assumptions!$D$106+AG24*Assumptions!$D$107+AG25*Assumptions!$D$108)</f>
        <v>797.53086795055</v>
      </c>
      <c r="AH124" s="42" t="n">
        <f aca="false">(AH30*Pricing!$B$6*(Assumptions!$E$153+Assumptions!$E$154)*CHOOSE(Assumptions!$E$121,Pricing!$B$23,Pricing!$B$33,Pricing!$B$43)+AH31*Pricing!$C$6*(Assumptions!$E$153+Assumptions!$E$154)*CHOOSE(Assumptions!$E$121,Pricing!$C$23,Pricing!$C$33,Pricing!$C$43)+AH32*Pricing!$D$6*(Assumptions!$E$153+Assumptions!$E$154)*CHOOSE(Assumptions!$E$121,Pricing!$D$23,Pricing!$D$33,Pricing!$D$43)+AH33*Pricing!$E$6*(Assumptions!$E$153+Assumptions!$E$154)*CHOOSE(Assumptions!$E$121,Pricing!$E$23,Pricing!$E$33,Pricing!$E$43))/60+(AH22*Assumptions!$D$105+AH23*Assumptions!$D$106+AH24*Assumptions!$D$107+AH25*Assumptions!$D$108)</f>
        <v>847.959282484683</v>
      </c>
      <c r="AI124" s="42" t="n">
        <f aca="false">(AI30*Pricing!$B$6*(Assumptions!$E$153+Assumptions!$E$154)*CHOOSE(Assumptions!$E$121,Pricing!$B$23,Pricing!$B$33,Pricing!$B$43)+AI31*Pricing!$C$6*(Assumptions!$E$153+Assumptions!$E$154)*CHOOSE(Assumptions!$E$121,Pricing!$C$23,Pricing!$C$33,Pricing!$C$43)+AI32*Pricing!$D$6*(Assumptions!$E$153+Assumptions!$E$154)*CHOOSE(Assumptions!$E$121,Pricing!$D$23,Pricing!$D$33,Pricing!$D$43)+AI33*Pricing!$E$6*(Assumptions!$E$153+Assumptions!$E$154)*CHOOSE(Assumptions!$E$121,Pricing!$E$23,Pricing!$E$33,Pricing!$E$43))/60+(AI22*Assumptions!$D$105+AI23*Assumptions!$D$106+AI24*Assumptions!$D$107+AI25*Assumptions!$D$108)</f>
        <v>898.613301343625</v>
      </c>
      <c r="AJ124" s="42" t="n">
        <f aca="false">(AJ30*Pricing!$B$6*(Assumptions!$E$153+Assumptions!$E$154)*CHOOSE(Assumptions!$E$121,Pricing!$B$23,Pricing!$B$33,Pricing!$B$43)+AJ31*Pricing!$C$6*(Assumptions!$E$153+Assumptions!$E$154)*CHOOSE(Assumptions!$E$121,Pricing!$C$23,Pricing!$C$33,Pricing!$C$43)+AJ32*Pricing!$D$6*(Assumptions!$E$153+Assumptions!$E$154)*CHOOSE(Assumptions!$E$121,Pricing!$D$23,Pricing!$D$33,Pricing!$D$43)+AJ33*Pricing!$E$6*(Assumptions!$E$153+Assumptions!$E$154)*CHOOSE(Assumptions!$E$121,Pricing!$E$23,Pricing!$E$33,Pricing!$E$43))/60+(AJ22*Assumptions!$D$105+AJ23*Assumptions!$D$106+AJ24*Assumptions!$D$107+AJ25*Assumptions!$D$108)</f>
        <v>949.667319135967</v>
      </c>
      <c r="AK124" s="42" t="n">
        <f aca="false">(AK30*Pricing!$B$6*(Assumptions!$E$153+Assumptions!$E$154)*CHOOSE(Assumptions!$E$121,Pricing!$B$23,Pricing!$B$33,Pricing!$B$43)+AK31*Pricing!$C$6*(Assumptions!$E$153+Assumptions!$E$154)*CHOOSE(Assumptions!$E$121,Pricing!$C$23,Pricing!$C$33,Pricing!$C$43)+AK32*Pricing!$D$6*(Assumptions!$E$153+Assumptions!$E$154)*CHOOSE(Assumptions!$E$121,Pricing!$D$23,Pricing!$D$33,Pricing!$D$43)+AK33*Pricing!$E$6*(Assumptions!$E$153+Assumptions!$E$154)*CHOOSE(Assumptions!$E$121,Pricing!$E$23,Pricing!$E$33,Pricing!$E$43))/60+(AK22*Assumptions!$D$105+AK23*Assumptions!$D$106+AK24*Assumptions!$D$107+AK25*Assumptions!$D$108)</f>
        <v>1001.12067224539</v>
      </c>
      <c r="AL124" s="42" t="n">
        <f aca="false">(AL30*Pricing!$B$6*(Assumptions!$E$153+Assumptions!$E$154)*CHOOSE(Assumptions!$E$121,Pricing!$B$23,Pricing!$B$33,Pricing!$B$43)+AL31*Pricing!$C$6*(Assumptions!$E$153+Assumptions!$E$154)*CHOOSE(Assumptions!$E$121,Pricing!$C$23,Pricing!$C$33,Pricing!$C$43)+AL32*Pricing!$D$6*(Assumptions!$E$153+Assumptions!$E$154)*CHOOSE(Assumptions!$E$121,Pricing!$D$23,Pricing!$D$33,Pricing!$D$43)+AL33*Pricing!$E$6*(Assumptions!$E$153+Assumptions!$E$154)*CHOOSE(Assumptions!$E$121,Pricing!$E$23,Pricing!$E$33,Pricing!$E$43))/60+(AL22*Assumptions!$D$105+AL23*Assumptions!$D$106+AL24*Assumptions!$D$107+AL25*Assumptions!$D$108)</f>
        <v>1052.97264114639</v>
      </c>
    </row>
    <row r="125" customFormat="false" ht="15" hidden="false" customHeight="false" outlineLevel="0" collapsed="false">
      <c r="A125" s="9" t="s">
        <v>665</v>
      </c>
      <c r="B125" s="2" t="s">
        <v>165</v>
      </c>
      <c r="C125" s="32" t="n">
        <f aca="false">IF(C63=0,0,(C79-C107)/C63)</f>
        <v>0</v>
      </c>
      <c r="D125" s="32" t="n">
        <f aca="false">IF(D63=0,0,(D79-D107)/D63)</f>
        <v>0</v>
      </c>
      <c r="E125" s="32" t="n">
        <f aca="false">IF(E63=0,0,(E79-E107)/E63)</f>
        <v>0</v>
      </c>
      <c r="F125" s="32" t="n">
        <f aca="false">IF(F63=0,0,(F79-F107)/F63)</f>
        <v>-0.162372005394357</v>
      </c>
      <c r="G125" s="32" t="n">
        <f aca="false">IF(G63=0,0,(G79-G107)/G63)</f>
        <v>0.452434679861003</v>
      </c>
      <c r="H125" s="32" t="n">
        <f aca="false">IF(H63=0,0,(H79-H107)/H63)</f>
        <v>0.61972648116329</v>
      </c>
      <c r="I125" s="32" t="n">
        <f aca="false">IF(I63=0,0,(I79-I107)/I63)</f>
        <v>0.656479207658701</v>
      </c>
      <c r="J125" s="32" t="n">
        <f aca="false">IF(J63=0,0,(J79-J107)/J63)</f>
        <v>-0.14375788131749</v>
      </c>
      <c r="K125" s="32" t="n">
        <f aca="false">IF(K63=0,0,(K79-K107)/K63)</f>
        <v>0.334825680213445</v>
      </c>
      <c r="L125" s="32" t="n">
        <f aca="false">IF(L63=0,0,(L79-L107)/L63)</f>
        <v>0.465622930389943</v>
      </c>
      <c r="M125" s="32" t="n">
        <f aca="false">IF(M63=0,0,(M79-M107)/M63)</f>
        <v>0.523799251804515</v>
      </c>
      <c r="N125" s="32" t="n">
        <f aca="false">IF(N63=0,0,(N79-N107)/N63)</f>
        <v>0.564681625238666</v>
      </c>
      <c r="O125" s="32" t="n">
        <f aca="false">IF(O63=0,0,(O79-O107)/O63)</f>
        <v>0.594836447815802</v>
      </c>
      <c r="P125" s="32" t="n">
        <f aca="false">IF(P63=0,0,(P79-P107)/P63)</f>
        <v>0.617910712140767</v>
      </c>
      <c r="Q125" s="32" t="n">
        <f aca="false">IF(Q63=0,0,(Q79-Q107)/Q63)</f>
        <v>0.636086589537065</v>
      </c>
      <c r="R125" s="32" t="n">
        <f aca="false">IF(R63=0,0,(R79-R107)/R63)</f>
        <v>0.650746298549622</v>
      </c>
      <c r="S125" s="32" t="n">
        <f aca="false">IF(S63=0,0,(S79-S107)/S63)</f>
        <v>0.662805680842632</v>
      </c>
      <c r="T125" s="32" t="n">
        <f aca="false">IF(T63=0,0,(T79-T107)/T63)</f>
        <v>0.672894144052934</v>
      </c>
      <c r="U125" s="32" t="n">
        <f aca="false">IF(U63=0,0,(U79-U107)/U63)</f>
        <v>0.686449406902521</v>
      </c>
      <c r="V125" s="32" t="n">
        <f aca="false">IF(V63=0,0,(V79-V107)/V63)</f>
        <v>0.641048458131393</v>
      </c>
      <c r="W125" s="32" t="n">
        <f aca="false">IF(W63=0,0,(W79-W107)/W63)</f>
        <v>0.701458696250217</v>
      </c>
      <c r="X125" s="32" t="n">
        <f aca="false">IF(X63=0,0,(X79-X107)/X63)</f>
        <v>0.70734048395656</v>
      </c>
      <c r="Y125" s="32" t="n">
        <f aca="false">IF(Y63=0,0,(Y79-Y107)/Y63)</f>
        <v>0.712451122221115</v>
      </c>
      <c r="Z125" s="32" t="n">
        <f aca="false">IF(Z63=0,0,(Z79-Z107)/Z63)</f>
        <v>0.680015023875042</v>
      </c>
      <c r="AA125" s="32" t="n">
        <f aca="false">IF(AA63=0,0,(AA79-AA107)/AA63)</f>
        <v>0.687061250714949</v>
      </c>
      <c r="AB125" s="32" t="n">
        <f aca="false">IF(AB63=0,0,(AB79-AB107)/AB63)</f>
        <v>0.693311086596374</v>
      </c>
      <c r="AC125" s="32" t="n">
        <f aca="false">IF(AC63=0,0,(AC79-AC107)/AC63)</f>
        <v>0.698899977832148</v>
      </c>
      <c r="AD125" s="32" t="n">
        <f aca="false">IF(AD63=0,0,(AD79-AD107)/AD63)</f>
        <v>0.703934751588714</v>
      </c>
      <c r="AE125" s="32" t="n">
        <f aca="false">IF(AE63=0,0,(AE79-AE107)/AE63)</f>
        <v>0.710019681767528</v>
      </c>
      <c r="AF125" s="32" t="n">
        <f aca="false">IF(AF63=0,0,(AF79-AF107)/AF63)</f>
        <v>0.714494775626914</v>
      </c>
      <c r="AG125" s="32" t="n">
        <f aca="false">IF(AG63=0,0,(AG79-AG107)/AG63)</f>
        <v>0.718550474289825</v>
      </c>
      <c r="AH125" s="32" t="n">
        <f aca="false">IF(AH63=0,0,(AH79-AH107)/AH63)</f>
        <v>0.703045719907646</v>
      </c>
      <c r="AI125" s="32" t="n">
        <f aca="false">IF(AI63=0,0,(AI79-AI107)/AI63)</f>
        <v>0.725712233997245</v>
      </c>
      <c r="AJ125" s="32" t="n">
        <f aca="false">IF(AJ63=0,0,(AJ79-AJ107)/AJ63)</f>
        <v>0.711473851134684</v>
      </c>
      <c r="AK125" s="32" t="n">
        <f aca="false">IF(AK63=0,0,(AK79-AK107)/AK63)</f>
        <v>0.715455692054427</v>
      </c>
      <c r="AL125" s="32" t="n">
        <f aca="false">IF(AL63=0,0,(AL79-AL107)/AL63)</f>
        <v>0.719152658931973</v>
      </c>
    </row>
    <row r="126" customFormat="false" ht="15" hidden="false" customHeight="false" outlineLevel="0" collapsed="false">
      <c r="A126" s="9" t="s">
        <v>666</v>
      </c>
      <c r="B126" s="2" t="s">
        <v>552</v>
      </c>
      <c r="C126" s="40" t="n">
        <f aca="false">IF(C116&lt;0,1,0)</f>
        <v>0</v>
      </c>
      <c r="D126" s="40" t="n">
        <f aca="false">IF(D116&lt;0,1,0)</f>
        <v>0</v>
      </c>
      <c r="E126" s="40" t="n">
        <f aca="false">IF(E116&lt;0,1,0)</f>
        <v>0</v>
      </c>
      <c r="F126" s="40" t="n">
        <f aca="false">IF(F116&lt;0,1,0)</f>
        <v>0</v>
      </c>
      <c r="G126" s="40" t="n">
        <f aca="false">IF(G116&lt;0,1,0)</f>
        <v>0</v>
      </c>
      <c r="H126" s="40" t="n">
        <f aca="false">IF(H116&lt;0,1,0)</f>
        <v>1</v>
      </c>
      <c r="I126" s="40" t="n">
        <f aca="false">IF(I116&lt;0,1,0)</f>
        <v>1</v>
      </c>
      <c r="J126" s="40" t="n">
        <f aca="false">IF(J116&lt;0,1,0)</f>
        <v>1</v>
      </c>
      <c r="K126" s="40" t="n">
        <f aca="false">IF(K116&lt;0,1,0)</f>
        <v>1</v>
      </c>
      <c r="L126" s="40" t="n">
        <f aca="false">IF(L116&lt;0,1,0)</f>
        <v>1</v>
      </c>
      <c r="M126" s="40" t="n">
        <f aca="false">IF(M116&lt;0,1,0)</f>
        <v>1</v>
      </c>
      <c r="N126" s="40" t="n">
        <f aca="false">IF(N116&lt;0,1,0)</f>
        <v>1</v>
      </c>
      <c r="O126" s="40" t="n">
        <f aca="false">IF(O116&lt;0,1,0)</f>
        <v>1</v>
      </c>
      <c r="P126" s="40" t="n">
        <f aca="false">IF(P116&lt;0,1,0)</f>
        <v>1</v>
      </c>
      <c r="Q126" s="40" t="n">
        <f aca="false">IF(Q116&lt;0,1,0)</f>
        <v>1</v>
      </c>
      <c r="R126" s="40" t="n">
        <f aca="false">IF(R116&lt;0,1,0)</f>
        <v>1</v>
      </c>
      <c r="S126" s="40" t="n">
        <f aca="false">IF(S116&lt;0,1,0)</f>
        <v>1</v>
      </c>
      <c r="T126" s="40" t="n">
        <f aca="false">IF(T116&lt;0,1,0)</f>
        <v>1</v>
      </c>
      <c r="U126" s="40" t="n">
        <f aca="false">IF(U116&lt;0,1,0)</f>
        <v>1</v>
      </c>
      <c r="V126" s="40" t="n">
        <f aca="false">IF(V116&lt;0,1,0)</f>
        <v>1</v>
      </c>
      <c r="W126" s="40" t="n">
        <f aca="false">IF(W116&lt;0,1,0)</f>
        <v>1</v>
      </c>
      <c r="X126" s="40" t="n">
        <f aca="false">IF(X116&lt;0,1,0)</f>
        <v>1</v>
      </c>
      <c r="Y126" s="40" t="n">
        <f aca="false">IF(Y116&lt;0,1,0)</f>
        <v>1</v>
      </c>
      <c r="Z126" s="40" t="n">
        <f aca="false">IF(Z116&lt;0,1,0)</f>
        <v>1</v>
      </c>
      <c r="AA126" s="40" t="n">
        <f aca="false">IF(AA116&lt;0,1,0)</f>
        <v>0</v>
      </c>
      <c r="AB126" s="40" t="n">
        <f aca="false">IF(AB116&lt;0,1,0)</f>
        <v>0</v>
      </c>
      <c r="AC126" s="40" t="n">
        <f aca="false">IF(AC116&lt;0,1,0)</f>
        <v>0</v>
      </c>
      <c r="AD126" s="40" t="n">
        <f aca="false">IF(AD116&lt;0,1,0)</f>
        <v>0</v>
      </c>
      <c r="AE126" s="40" t="n">
        <f aca="false">IF(AE116&lt;0,1,0)</f>
        <v>0</v>
      </c>
      <c r="AF126" s="40" t="n">
        <f aca="false">IF(AF116&lt;0,1,0)</f>
        <v>0</v>
      </c>
      <c r="AG126" s="40" t="n">
        <f aca="false">IF(AG116&lt;0,1,0)</f>
        <v>0</v>
      </c>
      <c r="AH126" s="40" t="n">
        <f aca="false">IF(AH116&lt;0,1,0)</f>
        <v>0</v>
      </c>
      <c r="AI126" s="40" t="n">
        <f aca="false">IF(AI116&lt;0,1,0)</f>
        <v>0</v>
      </c>
      <c r="AJ126" s="40" t="n">
        <f aca="false">IF(AJ116&lt;0,1,0)</f>
        <v>0</v>
      </c>
      <c r="AK126" s="40" t="n">
        <f aca="false">IF(AK116&lt;0,1,0)</f>
        <v>0</v>
      </c>
      <c r="AL126" s="40" t="n">
        <f aca="false">IF(AL116&lt;0,1,0)</f>
        <v>0</v>
      </c>
    </row>
    <row r="127" customFormat="false" ht="15" hidden="false" customHeight="false" outlineLevel="0" collapsed="false">
      <c r="A127" s="9" t="s">
        <v>667</v>
      </c>
      <c r="B127" s="2" t="s">
        <v>552</v>
      </c>
      <c r="C127" s="40" t="n">
        <f aca="false">IF(C25&gt;0,1,0)</f>
        <v>0</v>
      </c>
      <c r="D127" s="40" t="n">
        <f aca="false">IF(D25&gt;0,1,0)</f>
        <v>0</v>
      </c>
      <c r="E127" s="40" t="n">
        <f aca="false">IF(E25&gt;0,1,0)</f>
        <v>0</v>
      </c>
      <c r="F127" s="40" t="n">
        <f aca="false">IF(F25&gt;0,1,0)</f>
        <v>0</v>
      </c>
      <c r="G127" s="40" t="n">
        <f aca="false">IF(G25&gt;0,1,0)</f>
        <v>0</v>
      </c>
      <c r="H127" s="40" t="n">
        <f aca="false">IF(H25&gt;0,1,0)</f>
        <v>0</v>
      </c>
      <c r="I127" s="40" t="n">
        <f aca="false">IF(I25&gt;0,1,0)</f>
        <v>0</v>
      </c>
      <c r="J127" s="40" t="n">
        <f aca="false">IF(J25&gt;0,1,0)</f>
        <v>0</v>
      </c>
      <c r="K127" s="40" t="n">
        <f aca="false">IF(K25&gt;0,1,0)</f>
        <v>0</v>
      </c>
      <c r="L127" s="40" t="n">
        <f aca="false">IF(L25&gt;0,1,0)</f>
        <v>1</v>
      </c>
      <c r="M127" s="40" t="n">
        <f aca="false">IF(M25&gt;0,1,0)</f>
        <v>1</v>
      </c>
      <c r="N127" s="40" t="n">
        <f aca="false">IF(N25&gt;0,1,0)</f>
        <v>1</v>
      </c>
      <c r="O127" s="40" t="n">
        <f aca="false">IF(O25&gt;0,1,0)</f>
        <v>1</v>
      </c>
      <c r="P127" s="40" t="n">
        <f aca="false">IF(P25&gt;0,1,0)</f>
        <v>1</v>
      </c>
      <c r="Q127" s="40" t="n">
        <f aca="false">IF(Q25&gt;0,1,0)</f>
        <v>1</v>
      </c>
      <c r="R127" s="40" t="n">
        <f aca="false">IF(R25&gt;0,1,0)</f>
        <v>1</v>
      </c>
      <c r="S127" s="40" t="n">
        <f aca="false">IF(S25&gt;0,1,0)</f>
        <v>1</v>
      </c>
      <c r="T127" s="40" t="n">
        <f aca="false">IF(T25&gt;0,1,0)</f>
        <v>1</v>
      </c>
      <c r="U127" s="40" t="n">
        <f aca="false">IF(U25&gt;0,1,0)</f>
        <v>1</v>
      </c>
      <c r="V127" s="40" t="n">
        <f aca="false">IF(V25&gt;0,1,0)</f>
        <v>1</v>
      </c>
      <c r="W127" s="40" t="n">
        <f aca="false">IF(W25&gt;0,1,0)</f>
        <v>1</v>
      </c>
      <c r="X127" s="40" t="n">
        <f aca="false">IF(X25&gt;0,1,0)</f>
        <v>1</v>
      </c>
      <c r="Y127" s="40" t="n">
        <f aca="false">IF(Y25&gt;0,1,0)</f>
        <v>1</v>
      </c>
      <c r="Z127" s="40" t="n">
        <f aca="false">IF(Z25&gt;0,1,0)</f>
        <v>1</v>
      </c>
      <c r="AA127" s="40" t="n">
        <f aca="false">IF(AA25&gt;0,1,0)</f>
        <v>1</v>
      </c>
      <c r="AB127" s="40" t="n">
        <f aca="false">IF(AB25&gt;0,1,0)</f>
        <v>1</v>
      </c>
      <c r="AC127" s="40" t="n">
        <f aca="false">IF(AC25&gt;0,1,0)</f>
        <v>1</v>
      </c>
      <c r="AD127" s="40" t="n">
        <f aca="false">IF(AD25&gt;0,1,0)</f>
        <v>1</v>
      </c>
      <c r="AE127" s="40" t="n">
        <f aca="false">IF(AE25&gt;0,1,0)</f>
        <v>1</v>
      </c>
      <c r="AF127" s="40" t="n">
        <f aca="false">IF(AF25&gt;0,1,0)</f>
        <v>1</v>
      </c>
      <c r="AG127" s="40" t="n">
        <f aca="false">IF(AG25&gt;0,1,0)</f>
        <v>1</v>
      </c>
      <c r="AH127" s="40" t="n">
        <f aca="false">IF(AH25&gt;0,1,0)</f>
        <v>1</v>
      </c>
      <c r="AI127" s="40" t="n">
        <f aca="false">IF(AI25&gt;0,1,0)</f>
        <v>1</v>
      </c>
      <c r="AJ127" s="40" t="n">
        <f aca="false">IF(AJ25&gt;0,1,0)</f>
        <v>1</v>
      </c>
      <c r="AK127" s="40" t="n">
        <f aca="false">IF(AK25&gt;0,1,0)</f>
        <v>1</v>
      </c>
      <c r="AL127" s="40" t="n">
        <f aca="false">IF(AL25&gt;0,1,0)</f>
        <v>1</v>
      </c>
    </row>
    <row r="128" customFormat="false" ht="15" hidden="false" customHeight="false" outlineLevel="0" collapsed="false">
      <c r="A128" s="9" t="s">
        <v>668</v>
      </c>
      <c r="B128" s="2" t="s">
        <v>146</v>
      </c>
      <c r="C128" s="42" t="n">
        <f aca="false">Assumptions!$D$182*Assumptions!$D$183</f>
        <v>63</v>
      </c>
      <c r="D128" s="42" t="n">
        <f aca="false">Assumptions!$D$182*Assumptions!$D$183</f>
        <v>63</v>
      </c>
      <c r="E128" s="42" t="n">
        <f aca="false">Assumptions!$D$182*Assumptions!$D$183</f>
        <v>63</v>
      </c>
      <c r="F128" s="42" t="n">
        <f aca="false">Assumptions!$D$182*Assumptions!$D$183</f>
        <v>63</v>
      </c>
      <c r="G128" s="42" t="n">
        <f aca="false">Assumptions!$D$182*Assumptions!$D$183</f>
        <v>63</v>
      </c>
      <c r="H128" s="42" t="n">
        <f aca="false">Assumptions!$D$182*Assumptions!$D$183</f>
        <v>63</v>
      </c>
      <c r="I128" s="42" t="n">
        <f aca="false">Assumptions!$D$182*Assumptions!$D$183</f>
        <v>63</v>
      </c>
      <c r="J128" s="42" t="n">
        <f aca="false">Assumptions!$D$182*Assumptions!$D$183</f>
        <v>63</v>
      </c>
      <c r="K128" s="42" t="n">
        <f aca="false">Assumptions!$D$182*Assumptions!$D$183</f>
        <v>63</v>
      </c>
      <c r="L128" s="42" t="n">
        <f aca="false">Assumptions!$D$182*Assumptions!$D$183</f>
        <v>63</v>
      </c>
      <c r="M128" s="42" t="n">
        <f aca="false">Assumptions!$D$182*Assumptions!$D$183</f>
        <v>63</v>
      </c>
      <c r="N128" s="42" t="n">
        <f aca="false">Assumptions!$D$182*Assumptions!$D$183</f>
        <v>63</v>
      </c>
      <c r="O128" s="42" t="n">
        <f aca="false">Assumptions!$D$182*Assumptions!$D$183</f>
        <v>63</v>
      </c>
      <c r="P128" s="42" t="n">
        <f aca="false">Assumptions!$D$182*Assumptions!$D$183</f>
        <v>63</v>
      </c>
      <c r="Q128" s="42" t="n">
        <f aca="false">Assumptions!$D$182*Assumptions!$D$183</f>
        <v>63</v>
      </c>
      <c r="R128" s="42" t="n">
        <f aca="false">Assumptions!$D$182*Assumptions!$D$183</f>
        <v>63</v>
      </c>
      <c r="S128" s="42" t="n">
        <f aca="false">Assumptions!$D$182*Assumptions!$D$183</f>
        <v>63</v>
      </c>
      <c r="T128" s="42" t="n">
        <f aca="false">Assumptions!$D$182*Assumptions!$D$183</f>
        <v>63</v>
      </c>
      <c r="U128" s="42" t="n">
        <f aca="false">Assumptions!$D$182*Assumptions!$D$183</f>
        <v>63</v>
      </c>
      <c r="V128" s="42" t="n">
        <f aca="false">Assumptions!$D$182*Assumptions!$D$183</f>
        <v>63</v>
      </c>
      <c r="W128" s="42" t="n">
        <f aca="false">Assumptions!$D$182*Assumptions!$D$183</f>
        <v>63</v>
      </c>
      <c r="X128" s="42" t="n">
        <f aca="false">Assumptions!$D$182*Assumptions!$D$183</f>
        <v>63</v>
      </c>
      <c r="Y128" s="42" t="n">
        <f aca="false">Assumptions!$D$182*Assumptions!$D$183</f>
        <v>63</v>
      </c>
      <c r="Z128" s="42" t="n">
        <f aca="false">Assumptions!$D$182*Assumptions!$D$183</f>
        <v>63</v>
      </c>
      <c r="AA128" s="42" t="n">
        <f aca="false">Assumptions!$D$182*Assumptions!$D$183</f>
        <v>63</v>
      </c>
      <c r="AB128" s="42" t="n">
        <f aca="false">Assumptions!$D$182*Assumptions!$D$183</f>
        <v>63</v>
      </c>
      <c r="AC128" s="42" t="n">
        <f aca="false">Assumptions!$D$182*Assumptions!$D$183</f>
        <v>63</v>
      </c>
      <c r="AD128" s="42" t="n">
        <f aca="false">Assumptions!$D$182*Assumptions!$D$183</f>
        <v>63</v>
      </c>
      <c r="AE128" s="42" t="n">
        <f aca="false">Assumptions!$D$182*Assumptions!$D$183</f>
        <v>63</v>
      </c>
      <c r="AF128" s="42" t="n">
        <f aca="false">Assumptions!$D$182*Assumptions!$D$183</f>
        <v>63</v>
      </c>
      <c r="AG128" s="42" t="n">
        <f aca="false">Assumptions!$D$182*Assumptions!$D$183</f>
        <v>63</v>
      </c>
      <c r="AH128" s="42" t="n">
        <f aca="false">Assumptions!$D$182*Assumptions!$D$183</f>
        <v>63</v>
      </c>
      <c r="AI128" s="42" t="n">
        <f aca="false">Assumptions!$D$182*Assumptions!$D$183</f>
        <v>63</v>
      </c>
      <c r="AJ128" s="42" t="n">
        <f aca="false">Assumptions!$D$182*Assumptions!$D$183</f>
        <v>63</v>
      </c>
      <c r="AK128" s="42" t="n">
        <f aca="false">Assumptions!$D$182*Assumptions!$D$183</f>
        <v>63</v>
      </c>
      <c r="AL128" s="42" t="n">
        <f aca="false">Assumptions!$D$182*Assumptions!$D$183</f>
        <v>63</v>
      </c>
    </row>
    <row r="129" customFormat="false" ht="15" hidden="false" customHeight="false" outlineLevel="0" collapsed="false">
      <c r="A129" s="9" t="s">
        <v>669</v>
      </c>
      <c r="B129" s="2" t="s">
        <v>552</v>
      </c>
      <c r="C129" s="40" t="n">
        <f aca="false">IF(C124&gt;C128,1,0)</f>
        <v>0</v>
      </c>
      <c r="D129" s="40" t="n">
        <f aca="false">IF(D124&gt;D128,1,0)</f>
        <v>0</v>
      </c>
      <c r="E129" s="40" t="n">
        <f aca="false">IF(E124&gt;E128,1,0)</f>
        <v>0</v>
      </c>
      <c r="F129" s="40" t="n">
        <f aca="false">IF(F124&gt;F128,1,0)</f>
        <v>0</v>
      </c>
      <c r="G129" s="40" t="n">
        <f aca="false">IF(G124&gt;G128,1,0)</f>
        <v>0</v>
      </c>
      <c r="H129" s="40" t="n">
        <f aca="false">IF(H124&gt;H128,1,0)</f>
        <v>0</v>
      </c>
      <c r="I129" s="40" t="n">
        <f aca="false">IF(I124&gt;I128,1,0)</f>
        <v>0</v>
      </c>
      <c r="J129" s="40" t="n">
        <f aca="false">IF(J124&gt;J128,1,0)</f>
        <v>0</v>
      </c>
      <c r="K129" s="40" t="n">
        <f aca="false">IF(K124&gt;K128,1,0)</f>
        <v>0</v>
      </c>
      <c r="L129" s="40" t="n">
        <f aca="false">IF(L124&gt;L128,1,0)</f>
        <v>1</v>
      </c>
      <c r="M129" s="40" t="n">
        <f aca="false">IF(M124&gt;M128,1,0)</f>
        <v>1</v>
      </c>
      <c r="N129" s="40" t="n">
        <f aca="false">IF(N124&gt;N128,1,0)</f>
        <v>1</v>
      </c>
      <c r="O129" s="40" t="n">
        <f aca="false">IF(O124&gt;O128,1,0)</f>
        <v>1</v>
      </c>
      <c r="P129" s="40" t="n">
        <f aca="false">IF(P124&gt;P128,1,0)</f>
        <v>1</v>
      </c>
      <c r="Q129" s="40" t="n">
        <f aca="false">IF(Q124&gt;Q128,1,0)</f>
        <v>1</v>
      </c>
      <c r="R129" s="40" t="n">
        <f aca="false">IF(R124&gt;R128,1,0)</f>
        <v>1</v>
      </c>
      <c r="S129" s="40" t="n">
        <f aca="false">IF(S124&gt;S128,1,0)</f>
        <v>1</v>
      </c>
      <c r="T129" s="40" t="n">
        <f aca="false">IF(T124&gt;T128,1,0)</f>
        <v>1</v>
      </c>
      <c r="U129" s="40" t="n">
        <f aca="false">IF(U124&gt;U128,1,0)</f>
        <v>1</v>
      </c>
      <c r="V129" s="40" t="n">
        <f aca="false">IF(V124&gt;V128,1,0)</f>
        <v>1</v>
      </c>
      <c r="W129" s="40" t="n">
        <f aca="false">IF(W124&gt;W128,1,0)</f>
        <v>1</v>
      </c>
      <c r="X129" s="40" t="n">
        <f aca="false">IF(X124&gt;X128,1,0)</f>
        <v>1</v>
      </c>
      <c r="Y129" s="40" t="n">
        <f aca="false">IF(Y124&gt;Y128,1,0)</f>
        <v>1</v>
      </c>
      <c r="Z129" s="40" t="n">
        <f aca="false">IF(Z124&gt;Z128,1,0)</f>
        <v>1</v>
      </c>
      <c r="AA129" s="40" t="n">
        <f aca="false">IF(AA124&gt;AA128,1,0)</f>
        <v>1</v>
      </c>
      <c r="AB129" s="40" t="n">
        <f aca="false">IF(AB124&gt;AB128,1,0)</f>
        <v>1</v>
      </c>
      <c r="AC129" s="40" t="n">
        <f aca="false">IF(AC124&gt;AC128,1,0)</f>
        <v>1</v>
      </c>
      <c r="AD129" s="40" t="n">
        <f aca="false">IF(AD124&gt;AD128,1,0)</f>
        <v>1</v>
      </c>
      <c r="AE129" s="40" t="n">
        <f aca="false">IF(AE124&gt;AE128,1,0)</f>
        <v>1</v>
      </c>
      <c r="AF129" s="40" t="n">
        <f aca="false">IF(AF124&gt;AF128,1,0)</f>
        <v>1</v>
      </c>
      <c r="AG129" s="40" t="n">
        <f aca="false">IF(AG124&gt;AG128,1,0)</f>
        <v>1</v>
      </c>
      <c r="AH129" s="40" t="n">
        <f aca="false">IF(AH124&gt;AH128,1,0)</f>
        <v>1</v>
      </c>
      <c r="AI129" s="40" t="n">
        <f aca="false">IF(AI124&gt;AI128,1,0)</f>
        <v>1</v>
      </c>
      <c r="AJ129" s="40" t="n">
        <f aca="false">IF(AJ124&gt;AJ128,1,0)</f>
        <v>1</v>
      </c>
      <c r="AK129" s="40" t="n">
        <f aca="false">IF(AK124&gt;AK128,1,0)</f>
        <v>1</v>
      </c>
      <c r="AL129" s="40" t="n">
        <f aca="false">IF(AL124&gt;AL128,1,0)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9" min="2" style="0" width="16"/>
  </cols>
  <sheetData>
    <row r="1" customFormat="false" ht="17.35" hidden="false" customHeight="false" outlineLevel="0" collapsed="false">
      <c r="A1" s="1" t="s">
        <v>672</v>
      </c>
      <c r="B1" s="2"/>
      <c r="C1" s="2"/>
      <c r="D1" s="2"/>
      <c r="E1" s="2"/>
      <c r="F1" s="2"/>
      <c r="G1" s="2"/>
    </row>
    <row r="2" customFormat="false" ht="15" hidden="false" customHeight="false" outlineLevel="0" collapsed="false">
      <c r="A2" s="2"/>
      <c r="B2" s="2"/>
      <c r="C2" s="2"/>
      <c r="D2" s="2"/>
      <c r="E2" s="2"/>
      <c r="F2" s="2"/>
      <c r="G2" s="2"/>
    </row>
    <row r="3" customFormat="false" ht="15" hidden="false" customHeight="false" outlineLevel="0" collapsed="false">
      <c r="A3" s="8" t="s">
        <v>673</v>
      </c>
      <c r="B3" s="8" t="s">
        <v>674</v>
      </c>
      <c r="C3" s="8" t="s">
        <v>675</v>
      </c>
      <c r="D3" s="8" t="s">
        <v>96</v>
      </c>
      <c r="E3" s="8" t="s">
        <v>676</v>
      </c>
      <c r="F3" s="2"/>
      <c r="G3" s="2"/>
    </row>
    <row r="4" customFormat="false" ht="15" hidden="false" customHeight="false" outlineLevel="0" collapsed="false">
      <c r="A4" s="2" t="s">
        <v>677</v>
      </c>
      <c r="B4" s="12" t="n">
        <f aca="false">10000</f>
        <v>10000</v>
      </c>
      <c r="C4" s="39" t="n">
        <f aca="false">IF(COUNTIF(Model_Bear!$C$121:$AL$121,"&lt;"&amp;$B4)&gt;=36,"Not reached in 36m",COUNTIF(Model_Bear!$C$121:$AL$121,"&lt;"&amp;$B4)+1)</f>
        <v>25</v>
      </c>
      <c r="D4" s="39" t="n">
        <f aca="false">IF(COUNTIF(Model_Base!$C$121:$AL$121,"&lt;"&amp;$B4)&gt;=36,"Not reached in 36m",COUNTIF(Model_Base!$C$121:$AL$121,"&lt;"&amp;$B4)+1)</f>
        <v>16</v>
      </c>
      <c r="E4" s="39" t="n">
        <f aca="false">IF(COUNTIF(Model_Bull!$C$121:$AL$121,"&lt;"&amp;$B4)&gt;=36,"Not reached in 36m",COUNTIF(Model_Bull!$C$121:$AL$121,"&lt;"&amp;$B4)+1)</f>
        <v>11</v>
      </c>
      <c r="F4" s="2"/>
      <c r="G4" s="2"/>
    </row>
    <row r="5" customFormat="false" ht="15" hidden="false" customHeight="false" outlineLevel="0" collapsed="false">
      <c r="A5" s="2" t="s">
        <v>678</v>
      </c>
      <c r="B5" s="12" t="n">
        <f aca="false">25000</f>
        <v>25000</v>
      </c>
      <c r="C5" s="39" t="n">
        <f aca="false">IF(COUNTIF(Model_Bear!$C$121:$AL$121,"&lt;"&amp;$B5)&gt;=36,"Not reached in 36m",COUNTIF(Model_Bear!$C$121:$AL$121,"&lt;"&amp;$B5)+1)</f>
        <v>36</v>
      </c>
      <c r="D5" s="39" t="n">
        <f aca="false">IF(COUNTIF(Model_Base!$C$121:$AL$121,"&lt;"&amp;$B5)&gt;=36,"Not reached in 36m",COUNTIF(Model_Base!$C$121:$AL$121,"&lt;"&amp;$B5)+1)</f>
        <v>22</v>
      </c>
      <c r="E5" s="39" t="n">
        <f aca="false">IF(COUNTIF(Model_Bull!$C$121:$AL$121,"&lt;"&amp;$B5)&gt;=36,"Not reached in 36m",COUNTIF(Model_Bull!$C$121:$AL$121,"&lt;"&amp;$B5)+1)</f>
        <v>15</v>
      </c>
      <c r="F5" s="2"/>
      <c r="G5" s="2"/>
    </row>
    <row r="6" customFormat="false" ht="15" hidden="false" customHeight="false" outlineLevel="0" collapsed="false">
      <c r="A6" s="2" t="s">
        <v>679</v>
      </c>
      <c r="B6" s="12" t="n">
        <f aca="false">50000</f>
        <v>50000</v>
      </c>
      <c r="C6" s="39" t="str">
        <f aca="false">IF(COUNTIF(Model_Bear!$C$121:$AL$121,"&lt;"&amp;$B6)&gt;=36,"Not reached in 36m",COUNTIF(Model_Bear!$C$121:$AL$121,"&lt;"&amp;$B6)+1)</f>
        <v>Not reached in 36m</v>
      </c>
      <c r="D6" s="39" t="n">
        <f aca="false">IF(COUNTIF(Model_Base!$C$121:$AL$121,"&lt;"&amp;$B6)&gt;=36,"Not reached in 36m",COUNTIF(Model_Base!$C$121:$AL$121,"&lt;"&amp;$B6)+1)</f>
        <v>29</v>
      </c>
      <c r="E6" s="39" t="n">
        <f aca="false">IF(COUNTIF(Model_Bull!$C$121:$AL$121,"&lt;"&amp;$B6)&gt;=36,"Not reached in 36m",COUNTIF(Model_Bull!$C$121:$AL$121,"&lt;"&amp;$B6)+1)</f>
        <v>20</v>
      </c>
      <c r="F6" s="2"/>
      <c r="G6" s="2"/>
    </row>
    <row r="7" customFormat="false" ht="15" hidden="false" customHeight="false" outlineLevel="0" collapsed="false">
      <c r="A7" s="2" t="s">
        <v>680</v>
      </c>
      <c r="B7" s="12" t="n">
        <f aca="false">100000</f>
        <v>100000</v>
      </c>
      <c r="C7" s="39" t="str">
        <f aca="false">IF(COUNTIF(Model_Bear!$C$121:$AL$121,"&lt;"&amp;$B7)&gt;=36,"Not reached in 36m",COUNTIF(Model_Bear!$C$121:$AL$121,"&lt;"&amp;$B7)+1)</f>
        <v>Not reached in 36m</v>
      </c>
      <c r="D7" s="39" t="str">
        <f aca="false">IF(COUNTIF(Model_Base!$C$121:$AL$121,"&lt;"&amp;$B7)&gt;=36,"Not reached in 36m",COUNTIF(Model_Base!$C$121:$AL$121,"&lt;"&amp;$B7)+1)</f>
        <v>Not reached in 36m</v>
      </c>
      <c r="E7" s="39" t="n">
        <f aca="false">IF(COUNTIF(Model_Bull!$C$121:$AL$121,"&lt;"&amp;$B7)&gt;=36,"Not reached in 36m",COUNTIF(Model_Bull!$C$121:$AL$121,"&lt;"&amp;$B7)+1)</f>
        <v>28</v>
      </c>
      <c r="F7" s="2"/>
      <c r="G7" s="2"/>
    </row>
    <row r="8" customFormat="false" ht="15" hidden="false" customHeight="false" outlineLevel="0" collapsed="false">
      <c r="A8" s="2" t="s">
        <v>681</v>
      </c>
      <c r="B8" s="12" t="n">
        <f aca="false">250000</f>
        <v>250000</v>
      </c>
      <c r="C8" s="39" t="str">
        <f aca="false">IF(COUNTIF(Model_Bear!$C$121:$AL$121,"&lt;"&amp;$B8)&gt;=36,"Not reached in 36m",COUNTIF(Model_Bear!$C$121:$AL$121,"&lt;"&amp;$B8)+1)</f>
        <v>Not reached in 36m</v>
      </c>
      <c r="D8" s="39" t="str">
        <f aca="false">IF(COUNTIF(Model_Base!$C$121:$AL$121,"&lt;"&amp;$B8)&gt;=36,"Not reached in 36m",COUNTIF(Model_Base!$C$121:$AL$121,"&lt;"&amp;$B8)+1)</f>
        <v>Not reached in 36m</v>
      </c>
      <c r="E8" s="39" t="str">
        <f aca="false">IF(COUNTIF(Model_Bull!$C$121:$AL$121,"&lt;"&amp;$B8)&gt;=36,"Not reached in 36m",COUNTIF(Model_Bull!$C$121:$AL$121,"&lt;"&amp;$B8)+1)</f>
        <v>Not reached in 36m</v>
      </c>
      <c r="F8" s="2"/>
      <c r="G8" s="2"/>
    </row>
    <row r="9" customFormat="false" ht="15" hidden="false" customHeight="false" outlineLevel="0" collapsed="false">
      <c r="A9" s="2" t="s">
        <v>682</v>
      </c>
      <c r="B9" s="12" t="n">
        <f aca="false">1000000/12</f>
        <v>83333.3333333333</v>
      </c>
      <c r="C9" s="39" t="str">
        <f aca="false">IF(COUNTIF(Model_Bear!$C$121:$AL$121,"&lt;"&amp;$B9)&gt;=36,"Not reached in 36m",COUNTIF(Model_Bear!$C$121:$AL$121,"&lt;"&amp;$B9)+1)</f>
        <v>Not reached in 36m</v>
      </c>
      <c r="D9" s="39" t="str">
        <f aca="false">IF(COUNTIF(Model_Base!$C$121:$AL$121,"&lt;"&amp;$B9)&gt;=36,"Not reached in 36m",COUNTIF(Model_Base!$C$121:$AL$121,"&lt;"&amp;$B9)+1)</f>
        <v>Not reached in 36m</v>
      </c>
      <c r="E9" s="39" t="n">
        <f aca="false">IF(COUNTIF(Model_Bull!$C$121:$AL$121,"&lt;"&amp;$B9)&gt;=36,"Not reached in 36m",COUNTIF(Model_Bull!$C$121:$AL$121,"&lt;"&amp;$B9)+1)</f>
        <v>25</v>
      </c>
      <c r="F9" s="2"/>
      <c r="G9" s="2"/>
    </row>
    <row r="10" customFormat="false" ht="15" hidden="false" customHeight="false" outlineLevel="0" collapsed="false">
      <c r="A10" s="2" t="s">
        <v>683</v>
      </c>
      <c r="B10" s="12" t="n">
        <f aca="false">5000000/12</f>
        <v>416666.666666667</v>
      </c>
      <c r="C10" s="39" t="str">
        <f aca="false">IF(COUNTIF(Model_Bear!$C$121:$AL$121,"&lt;"&amp;$B10)&gt;=36,"Not reached in 36m",COUNTIF(Model_Bear!$C$121:$AL$121,"&lt;"&amp;$B10)+1)</f>
        <v>Not reached in 36m</v>
      </c>
      <c r="D10" s="39" t="str">
        <f aca="false">IF(COUNTIF(Model_Base!$C$121:$AL$121,"&lt;"&amp;$B10)&gt;=36,"Not reached in 36m",COUNTIF(Model_Base!$C$121:$AL$121,"&lt;"&amp;$B10)+1)</f>
        <v>Not reached in 36m</v>
      </c>
      <c r="E10" s="39" t="str">
        <f aca="false">IF(COUNTIF(Model_Bull!$C$121:$AL$121,"&lt;"&amp;$B10)&gt;=36,"Not reached in 36m",COUNTIF(Model_Bull!$C$121:$AL$121,"&lt;"&amp;$B10)+1)</f>
        <v>Not reached in 36m</v>
      </c>
      <c r="F10" s="2"/>
      <c r="G10" s="2"/>
    </row>
    <row r="11" customFormat="false" ht="15" hidden="false" customHeight="false" outlineLevel="0" collapsed="false">
      <c r="A11" s="2"/>
      <c r="B11" s="2"/>
      <c r="C11" s="2"/>
      <c r="D11" s="2"/>
      <c r="E11" s="2"/>
      <c r="F11" s="2"/>
      <c r="G11" s="2"/>
    </row>
    <row r="12" customFormat="false" ht="15" hidden="false" customHeight="false" outlineLevel="0" collapsed="false">
      <c r="A12" s="5" t="s">
        <v>684</v>
      </c>
      <c r="B12" s="6"/>
      <c r="C12" s="6"/>
      <c r="D12" s="6"/>
      <c r="E12" s="6"/>
      <c r="F12" s="6"/>
      <c r="G12" s="6"/>
    </row>
    <row r="13" customFormat="false" ht="15" hidden="false" customHeight="false" outlineLevel="0" collapsed="false">
      <c r="A13" s="8" t="s">
        <v>673</v>
      </c>
      <c r="B13" s="8" t="s">
        <v>685</v>
      </c>
      <c r="C13" s="8" t="s">
        <v>319</v>
      </c>
      <c r="D13" s="8" t="s">
        <v>320</v>
      </c>
      <c r="E13" s="8" t="s">
        <v>321</v>
      </c>
      <c r="F13" s="8" t="s">
        <v>322</v>
      </c>
      <c r="G13" s="8" t="s">
        <v>686</v>
      </c>
    </row>
    <row r="14" customFormat="false" ht="15" hidden="false" customHeight="false" outlineLevel="0" collapsed="false">
      <c r="A14" s="2" t="s">
        <v>687</v>
      </c>
      <c r="B14" s="2"/>
      <c r="C14" s="32" t="n">
        <f aca="false">IF(INDEX(Model_Base!$C$43:$AL$43,36)=0,0,INDEX(Model_Base!$C$39:$AL$39,36)/INDEX(Model_Base!$C$43:$AL$43,36))</f>
        <v>0.186566866381428</v>
      </c>
      <c r="D14" s="32" t="n">
        <f aca="false">IF(INDEX(Model_Base!$C$43:$AL$43,36)=0,0,INDEX(Model_Base!$C$40:$AL$40,36)/INDEX(Model_Base!$C$43:$AL$43,36))</f>
        <v>0.18293043971568</v>
      </c>
      <c r="E14" s="32" t="n">
        <f aca="false">IF(INDEX(Model_Base!$C$43:$AL$43,36)=0,0,INDEX(Model_Base!$C$41:$AL$41,36)/INDEX(Model_Base!$C$43:$AL$43,36))</f>
        <v>0.321963020269118</v>
      </c>
      <c r="F14" s="32" t="n">
        <f aca="false">IF(INDEX(Model_Base!$C$43:$AL$43,36)=0,0,INDEX(Model_Base!$C$42:$AL$42,36)/INDEX(Model_Base!$C$43:$AL$43,36))</f>
        <v>0.308539673633775</v>
      </c>
      <c r="G14" s="2"/>
    </row>
    <row r="15" customFormat="false" ht="15" hidden="false" customHeight="false" outlineLevel="0" collapsed="false">
      <c r="A15" s="2" t="s">
        <v>688</v>
      </c>
      <c r="B15" s="2"/>
      <c r="C15" s="37" t="n">
        <f aca="false">INDEX(Model_Base!$C$45:$AL$45,36)</f>
        <v>136.55904298436</v>
      </c>
      <c r="D15" s="37" t="n">
        <f aca="false">INDEX(Model_Base!$C$46:$AL$46,36)</f>
        <v>443.920198176826</v>
      </c>
      <c r="E15" s="37" t="n">
        <f aca="false">INDEX(Model_Base!$C$47:$AL$47,36)</f>
        <v>1450.5605931056</v>
      </c>
      <c r="F15" s="37" t="n">
        <f aca="false">INDEX(Model_Base!$C$48:$AL$48,36)</f>
        <v>5472.53725332007</v>
      </c>
      <c r="G15" s="2"/>
    </row>
    <row r="16" customFormat="false" ht="15" hidden="false" customHeight="false" outlineLevel="0" collapsed="false">
      <c r="A16" s="2" t="s">
        <v>677</v>
      </c>
      <c r="B16" s="37" t="n">
        <f aca="false">$B$4</f>
        <v>10000</v>
      </c>
      <c r="C16" s="40" t="n">
        <f aca="false">IF(C$15=0,0,$B16*C$14/C$15)</f>
        <v>13.6619928130863</v>
      </c>
      <c r="D16" s="40" t="n">
        <f aca="false">IF(D$15=0,0,$B16*D$14/D$15)</f>
        <v>4.12079559495091</v>
      </c>
      <c r="E16" s="40" t="n">
        <f aca="false">IF(E$15=0,0,$B16*E$14/E$15)</f>
        <v>2.21957649890244</v>
      </c>
      <c r="F16" s="40" t="n">
        <f aca="false">IF(F$15=0,0,$B16*F$14/F$15)</f>
        <v>0.563796387948917</v>
      </c>
      <c r="G16" s="40" t="n">
        <f aca="false">SUM(C16:F16)</f>
        <v>20.5661612948886</v>
      </c>
    </row>
    <row r="17" customFormat="false" ht="15" hidden="false" customHeight="false" outlineLevel="0" collapsed="false">
      <c r="A17" s="2" t="s">
        <v>678</v>
      </c>
      <c r="B17" s="37" t="n">
        <f aca="false">$B$5</f>
        <v>25000</v>
      </c>
      <c r="C17" s="40" t="n">
        <f aca="false">IF(C$15=0,0,$B17*C$14/C$15)</f>
        <v>34.1549820327158</v>
      </c>
      <c r="D17" s="40" t="n">
        <f aca="false">IF(D$15=0,0,$B17*D$14/D$15)</f>
        <v>10.3019889873773</v>
      </c>
      <c r="E17" s="40" t="n">
        <f aca="false">IF(E$15=0,0,$B17*E$14/E$15)</f>
        <v>5.54894124725609</v>
      </c>
      <c r="F17" s="40" t="n">
        <f aca="false">IF(F$15=0,0,$B17*F$14/F$15)</f>
        <v>1.40949096987229</v>
      </c>
      <c r="G17" s="40" t="n">
        <f aca="false">SUM(C17:F17)</f>
        <v>51.4154032372215</v>
      </c>
    </row>
    <row r="18" customFormat="false" ht="15" hidden="false" customHeight="false" outlineLevel="0" collapsed="false">
      <c r="A18" s="2" t="s">
        <v>679</v>
      </c>
      <c r="B18" s="37" t="n">
        <f aca="false">$B$6</f>
        <v>50000</v>
      </c>
      <c r="C18" s="40" t="n">
        <f aca="false">IF(C$15=0,0,$B18*C$14/C$15)</f>
        <v>68.3099640654316</v>
      </c>
      <c r="D18" s="40" t="n">
        <f aca="false">IF(D$15=0,0,$B18*D$14/D$15)</f>
        <v>20.6039779747545</v>
      </c>
      <c r="E18" s="40" t="n">
        <f aca="false">IF(E$15=0,0,$B18*E$14/E$15)</f>
        <v>11.0978824945122</v>
      </c>
      <c r="F18" s="40" t="n">
        <f aca="false">IF(F$15=0,0,$B18*F$14/F$15)</f>
        <v>2.81898193974459</v>
      </c>
      <c r="G18" s="40" t="n">
        <f aca="false">SUM(C18:F18)</f>
        <v>102.830806474443</v>
      </c>
    </row>
    <row r="19" customFormat="false" ht="15" hidden="false" customHeight="false" outlineLevel="0" collapsed="false">
      <c r="A19" s="2" t="s">
        <v>680</v>
      </c>
      <c r="B19" s="37" t="n">
        <f aca="false">$B$7</f>
        <v>100000</v>
      </c>
      <c r="C19" s="40" t="n">
        <f aca="false">IF(C$15=0,0,$B19*C$14/C$15)</f>
        <v>136.619928130863</v>
      </c>
      <c r="D19" s="40" t="n">
        <f aca="false">IF(D$15=0,0,$B19*D$14/D$15)</f>
        <v>41.2079559495091</v>
      </c>
      <c r="E19" s="40" t="n">
        <f aca="false">IF(E$15=0,0,$B19*E$14/E$15)</f>
        <v>22.1957649890244</v>
      </c>
      <c r="F19" s="40" t="n">
        <f aca="false">IF(F$15=0,0,$B19*F$14/F$15)</f>
        <v>5.63796387948917</v>
      </c>
      <c r="G19" s="40" t="n">
        <f aca="false">SUM(C19:F19)</f>
        <v>205.661612948886</v>
      </c>
    </row>
    <row r="20" customFormat="false" ht="15" hidden="false" customHeight="false" outlineLevel="0" collapsed="false">
      <c r="A20" s="2" t="s">
        <v>681</v>
      </c>
      <c r="B20" s="37" t="n">
        <f aca="false">$B$8</f>
        <v>250000</v>
      </c>
      <c r="C20" s="40" t="n">
        <f aca="false">IF(C$15=0,0,$B20*C$14/C$15)</f>
        <v>341.549820327158</v>
      </c>
      <c r="D20" s="40" t="n">
        <f aca="false">IF(D$15=0,0,$B20*D$14/D$15)</f>
        <v>103.019889873773</v>
      </c>
      <c r="E20" s="40" t="n">
        <f aca="false">IF(E$15=0,0,$B20*E$14/E$15)</f>
        <v>55.4894124725609</v>
      </c>
      <c r="F20" s="40" t="n">
        <f aca="false">IF(F$15=0,0,$B20*F$14/F$15)</f>
        <v>14.0949096987229</v>
      </c>
      <c r="G20" s="40" t="n">
        <f aca="false">SUM(C20:F20)</f>
        <v>514.154032372215</v>
      </c>
    </row>
    <row r="21" customFormat="false" ht="15" hidden="false" customHeight="false" outlineLevel="0" collapsed="false">
      <c r="A21" s="2" t="s">
        <v>682</v>
      </c>
      <c r="B21" s="37" t="n">
        <f aca="false">$B$9</f>
        <v>83333.3333333333</v>
      </c>
      <c r="C21" s="40" t="n">
        <f aca="false">IF(C$15=0,0,$B21*C$14/C$15)</f>
        <v>113.849940109053</v>
      </c>
      <c r="D21" s="40" t="n">
        <f aca="false">IF(D$15=0,0,$B21*D$14/D$15)</f>
        <v>34.3399632912576</v>
      </c>
      <c r="E21" s="40" t="n">
        <f aca="false">IF(E$15=0,0,$B21*E$14/E$15)</f>
        <v>18.496470824187</v>
      </c>
      <c r="F21" s="40" t="n">
        <f aca="false">IF(F$15=0,0,$B21*F$14/F$15)</f>
        <v>4.69830323290765</v>
      </c>
      <c r="G21" s="40" t="n">
        <f aca="false">SUM(C21:F21)</f>
        <v>171.384677457405</v>
      </c>
    </row>
    <row r="22" customFormat="false" ht="15" hidden="false" customHeight="false" outlineLevel="0" collapsed="false">
      <c r="A22" s="2" t="s">
        <v>683</v>
      </c>
      <c r="B22" s="37" t="n">
        <f aca="false">$B$10</f>
        <v>416666.666666667</v>
      </c>
      <c r="C22" s="40" t="n">
        <f aca="false">IF(C$15=0,0,$B22*C$14/C$15)</f>
        <v>569.249700545263</v>
      </c>
      <c r="D22" s="40" t="n">
        <f aca="false">IF(D$15=0,0,$B22*D$14/D$15)</f>
        <v>171.699816456288</v>
      </c>
      <c r="E22" s="40" t="n">
        <f aca="false">IF(E$15=0,0,$B22*E$14/E$15)</f>
        <v>92.4823541209348</v>
      </c>
      <c r="F22" s="40" t="n">
        <f aca="false">IF(F$15=0,0,$B22*F$14/F$15)</f>
        <v>23.4915161645382</v>
      </c>
      <c r="G22" s="40" t="n">
        <f aca="false">SUM(C22:F22)</f>
        <v>856.923387287024</v>
      </c>
    </row>
    <row r="23" customFormat="false" ht="15" hidden="false" customHeight="false" outlineLevel="0" collapsed="false">
      <c r="A23" s="2"/>
      <c r="B23" s="2"/>
      <c r="C23" s="2"/>
      <c r="D23" s="2"/>
      <c r="E23" s="2"/>
      <c r="F23" s="2"/>
      <c r="G23" s="2"/>
    </row>
    <row r="24" customFormat="false" ht="45" hidden="false" customHeight="true" outlineLevel="0" collapsed="false">
      <c r="A24" s="7" t="s">
        <v>689</v>
      </c>
      <c r="B24" s="7"/>
      <c r="C24" s="7"/>
      <c r="D24" s="7"/>
      <c r="E24" s="7"/>
      <c r="F24" s="7"/>
      <c r="G24" s="7"/>
    </row>
  </sheetData>
  <mergeCells count="1">
    <mergeCell ref="A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11" min="2" style="0" width="13"/>
  </cols>
  <sheetData>
    <row r="1" customFormat="false" ht="17.35" hidden="false" customHeight="false" outlineLevel="0" collapsed="false">
      <c r="A1" s="1" t="s">
        <v>690</v>
      </c>
      <c r="B1" s="2"/>
      <c r="C1" s="2"/>
      <c r="D1" s="2"/>
      <c r="E1" s="2"/>
      <c r="F1" s="2"/>
      <c r="G1" s="2"/>
      <c r="H1" s="2"/>
      <c r="I1" s="2"/>
      <c r="J1" s="2"/>
    </row>
    <row r="2" customFormat="false" ht="15" hidden="false" customHeight="false" outlineLevel="0" collapsed="false">
      <c r="A2" s="2"/>
      <c r="B2" s="2"/>
      <c r="C2" s="2"/>
      <c r="D2" s="2"/>
      <c r="E2" s="2"/>
      <c r="F2" s="2"/>
      <c r="G2" s="2"/>
      <c r="H2" s="2"/>
      <c r="I2" s="2"/>
      <c r="J2" s="2"/>
    </row>
    <row r="3" customFormat="false" ht="15" hidden="false" customHeight="false" outlineLevel="0" collapsed="false">
      <c r="A3" s="8" t="s">
        <v>499</v>
      </c>
      <c r="B3" s="38" t="s">
        <v>691</v>
      </c>
      <c r="C3" s="38" t="s">
        <v>692</v>
      </c>
      <c r="D3" s="38" t="s">
        <v>693</v>
      </c>
      <c r="E3" s="38" t="s">
        <v>694</v>
      </c>
      <c r="F3" s="38" t="s">
        <v>695</v>
      </c>
      <c r="G3" s="38" t="s">
        <v>696</v>
      </c>
      <c r="H3" s="38" t="s">
        <v>697</v>
      </c>
      <c r="I3" s="38" t="s">
        <v>698</v>
      </c>
      <c r="J3" s="38" t="s">
        <v>699</v>
      </c>
    </row>
    <row r="4" customFormat="false" ht="15" hidden="false" customHeight="false" outlineLevel="0" collapsed="false">
      <c r="A4" s="2" t="s">
        <v>700</v>
      </c>
      <c r="B4" s="37" t="n">
        <f aca="false">INDEX(Model_Bear!$C$43:$AL$43,12)</f>
        <v>874.540485286417</v>
      </c>
      <c r="C4" s="37" t="n">
        <f aca="false">INDEX(Model_Bear!$C$43:$AL$43,24)</f>
        <v>9586.54181196395</v>
      </c>
      <c r="D4" s="37" t="n">
        <f aca="false">INDEX(Model_Bear!$C$43:$AL$43,36)</f>
        <v>25085.0569545599</v>
      </c>
      <c r="E4" s="37" t="n">
        <f aca="false">INDEX(Model_Base!$C$43:$AL$43,12)</f>
        <v>4882.30548960662</v>
      </c>
      <c r="F4" s="37" t="n">
        <f aca="false">INDEX(Model_Base!$C$43:$AL$43,24)</f>
        <v>31821.8243836509</v>
      </c>
      <c r="G4" s="37" t="n">
        <f aca="false">INDEX(Model_Base!$C$43:$AL$43,36)</f>
        <v>83174.6632674504</v>
      </c>
      <c r="H4" s="37" t="n">
        <f aca="false">INDEX(Model_Bull!$C$43:$AL$43,12)</f>
        <v>15167.0643792852</v>
      </c>
      <c r="I4" s="37" t="n">
        <f aca="false">INDEX(Model_Bull!$C$43:$AL$43,24)</f>
        <v>77199.8823170435</v>
      </c>
      <c r="J4" s="37" t="n">
        <f aca="false">INDEX(Model_Bull!$C$43:$AL$43,36)</f>
        <v>189205.081721715</v>
      </c>
    </row>
    <row r="5" customFormat="false" ht="15" hidden="false" customHeight="false" outlineLevel="0" collapsed="false">
      <c r="A5" s="2" t="s">
        <v>701</v>
      </c>
      <c r="B5" s="37" t="n">
        <f aca="false">INDEX(Model_Bear!$C$44:$AL$44,12)</f>
        <v>10494.485823437</v>
      </c>
      <c r="C5" s="37" t="n">
        <f aca="false">INDEX(Model_Bear!$C$44:$AL$44,24)</f>
        <v>115038.501743567</v>
      </c>
      <c r="D5" s="37" t="n">
        <f aca="false">INDEX(Model_Bear!$C$44:$AL$44,36)</f>
        <v>301020.683454719</v>
      </c>
      <c r="E5" s="37" t="n">
        <f aca="false">INDEX(Model_Base!$C$44:$AL$44,12)</f>
        <v>58587.6658752795</v>
      </c>
      <c r="F5" s="37" t="n">
        <f aca="false">INDEX(Model_Base!$C$44:$AL$44,24)</f>
        <v>381861.892603811</v>
      </c>
      <c r="G5" s="37" t="n">
        <f aca="false">INDEX(Model_Base!$C$44:$AL$44,36)</f>
        <v>998095.959209405</v>
      </c>
      <c r="H5" s="37" t="n">
        <f aca="false">INDEX(Model_Bull!$C$44:$AL$44,12)</f>
        <v>182004.772551422</v>
      </c>
      <c r="I5" s="37" t="n">
        <f aca="false">INDEX(Model_Bull!$C$44:$AL$44,24)</f>
        <v>926398.587804522</v>
      </c>
      <c r="J5" s="37" t="n">
        <f aca="false">INDEX(Model_Bull!$C$44:$AL$44,36)</f>
        <v>2270460.98066058</v>
      </c>
    </row>
    <row r="6" customFormat="false" ht="15" hidden="false" customHeight="false" outlineLevel="0" collapsed="false">
      <c r="A6" s="2" t="s">
        <v>702</v>
      </c>
      <c r="B6" s="37" t="n">
        <f aca="false">INDEX(Model_Bear!$C$63:$AL$63,12)</f>
        <v>1056.26616030242</v>
      </c>
      <c r="C6" s="37" t="n">
        <f aca="false">INDEX(Model_Bear!$C$63:$AL$63,24)</f>
        <v>10738.8932958127</v>
      </c>
      <c r="D6" s="37" t="n">
        <f aca="false">INDEX(Model_Bear!$C$63:$AL$63,36)</f>
        <v>27426.7276161161</v>
      </c>
      <c r="E6" s="37" t="n">
        <f aca="false">INDEX(Model_Base!$C$63:$AL$63,12)</f>
        <v>6425.11210964083</v>
      </c>
      <c r="F6" s="37" t="n">
        <f aca="false">INDEX(Model_Base!$C$63:$AL$63,24)</f>
        <v>37219.2164809302</v>
      </c>
      <c r="G6" s="37" t="n">
        <f aca="false">INDEX(Model_Base!$C$63:$AL$63,36)</f>
        <v>95406.2713030253</v>
      </c>
      <c r="H6" s="37" t="n">
        <f aca="false">INDEX(Model_Bull!$C$63:$AL$63,12)</f>
        <v>20146.8353636352</v>
      </c>
      <c r="I6" s="37" t="n">
        <f aca="false">INDEX(Model_Bull!$C$63:$AL$63,24)</f>
        <v>94770.5389173375</v>
      </c>
      <c r="J6" s="37" t="n">
        <f aca="false">INDEX(Model_Bull!$C$63:$AL$63,36)</f>
        <v>225639.069342579</v>
      </c>
    </row>
    <row r="7" customFormat="false" ht="15" hidden="false" customHeight="false" outlineLevel="0" collapsed="false">
      <c r="A7" s="2" t="s">
        <v>703</v>
      </c>
      <c r="B7" s="42" t="n">
        <f aca="false">INDEX(Model_Bear!$C$36:$AL$36,12)</f>
        <v>4.4868951</v>
      </c>
      <c r="C7" s="42" t="n">
        <f aca="false">INDEX(Model_Bear!$C$36:$AL$36,24)</f>
        <v>29.7520666629339</v>
      </c>
      <c r="D7" s="42" t="n">
        <f aca="false">INDEX(Model_Bear!$C$36:$AL$36,36)</f>
        <v>66.4619950396702</v>
      </c>
      <c r="E7" s="42" t="n">
        <f aca="false">INDEX(Model_Base!$C$36:$AL$36,12)</f>
        <v>18.3126602716238</v>
      </c>
      <c r="F7" s="42" t="n">
        <f aca="false">INDEX(Model_Base!$C$36:$AL$36,24)</f>
        <v>79.5860957089012</v>
      </c>
      <c r="G7" s="42" t="n">
        <f aca="false">INDEX(Model_Base!$C$36:$AL$36,36)</f>
        <v>171.058354040643</v>
      </c>
      <c r="H7" s="42" t="n">
        <f aca="false">INDEX(Model_Bull!$C$36:$AL$36,12)</f>
        <v>46.3797452192068</v>
      </c>
      <c r="I7" s="42" t="n">
        <f aca="false">INDEX(Model_Bull!$C$36:$AL$36,24)</f>
        <v>171.955057586956</v>
      </c>
      <c r="J7" s="42" t="n">
        <f aca="false">INDEX(Model_Bull!$C$36:$AL$36,36)</f>
        <v>352.197825303855</v>
      </c>
    </row>
    <row r="8" customFormat="false" ht="15" hidden="false" customHeight="false" outlineLevel="0" collapsed="false">
      <c r="A8" s="2" t="s">
        <v>704</v>
      </c>
      <c r="B8" s="42" t="n">
        <f aca="false">INDEX(Model_Bear!$C$30:$AL$30,12)</f>
        <v>3.6890501</v>
      </c>
      <c r="C8" s="42" t="n">
        <f aca="false">INDEX(Model_Bear!$C$30:$AL$30,24)</f>
        <v>21.0419368244651</v>
      </c>
      <c r="D8" s="42" t="n">
        <f aca="false">INDEX(Model_Bear!$C$30:$AL$30,36)</f>
        <v>44.6126176376798</v>
      </c>
      <c r="E8" s="42" t="n">
        <f aca="false">INDEX(Model_Base!$C$30:$AL$30,12)</f>
        <v>14.4138545526785</v>
      </c>
      <c r="F8" s="42" t="n">
        <f aca="false">INDEX(Model_Base!$C$30:$AL$30,24)</f>
        <v>56.4211183587852</v>
      </c>
      <c r="G8" s="42" t="n">
        <f aca="false">INDEX(Model_Base!$C$30:$AL$30,36)</f>
        <v>113.633165179078</v>
      </c>
      <c r="H8" s="42" t="n">
        <f aca="false">INDEX(Model_Bull!$C$30:$AL$30,12)</f>
        <v>35.6660153138374</v>
      </c>
      <c r="I8" s="42" t="n">
        <f aca="false">INDEX(Model_Bull!$C$30:$AL$30,24)</f>
        <v>122.324702692446</v>
      </c>
      <c r="J8" s="42" t="n">
        <f aca="false">INDEX(Model_Bull!$C$30:$AL$30,36)</f>
        <v>238.006511485499</v>
      </c>
    </row>
    <row r="9" customFormat="false" ht="15" hidden="false" customHeight="false" outlineLevel="0" collapsed="false">
      <c r="A9" s="2" t="s">
        <v>705</v>
      </c>
      <c r="B9" s="42" t="n">
        <f aca="false">INDEX(Model_Bear!$C$31:$AL$31,12)</f>
        <v>0.697845</v>
      </c>
      <c r="C9" s="42" t="n">
        <f aca="false">INDEX(Model_Bear!$C$31:$AL$31,24)</f>
        <v>5.99064333277831</v>
      </c>
      <c r="D9" s="42" t="n">
        <f aca="false">INDEX(Model_Bear!$C$31:$AL$31,36)</f>
        <v>14.2131056577987</v>
      </c>
      <c r="E9" s="42" t="n">
        <f aca="false">INDEX(Model_Base!$C$31:$AL$31,12)</f>
        <v>2.85192291894531</v>
      </c>
      <c r="F9" s="42" t="n">
        <f aca="false">INDEX(Model_Base!$C$31:$AL$31,24)</f>
        <v>15.1429542726266</v>
      </c>
      <c r="G9" s="42" t="n">
        <f aca="false">INDEX(Model_Base!$C$31:$AL$31,36)</f>
        <v>34.2745786004035</v>
      </c>
      <c r="H9" s="42" t="n">
        <f aca="false">INDEX(Model_Bull!$C$31:$AL$31,12)</f>
        <v>7.22890677453568</v>
      </c>
      <c r="I9" s="42" t="n">
        <f aca="false">INDEX(Model_Bull!$C$31:$AL$31,24)</f>
        <v>30.2823915265284</v>
      </c>
      <c r="J9" s="42" t="n">
        <f aca="false">INDEX(Model_Bull!$C$31:$AL$31,36)</f>
        <v>65.1649421004678</v>
      </c>
    </row>
    <row r="10" customFormat="false" ht="15" hidden="false" customHeight="false" outlineLevel="0" collapsed="false">
      <c r="A10" s="2" t="s">
        <v>706</v>
      </c>
      <c r="B10" s="42" t="n">
        <f aca="false">INDEX(Model_Bear!$C$32:$AL$32,12)</f>
        <v>0.1</v>
      </c>
      <c r="C10" s="42" t="n">
        <f aca="false">INDEX(Model_Bear!$C$32:$AL$32,24)</f>
        <v>2.29719932894584</v>
      </c>
      <c r="D10" s="42" t="n">
        <f aca="false">INDEX(Model_Bear!$C$32:$AL$32,36)</f>
        <v>6.12036990994615</v>
      </c>
      <c r="E10" s="42" t="n">
        <f aca="false">INDEX(Model_Base!$C$32:$AL$32,12)</f>
        <v>0.9668828</v>
      </c>
      <c r="F10" s="42" t="n">
        <f aca="false">INDEX(Model_Base!$C$32:$AL$32,24)</f>
        <v>6.40817590656518</v>
      </c>
      <c r="G10" s="42" t="n">
        <f aca="false">INDEX(Model_Base!$C$32:$AL$32,36)</f>
        <v>18.4612527892557</v>
      </c>
      <c r="H10" s="42" t="n">
        <f aca="false">INDEX(Model_Bull!$C$32:$AL$32,12)</f>
        <v>3.0903092108338</v>
      </c>
      <c r="I10" s="42" t="n">
        <f aca="false">INDEX(Model_Bull!$C$32:$AL$32,24)</f>
        <v>15.8838548472259</v>
      </c>
      <c r="J10" s="42" t="n">
        <f aca="false">INDEX(Model_Bull!$C$32:$AL$32,36)</f>
        <v>39.8512792503977</v>
      </c>
    </row>
    <row r="11" customFormat="false" ht="15" hidden="false" customHeight="false" outlineLevel="0" collapsed="false">
      <c r="A11" s="2" t="s">
        <v>707</v>
      </c>
      <c r="B11" s="42" t="n">
        <f aca="false">INDEX(Model_Bear!$C$33:$AL$33,12)</f>
        <v>0</v>
      </c>
      <c r="C11" s="42" t="n">
        <f aca="false">INDEX(Model_Bear!$C$33:$AL$33,24)</f>
        <v>0.42228717674465</v>
      </c>
      <c r="D11" s="42" t="n">
        <f aca="false">INDEX(Model_Bear!$C$33:$AL$33,36)</f>
        <v>1.51590183424554</v>
      </c>
      <c r="E11" s="42" t="n">
        <f aca="false">INDEX(Model_Base!$C$33:$AL$33,12)</f>
        <v>0.08</v>
      </c>
      <c r="F11" s="42" t="n">
        <f aca="false">INDEX(Model_Base!$C$33:$AL$33,24)</f>
        <v>1.61384717092426</v>
      </c>
      <c r="G11" s="42" t="n">
        <f aca="false">INDEX(Model_Base!$C$33:$AL$33,36)</f>
        <v>4.68935747190561</v>
      </c>
      <c r="H11" s="42" t="n">
        <f aca="false">INDEX(Model_Bull!$C$33:$AL$33,12)</f>
        <v>0.39451392</v>
      </c>
      <c r="I11" s="42" t="n">
        <f aca="false">INDEX(Model_Bull!$C$33:$AL$33,24)</f>
        <v>3.4641085207557</v>
      </c>
      <c r="J11" s="42" t="n">
        <f aca="false">INDEX(Model_Bull!$C$33:$AL$33,36)</f>
        <v>9.1750924674897</v>
      </c>
    </row>
    <row r="12" customFormat="false" ht="15" hidden="false" customHeight="false" outlineLevel="0" collapsed="false">
      <c r="A12" s="2" t="s">
        <v>708</v>
      </c>
      <c r="B12" s="37" t="n">
        <f aca="false">INDEX(Model_Bear!$C$49:$AL$49,12)</f>
        <v>194.90994681075</v>
      </c>
      <c r="C12" s="37" t="n">
        <f aca="false">INDEX(Model_Bear!$C$49:$AL$49,24)</f>
        <v>322.214316086727</v>
      </c>
      <c r="D12" s="37" t="n">
        <f aca="false">INDEX(Model_Bear!$C$49:$AL$49,36)</f>
        <v>377.434606643797</v>
      </c>
      <c r="E12" s="37" t="n">
        <f aca="false">INDEX(Model_Base!$C$49:$AL$49,12)</f>
        <v>266.608205317496</v>
      </c>
      <c r="F12" s="37" t="n">
        <f aca="false">INDEX(Model_Base!$C$49:$AL$49,24)</f>
        <v>399.841506235515</v>
      </c>
      <c r="G12" s="37" t="n">
        <f aca="false">INDEX(Model_Base!$C$49:$AL$49,36)</f>
        <v>486.235610847094</v>
      </c>
      <c r="H12" s="37" t="n">
        <f aca="false">INDEX(Model_Bull!$C$49:$AL$49,12)</f>
        <v>327.019139661081</v>
      </c>
      <c r="I12" s="37" t="n">
        <f aca="false">INDEX(Model_Bull!$C$49:$AL$49,24)</f>
        <v>448.95383363763</v>
      </c>
      <c r="J12" s="37" t="n">
        <f aca="false">INDEX(Model_Bull!$C$49:$AL$49,36)</f>
        <v>537.212521282551</v>
      </c>
    </row>
    <row r="13" customFormat="false" ht="15" hidden="false" customHeight="false" outlineLevel="0" collapsed="false">
      <c r="A13" s="2" t="s">
        <v>709</v>
      </c>
      <c r="B13" s="32" t="n">
        <f aca="false">INDEX(Model_Bear!$C$80:$AL$80,12)</f>
        <v>-0.0652443858488573</v>
      </c>
      <c r="C13" s="32" t="n">
        <f aca="false">INDEX(Model_Bear!$C$80:$AL$80,24)</f>
        <v>0.195635284768739</v>
      </c>
      <c r="D13" s="32" t="n">
        <f aca="false">INDEX(Model_Bear!$C$80:$AL$80,36)</f>
        <v>0.209846062093981</v>
      </c>
      <c r="E13" s="32" t="n">
        <f aca="false">INDEX(Model_Base!$C$80:$AL$80,12)</f>
        <v>0.650282195119983</v>
      </c>
      <c r="F13" s="32" t="n">
        <f aca="false">INDEX(Model_Base!$C$80:$AL$80,24)</f>
        <v>0.709158267028918</v>
      </c>
      <c r="G13" s="32" t="n">
        <f aca="false">INDEX(Model_Base!$C$80:$AL$80,36)</f>
        <v>0.727076107481384</v>
      </c>
      <c r="H13" s="32" t="n">
        <f aca="false">INDEX(Model_Bull!$C$80:$AL$80,12)</f>
        <v>0.723515503723421</v>
      </c>
      <c r="I13" s="32" t="n">
        <f aca="false">INDEX(Model_Bull!$C$80:$AL$80,24)</f>
        <v>0.750712099955236</v>
      </c>
      <c r="J13" s="32" t="n">
        <f aca="false">INDEX(Model_Bull!$C$80:$AL$80,36)</f>
        <v>0.764357596311473</v>
      </c>
    </row>
    <row r="14" customFormat="false" ht="15" hidden="false" customHeight="false" outlineLevel="0" collapsed="false">
      <c r="A14" s="2" t="s">
        <v>710</v>
      </c>
      <c r="B14" s="32" t="n">
        <f aca="false">INDEX(Model_Bear!$C$125:$AL$125,12)</f>
        <v>-0.0652443858488573</v>
      </c>
      <c r="C14" s="32" t="n">
        <f aca="false">INDEX(Model_Bear!$C$125:$AL$125,24)</f>
        <v>-0.102347003708581</v>
      </c>
      <c r="D14" s="32" t="n">
        <f aca="false">INDEX(Model_Bear!$C$125:$AL$125,36)</f>
        <v>0.0931715522950184</v>
      </c>
      <c r="E14" s="32" t="n">
        <f aca="false">INDEX(Model_Base!$C$125:$AL$125,12)</f>
        <v>0.650282195119983</v>
      </c>
      <c r="F14" s="32" t="n">
        <f aca="false">INDEX(Model_Base!$C$125:$AL$125,24)</f>
        <v>0.623181175016797</v>
      </c>
      <c r="G14" s="32" t="n">
        <f aca="false">INDEX(Model_Base!$C$125:$AL$125,36)</f>
        <v>0.656850115955944</v>
      </c>
      <c r="H14" s="32" t="n">
        <f aca="false">INDEX(Model_Bull!$C$125:$AL$125,12)</f>
        <v>0.564681625238666</v>
      </c>
      <c r="I14" s="32" t="n">
        <f aca="false">INDEX(Model_Bull!$C$125:$AL$125,24)</f>
        <v>0.680015023875042</v>
      </c>
      <c r="J14" s="32" t="n">
        <f aca="false">INDEX(Model_Bull!$C$125:$AL$125,36)</f>
        <v>0.719152658931973</v>
      </c>
    </row>
    <row r="15" customFormat="false" ht="15" hidden="false" customHeight="false" outlineLevel="0" collapsed="false">
      <c r="A15" s="2" t="s">
        <v>711</v>
      </c>
      <c r="B15" s="37" t="n">
        <f aca="false">INDEX(Model_Bear!$C$112:$AL$112,12)</f>
        <v>-9003.39541160365</v>
      </c>
      <c r="C15" s="37" t="n">
        <f aca="false">INDEX(Model_Bear!$C$112:$AL$112,24)</f>
        <v>-12224.3715500966</v>
      </c>
      <c r="D15" s="37" t="n">
        <f aca="false">INDEX(Model_Bear!$C$112:$AL$112,36)</f>
        <v>-15110.9455944396</v>
      </c>
      <c r="E15" s="37" t="n">
        <f aca="false">INDEX(Model_Base!$C$112:$AL$112,12)</f>
        <v>-6691.45293226615</v>
      </c>
      <c r="F15" s="37" t="n">
        <f aca="false">INDEX(Model_Base!$C$112:$AL$112,24)</f>
        <v>-3109.94376425591</v>
      </c>
      <c r="G15" s="37" t="n">
        <f aca="false">INDEX(Model_Base!$C$112:$AL$112,36)</f>
        <v>14889.5216031652</v>
      </c>
      <c r="H15" s="37" t="n">
        <f aca="false">INDEX(Model_Bull!$C$112:$AL$112,12)</f>
        <v>-219.127364961714</v>
      </c>
      <c r="I15" s="37" t="n">
        <f aca="false">INDEX(Model_Bull!$C$112:$AL$112,24)</f>
        <v>15588.8873386569</v>
      </c>
      <c r="J15" s="37" t="n">
        <f aca="false">INDEX(Model_Bull!$C$112:$AL$112,36)</f>
        <v>88561.7472095227</v>
      </c>
    </row>
    <row r="16" customFormat="false" ht="15" hidden="false" customHeight="false" outlineLevel="0" collapsed="false">
      <c r="A16" s="2" t="s">
        <v>712</v>
      </c>
      <c r="B16" s="37" t="n">
        <f aca="false">INDEX(Model_Bear!$C$114:$AL$114,12)</f>
        <v>-116878.235764515</v>
      </c>
      <c r="C16" s="37" t="n">
        <f aca="false">INDEX(Model_Bear!$C$114:$AL$114,24)</f>
        <v>-245050.413164786</v>
      </c>
      <c r="D16" s="37" t="n">
        <f aca="false">INDEX(Model_Bear!$C$114:$AL$114,36)</f>
        <v>-428187.15726266</v>
      </c>
      <c r="E16" s="37" t="n">
        <f aca="false">INDEX(Model_Base!$C$114:$AL$114,12)</f>
        <v>-111611.356147867</v>
      </c>
      <c r="F16" s="37" t="n">
        <f aca="false">INDEX(Model_Base!$C$114:$AL$114,24)</f>
        <v>-184712.869229913</v>
      </c>
      <c r="G16" s="37" t="n">
        <f aca="false">INDEX(Model_Base!$C$114:$AL$114,36)</f>
        <v>-123161.190580647</v>
      </c>
      <c r="H16" s="37" t="n">
        <f aca="false">INDEX(Model_Bull!$C$114:$AL$114,12)</f>
        <v>-89179.1494458882</v>
      </c>
      <c r="I16" s="37" t="n">
        <f aca="false">INDEX(Model_Bull!$C$114:$AL$114,24)</f>
        <v>-64268.6670229219</v>
      </c>
      <c r="J16" s="37" t="n">
        <f aca="false">INDEX(Model_Bull!$C$114:$AL$114,36)</f>
        <v>517648.524645818</v>
      </c>
    </row>
    <row r="17" customFormat="false" ht="15" hidden="false" customHeight="false" outlineLevel="0" collapsed="false">
      <c r="A17" s="2" t="s">
        <v>713</v>
      </c>
      <c r="B17" s="37" t="n">
        <f aca="false">INDEX(Model_Bear!$C$116:$AL$116,12)</f>
        <v>-66878.2357645146</v>
      </c>
      <c r="C17" s="37" t="n">
        <f aca="false">INDEX(Model_Bear!$C$116:$AL$116,24)</f>
        <v>-195050.413164786</v>
      </c>
      <c r="D17" s="37" t="n">
        <f aca="false">INDEX(Model_Bear!$C$116:$AL$116,36)</f>
        <v>-378187.15726266</v>
      </c>
      <c r="E17" s="37" t="n">
        <f aca="false">INDEX(Model_Base!$C$116:$AL$116,12)</f>
        <v>-61611.3561478672</v>
      </c>
      <c r="F17" s="37" t="n">
        <f aca="false">INDEX(Model_Base!$C$116:$AL$116,24)</f>
        <v>-134712.869229913</v>
      </c>
      <c r="G17" s="37" t="n">
        <f aca="false">INDEX(Model_Base!$C$116:$AL$116,36)</f>
        <v>-73161.1905806472</v>
      </c>
      <c r="H17" s="37" t="n">
        <f aca="false">INDEX(Model_Bull!$C$116:$AL$116,12)</f>
        <v>-39179.1494458883</v>
      </c>
      <c r="I17" s="37" t="n">
        <f aca="false">INDEX(Model_Bull!$C$116:$AL$116,24)</f>
        <v>-14268.6670229219</v>
      </c>
      <c r="J17" s="37" t="n">
        <f aca="false">INDEX(Model_Bull!$C$116:$AL$116,36)</f>
        <v>567648.524645818</v>
      </c>
    </row>
    <row r="18" customFormat="false" ht="15" hidden="false" customHeight="false" outlineLevel="0" collapsed="false">
      <c r="A18" s="2" t="s">
        <v>714</v>
      </c>
      <c r="B18" s="40" t="n">
        <f aca="false">INDEX(Model_Bear!$C$17:$AL$17,12)</f>
        <v>1</v>
      </c>
      <c r="C18" s="40" t="n">
        <f aca="false">INDEX(Model_Bear!$C$17:$AL$17,24)</f>
        <v>2</v>
      </c>
      <c r="D18" s="40" t="n">
        <f aca="false">INDEX(Model_Bear!$C$17:$AL$17,36)</f>
        <v>3</v>
      </c>
      <c r="E18" s="40" t="n">
        <f aca="false">INDEX(Model_Base!$C$17:$AL$17,12)</f>
        <v>1</v>
      </c>
      <c r="F18" s="40" t="n">
        <f aca="false">INDEX(Model_Base!$C$17:$AL$17,24)</f>
        <v>4</v>
      </c>
      <c r="G18" s="40" t="n">
        <f aca="false">INDEX(Model_Base!$C$17:$AL$17,36)</f>
        <v>7</v>
      </c>
      <c r="H18" s="40" t="n">
        <f aca="false">INDEX(Model_Bull!$C$17:$AL$17,12)</f>
        <v>2</v>
      </c>
      <c r="I18" s="40" t="n">
        <f aca="false">INDEX(Model_Bull!$C$17:$AL$17,24)</f>
        <v>7</v>
      </c>
      <c r="J18" s="40" t="n">
        <f aca="false">INDEX(Model_Bull!$C$17:$AL$17,36)</f>
        <v>10</v>
      </c>
    </row>
    <row r="19" customFormat="false" ht="15" hidden="false" customHeight="false" outlineLevel="0" collapsed="false">
      <c r="A19" s="2"/>
      <c r="B19" s="2"/>
      <c r="C19" s="2"/>
      <c r="D19" s="2"/>
      <c r="E19" s="2"/>
      <c r="F19" s="2"/>
      <c r="G19" s="2"/>
      <c r="H19" s="2"/>
      <c r="I19" s="2"/>
      <c r="J19" s="2"/>
    </row>
    <row r="20" customFormat="false" ht="15" hidden="false" customHeight="false" outlineLevel="0" collapsed="false">
      <c r="A20" s="5" t="s">
        <v>715</v>
      </c>
      <c r="B20" s="6"/>
      <c r="C20" s="6"/>
      <c r="D20" s="6"/>
      <c r="E20" s="2"/>
      <c r="F20" s="2"/>
      <c r="G20" s="2"/>
      <c r="H20" s="2"/>
      <c r="I20" s="2"/>
      <c r="J20" s="2"/>
    </row>
    <row r="21" customFormat="false" ht="15" hidden="false" customHeight="false" outlineLevel="0" collapsed="false">
      <c r="A21" s="8" t="s">
        <v>499</v>
      </c>
      <c r="B21" s="8" t="s">
        <v>675</v>
      </c>
      <c r="C21" s="8" t="s">
        <v>96</v>
      </c>
      <c r="D21" s="8" t="s">
        <v>676</v>
      </c>
      <c r="E21" s="2"/>
      <c r="F21" s="2"/>
      <c r="G21" s="2"/>
      <c r="H21" s="2"/>
      <c r="I21" s="2"/>
      <c r="J21" s="2"/>
    </row>
    <row r="22" customFormat="false" ht="15" hidden="false" customHeight="false" outlineLevel="0" collapsed="false">
      <c r="A22" s="2" t="s">
        <v>716</v>
      </c>
      <c r="B22" s="48" t="str">
        <f aca="false">IFERROR(MATCH(1,Model_Bear!$C$122:$AL$122,0),"Not reached in 36m")</f>
        <v>Not reached in 36m</v>
      </c>
      <c r="C22" s="48" t="n">
        <f aca="false">IFERROR(MATCH(1,Model_Base!$C$122:$AL$122,0),"Not reached in 36m")</f>
        <v>22</v>
      </c>
      <c r="D22" s="48" t="n">
        <f aca="false">IFERROR(MATCH(1,Model_Bull!$C$122:$AL$122,0),"Not reached in 36m")</f>
        <v>15</v>
      </c>
      <c r="E22" s="2"/>
      <c r="F22" s="2"/>
      <c r="G22" s="2"/>
      <c r="H22" s="2"/>
      <c r="I22" s="2"/>
      <c r="J22" s="2"/>
    </row>
    <row r="23" customFormat="false" ht="15" hidden="false" customHeight="false" outlineLevel="0" collapsed="false">
      <c r="A23" s="2" t="s">
        <v>717</v>
      </c>
      <c r="B23" s="48" t="str">
        <f aca="false">IFERROR(MATCH(1,Model_Bear!$C$123:$AL$123,0),"Not reached in 36m")</f>
        <v>Not reached in 36m</v>
      </c>
      <c r="C23" s="48" t="n">
        <f aca="false">IFERROR(MATCH(1,Model_Base!$C$123:$AL$123,0),"Not reached in 36m")</f>
        <v>34</v>
      </c>
      <c r="D23" s="48" t="n">
        <f aca="false">IFERROR(MATCH(1,Model_Bull!$C$123:$AL$123,0),"Not reached in 36m")</f>
        <v>22</v>
      </c>
      <c r="E23" s="2"/>
      <c r="F23" s="2"/>
      <c r="G23" s="2"/>
      <c r="H23" s="2"/>
      <c r="I23" s="2"/>
      <c r="J23" s="2"/>
    </row>
    <row r="24" customFormat="false" ht="15" hidden="false" customHeight="false" outlineLevel="0" collapsed="false">
      <c r="A24" s="2" t="s">
        <v>718</v>
      </c>
      <c r="B24" s="49" t="n">
        <f aca="false">MIN(Model_Bear!$C$116:$AL$116)</f>
        <v>-378187.15726266</v>
      </c>
      <c r="C24" s="49" t="n">
        <f aca="false">MIN(Model_Base!$C$116:$AL$116)</f>
        <v>-135591.669663791</v>
      </c>
      <c r="D24" s="49" t="n">
        <f aca="false">MIN(Model_Bull!$C$116:$AL$116)</f>
        <v>-66813.2559943214</v>
      </c>
      <c r="E24" s="2"/>
      <c r="F24" s="2"/>
      <c r="G24" s="2"/>
      <c r="H24" s="2"/>
      <c r="I24" s="2"/>
      <c r="J24" s="2"/>
    </row>
    <row r="25" customFormat="false" ht="15" hidden="false" customHeight="false" outlineLevel="0" collapsed="false">
      <c r="A25" s="2" t="s">
        <v>719</v>
      </c>
      <c r="B25" s="48" t="n">
        <f aca="false">MATCH(MIN(Model_Bear!$C$116:$AL$116),Model_Bear!$C$116:$AL$116,0)</f>
        <v>36</v>
      </c>
      <c r="C25" s="48" t="n">
        <f aca="false">MATCH(MIN(Model_Base!$C$116:$AL$116),Model_Base!$C$116:$AL$116,0)</f>
        <v>25</v>
      </c>
      <c r="D25" s="48" t="n">
        <f aca="false">MATCH(MIN(Model_Bull!$C$116:$AL$116),Model_Bull!$C$116:$AL$116,0)</f>
        <v>16</v>
      </c>
      <c r="E25" s="2"/>
      <c r="F25" s="2"/>
      <c r="G25" s="2"/>
      <c r="H25" s="2"/>
      <c r="I25" s="2"/>
      <c r="J25" s="2"/>
    </row>
    <row r="26" customFormat="false" ht="15" hidden="false" customHeight="false" outlineLevel="0" collapsed="false">
      <c r="A26" s="2" t="s">
        <v>720</v>
      </c>
      <c r="B26" s="49" t="n">
        <f aca="false">MAX(0,-MIN(Model_Bear!$C$116:$AL$116))</f>
        <v>378187.15726266</v>
      </c>
      <c r="C26" s="49" t="n">
        <f aca="false">MAX(0,-MIN(Model_Base!$C$116:$AL$116))</f>
        <v>135591.669663791</v>
      </c>
      <c r="D26" s="49" t="n">
        <f aca="false">MAX(0,-MIN(Model_Bull!$C$116:$AL$116))</f>
        <v>66813.2559943214</v>
      </c>
      <c r="E26" s="2"/>
      <c r="F26" s="2"/>
      <c r="G26" s="2"/>
      <c r="H26" s="2"/>
      <c r="I26" s="2"/>
      <c r="J26" s="2"/>
    </row>
    <row r="27" customFormat="false" ht="15" hidden="false" customHeight="false" outlineLevel="0" collapsed="false">
      <c r="A27" s="2" t="s">
        <v>721</v>
      </c>
      <c r="B27" s="48" t="n">
        <f aca="false">IFERROR(MATCH(1,Model_Bear!$C$126:$AL$126,0),"Never")</f>
        <v>6</v>
      </c>
      <c r="C27" s="48" t="n">
        <f aca="false">IFERROR(MATCH(1,Model_Base!$C$126:$AL$126,0),"Never")</f>
        <v>6</v>
      </c>
      <c r="D27" s="48" t="n">
        <f aca="false">IFERROR(MATCH(1,Model_Bull!$C$126:$AL$126,0),"Never")</f>
        <v>6</v>
      </c>
      <c r="E27" s="2"/>
      <c r="F27" s="2"/>
      <c r="G27" s="2"/>
      <c r="H27" s="2"/>
      <c r="I27" s="2"/>
      <c r="J27" s="2"/>
    </row>
    <row r="28" customFormat="false" ht="15" hidden="false" customHeight="false" outlineLevel="0" collapsed="false">
      <c r="A28" s="2" t="s">
        <v>722</v>
      </c>
      <c r="B28" s="49" t="n">
        <f aca="false">SUM(Model_Bear!$C$63:$AL$63)</f>
        <v>299787.847461984</v>
      </c>
      <c r="C28" s="49" t="n">
        <f aca="false">SUM(Model_Base!$C$63:$AL$63)</f>
        <v>1082158.55468743</v>
      </c>
      <c r="D28" s="49" t="n">
        <f aca="false">SUM(Model_Bull!$C$63:$AL$63)</f>
        <v>2674062.64767412</v>
      </c>
      <c r="E28" s="2"/>
      <c r="F28" s="2"/>
      <c r="G28" s="2"/>
      <c r="H28" s="2"/>
      <c r="I28" s="2"/>
      <c r="J28" s="2"/>
    </row>
    <row r="29" customFormat="false" ht="15" hidden="false" customHeight="false" outlineLevel="0" collapsed="false">
      <c r="A29" s="2" t="s">
        <v>723</v>
      </c>
      <c r="B29" s="50" t="n">
        <f aca="false">IF(SUM(Model_Bear!$C$63:$AL$63)=0,0,SUM(Model_Bear!$C$79:$AL$79)/SUM(Model_Bear!$C$63:$AL$63))</f>
        <v>0.1445652388648</v>
      </c>
      <c r="C29" s="50" t="n">
        <f aca="false">IF(SUM(Model_Base!$C$63:$AL$63)=0,0,SUM(Model_Base!$C$79:$AL$79)/SUM(Model_Base!$C$63:$AL$63))</f>
        <v>0.700391250805185</v>
      </c>
      <c r="D29" s="50" t="n">
        <f aca="false">IF(SUM(Model_Bull!$C$63:$AL$63)=0,0,SUM(Model_Bull!$C$79:$AL$79)/SUM(Model_Bull!$C$63:$AL$63))</f>
        <v>0.74849662956492</v>
      </c>
      <c r="E29" s="2"/>
      <c r="F29" s="2"/>
      <c r="G29" s="2"/>
      <c r="H29" s="2"/>
      <c r="I29" s="2"/>
      <c r="J29" s="2"/>
    </row>
    <row r="30" customFormat="false" ht="15" hidden="false" customHeight="false" outlineLevel="0" collapsed="false">
      <c r="A30" s="2" t="s">
        <v>724</v>
      </c>
      <c r="B30" s="48" t="n">
        <f aca="false">IFERROR(MATCH(1,Model_Bear!$C$129:$AL$129,0),"Not in 36m")</f>
        <v>19</v>
      </c>
      <c r="C30" s="48" t="n">
        <f aca="false">IFERROR(MATCH(1,Model_Base!$C$129:$AL$129,0),"Not in 36m")</f>
        <v>14</v>
      </c>
      <c r="D30" s="48" t="n">
        <f aca="false">IFERROR(MATCH(1,Model_Bull!$C$129:$AL$129,0),"Not in 36m")</f>
        <v>10</v>
      </c>
      <c r="E30" s="2"/>
      <c r="F30" s="2"/>
      <c r="G30" s="2"/>
      <c r="H30" s="2"/>
      <c r="I30" s="2"/>
      <c r="J30" s="2"/>
    </row>
    <row r="31" customFormat="false" ht="15" hidden="false" customHeight="false" outlineLevel="0" collapsed="false">
      <c r="A31" s="2" t="s">
        <v>725</v>
      </c>
      <c r="B31" s="51" t="n">
        <f aca="false">IFERROR(INDEX(Model_Bear!$C$36:$AL$36,MATCH(1,Model_Bear!$C$129:$AL$129,0)),"n/a")</f>
        <v>17.4739637444224</v>
      </c>
      <c r="C31" s="51" t="n">
        <f aca="false">IFERROR(INDEX(Model_Base!$C$36:$AL$36,MATCH(1,Model_Base!$C$129:$AL$129,0)),"n/a")</f>
        <v>26.2673576429204</v>
      </c>
      <c r="D31" s="51" t="n">
        <f aca="false">IFERROR(INDEX(Model_Bull!$C$36:$AL$36,MATCH(1,Model_Bull!$C$129:$AL$129,0)),"n/a")</f>
        <v>32.1534343885916</v>
      </c>
      <c r="E31" s="2"/>
      <c r="F31" s="2"/>
      <c r="G31" s="2"/>
      <c r="H31" s="2"/>
      <c r="I31" s="2"/>
      <c r="J31" s="2"/>
    </row>
    <row r="32" customFormat="false" ht="15" hidden="false" customHeight="false" outlineLevel="0" collapsed="false">
      <c r="A32" s="2" t="s">
        <v>726</v>
      </c>
      <c r="B32" s="48" t="n">
        <f aca="false">IFERROR(MATCH(1,Model_Bear!$C$7:$AL$7,0),"Not in 36m")</f>
        <v>22</v>
      </c>
      <c r="C32" s="48" t="n">
        <f aca="false">IFERROR(MATCH(1,Model_Base!$C$7:$AL$7,0),"Not in 36m")</f>
        <v>14</v>
      </c>
      <c r="D32" s="48" t="n">
        <f aca="false">IFERROR(MATCH(1,Model_Bull!$C$7:$AL$7,0),"Not in 36m")</f>
        <v>9</v>
      </c>
      <c r="E32" s="2"/>
      <c r="F32" s="2"/>
      <c r="G32" s="2"/>
      <c r="H32" s="2"/>
      <c r="I32" s="2"/>
      <c r="J32" s="2"/>
    </row>
    <row r="33" customFormat="false" ht="15" hidden="false" customHeight="false" outlineLevel="0" collapsed="false">
      <c r="A33" s="2" t="s">
        <v>727</v>
      </c>
      <c r="B33" s="48" t="n">
        <f aca="false">IFERROR(MATCH(1,Model_Bear!$C$8:$AL$8,0),"Not in 36m")</f>
        <v>30</v>
      </c>
      <c r="C33" s="48" t="n">
        <f aca="false">IFERROR(MATCH(1,Model_Base!$C$8:$AL$8,0),"Not in 36m")</f>
        <v>19</v>
      </c>
      <c r="D33" s="48" t="n">
        <f aca="false">IFERROR(MATCH(1,Model_Bull!$C$8:$AL$8,0),"Not in 36m")</f>
        <v>13</v>
      </c>
      <c r="E33" s="2"/>
      <c r="F33" s="2"/>
      <c r="G33" s="2"/>
      <c r="H33" s="2"/>
      <c r="I33" s="2"/>
      <c r="J33" s="2"/>
    </row>
    <row r="34" customFormat="false" ht="15" hidden="false" customHeight="false" outlineLevel="0" collapsed="false">
      <c r="A34" s="2" t="s">
        <v>728</v>
      </c>
      <c r="B34" s="48" t="str">
        <f aca="false">IFERROR(MATCH(1,Model_Bear!$C$9:$AL$9,0),"Not in 36m")</f>
        <v>Not in 36m</v>
      </c>
      <c r="C34" s="48" t="n">
        <f aca="false">IFERROR(MATCH(1,Model_Base!$C$9:$AL$9,0),"Not in 36m")</f>
        <v>23</v>
      </c>
      <c r="D34" s="48" t="n">
        <f aca="false">IFERROR(MATCH(1,Model_Bull!$C$9:$AL$9,0),"Not in 36m")</f>
        <v>16</v>
      </c>
      <c r="E34" s="2"/>
      <c r="F34" s="2"/>
      <c r="G34" s="2"/>
      <c r="H34" s="2"/>
      <c r="I34" s="2"/>
      <c r="J34" s="2"/>
    </row>
    <row r="35" customFormat="false" ht="15" hidden="false" customHeight="false" outlineLevel="0" collapsed="false">
      <c r="A35" s="2" t="s">
        <v>729</v>
      </c>
      <c r="B35" s="48" t="n">
        <f aca="false">IFERROR(MATCH(1,Model_Bear!$C$127:$AL$127,0),"Not in 36m")</f>
        <v>18</v>
      </c>
      <c r="C35" s="48" t="n">
        <f aca="false">IFERROR(MATCH(1,Model_Base!$C$127:$AL$127,0),"Not in 36m")</f>
        <v>12</v>
      </c>
      <c r="D35" s="48" t="n">
        <f aca="false">IFERROR(MATCH(1,Model_Bull!$C$127:$AL$127,0),"Not in 36m")</f>
        <v>10</v>
      </c>
      <c r="E35" s="2"/>
      <c r="F35" s="2"/>
      <c r="G35" s="2"/>
      <c r="H35" s="2"/>
      <c r="I35" s="2"/>
      <c r="J35" s="2"/>
    </row>
    <row r="36" customFormat="false" ht="15" hidden="false" customHeight="false" outlineLevel="0" collapsed="false">
      <c r="A36" s="2"/>
      <c r="B36" s="2"/>
      <c r="C36" s="2"/>
      <c r="D36" s="2"/>
      <c r="E36" s="2"/>
      <c r="F36" s="2"/>
      <c r="G36" s="2"/>
      <c r="H36" s="2"/>
      <c r="I36" s="2"/>
      <c r="J36" s="2"/>
    </row>
    <row r="37" customFormat="false" ht="15" hidden="false" customHeight="false" outlineLevel="0" collapsed="false">
      <c r="A37" s="5" t="s">
        <v>730</v>
      </c>
      <c r="B37" s="6"/>
      <c r="C37" s="6"/>
      <c r="D37" s="6"/>
      <c r="E37" s="6"/>
      <c r="F37" s="2"/>
      <c r="G37" s="2"/>
      <c r="H37" s="2"/>
      <c r="I37" s="2"/>
      <c r="J37" s="2"/>
    </row>
    <row r="38" customFormat="false" ht="15" hidden="false" customHeight="false" outlineLevel="0" collapsed="false">
      <c r="A38" s="2" t="s">
        <v>731</v>
      </c>
      <c r="B38" s="42" t="n">
        <f aca="false">Assumptions!$D$182*Assumptions!$D$183</f>
        <v>63</v>
      </c>
      <c r="C38" s="2"/>
      <c r="D38" s="2"/>
      <c r="E38" s="2"/>
      <c r="F38" s="2"/>
      <c r="G38" s="2"/>
      <c r="H38" s="2"/>
      <c r="I38" s="2"/>
      <c r="J38" s="2"/>
    </row>
    <row r="39" customFormat="false" ht="15" hidden="false" customHeight="false" outlineLevel="0" collapsed="false">
      <c r="A39" s="8" t="s">
        <v>94</v>
      </c>
      <c r="B39" s="8" t="s">
        <v>732</v>
      </c>
      <c r="C39" s="8" t="s">
        <v>733</v>
      </c>
      <c r="D39" s="2"/>
      <c r="E39" s="2"/>
      <c r="F39" s="2"/>
      <c r="G39" s="2"/>
      <c r="H39" s="2"/>
      <c r="I39" s="2"/>
      <c r="J39" s="2"/>
    </row>
    <row r="40" customFormat="false" ht="15" hidden="false" customHeight="false" outlineLevel="0" collapsed="false">
      <c r="A40" s="2" t="s">
        <v>228</v>
      </c>
      <c r="B40" s="42" t="n">
        <f aca="false">Unit_Costs!$S$20</f>
        <v>13.1764705882353</v>
      </c>
      <c r="C40" s="42" t="n">
        <f aca="false">IF(B40=0,0,$B$38*60/B40)</f>
        <v>286.875</v>
      </c>
      <c r="D40" s="2"/>
      <c r="E40" s="2"/>
      <c r="F40" s="2"/>
      <c r="G40" s="2"/>
      <c r="H40" s="2"/>
      <c r="I40" s="2"/>
      <c r="J40" s="2"/>
    </row>
    <row r="41" customFormat="false" ht="15" hidden="false" customHeight="false" outlineLevel="0" collapsed="false">
      <c r="A41" s="2" t="s">
        <v>230</v>
      </c>
      <c r="B41" s="42" t="n">
        <f aca="false">Unit_Costs!$S$22</f>
        <v>30.2941176470588</v>
      </c>
      <c r="C41" s="42" t="n">
        <f aca="false">IF(B41=0,0,$B$38*60/B41)</f>
        <v>124.776699029126</v>
      </c>
      <c r="D41" s="2"/>
      <c r="E41" s="2"/>
      <c r="F41" s="2"/>
      <c r="G41" s="2"/>
      <c r="H41" s="2"/>
      <c r="I41" s="2"/>
      <c r="J41" s="2"/>
    </row>
    <row r="42" customFormat="false" ht="15" hidden="false" customHeight="false" outlineLevel="0" collapsed="false">
      <c r="A42" s="2" t="s">
        <v>231</v>
      </c>
      <c r="B42" s="42" t="n">
        <f aca="false">Unit_Costs!$S$23</f>
        <v>62.1176470588235</v>
      </c>
      <c r="C42" s="42" t="n">
        <f aca="false">IF(B42=0,0,$B$38*60/B42)</f>
        <v>60.8522727272727</v>
      </c>
      <c r="D42" s="2"/>
      <c r="E42" s="2"/>
      <c r="F42" s="2"/>
      <c r="G42" s="2"/>
      <c r="H42" s="2"/>
      <c r="I42" s="2"/>
      <c r="J42" s="2"/>
    </row>
    <row r="43" customFormat="false" ht="15" hidden="false" customHeight="false" outlineLevel="0" collapsed="false">
      <c r="A43" s="2" t="s">
        <v>232</v>
      </c>
      <c r="B43" s="42" t="n">
        <f aca="false">Unit_Costs!$S$24</f>
        <v>37.6470588235294</v>
      </c>
      <c r="C43" s="42" t="n">
        <f aca="false">IF(B43=0,0,$B$38*60/B43)</f>
        <v>100.40625</v>
      </c>
      <c r="D43" s="2"/>
      <c r="E43" s="2"/>
      <c r="F43" s="2"/>
      <c r="G43" s="2"/>
      <c r="H43" s="2"/>
      <c r="I43" s="2"/>
      <c r="J43" s="2"/>
    </row>
    <row r="44" customFormat="false" ht="15" hidden="false" customHeight="false" outlineLevel="0" collapsed="false">
      <c r="A44" s="2" t="s">
        <v>235</v>
      </c>
      <c r="B44" s="42" t="n">
        <f aca="false">Unit_Costs!$S$27</f>
        <v>134.705882352941</v>
      </c>
      <c r="C44" s="42" t="n">
        <f aca="false">IF(B44=0,0,$B$38*60/B44)</f>
        <v>28.061135371179</v>
      </c>
      <c r="D44" s="2"/>
      <c r="E44" s="2"/>
      <c r="F44" s="2"/>
      <c r="G44" s="2"/>
      <c r="H44" s="2"/>
      <c r="I44" s="2"/>
      <c r="J44" s="2"/>
    </row>
    <row r="45" customFormat="false" ht="15" hidden="false" customHeight="false" outlineLevel="0" collapsed="false">
      <c r="A45" s="2" t="s">
        <v>236</v>
      </c>
      <c r="B45" s="42" t="n">
        <f aca="false">Unit_Costs!$S$28</f>
        <v>1083.52941176471</v>
      </c>
      <c r="C45" s="42" t="n">
        <f aca="false">IF(B45=0,0,$B$38*60/B45)</f>
        <v>3.4885993485342</v>
      </c>
      <c r="D45" s="2"/>
      <c r="E45" s="2"/>
      <c r="F45" s="2"/>
      <c r="G45" s="2"/>
      <c r="H45" s="2"/>
      <c r="I45" s="2"/>
      <c r="J45" s="2"/>
    </row>
    <row r="46" customFormat="false" ht="15" hidden="false" customHeight="false" outlineLevel="0" collapsed="false">
      <c r="A46" s="2" t="s">
        <v>734</v>
      </c>
      <c r="B46" s="42" t="n">
        <f aca="false">Pricing!$B$6*(Assumptions!$D$153+Assumptions!$D$154)*Pricing!$B$33</f>
        <v>73.9117647058824</v>
      </c>
      <c r="C46" s="42" t="n">
        <f aca="false">IF(B46=0,0,$B$38*60/B46)</f>
        <v>51.142061281337</v>
      </c>
      <c r="D46" s="2"/>
      <c r="E46" s="2"/>
      <c r="F46" s="2"/>
      <c r="G46" s="2"/>
      <c r="H46" s="2"/>
      <c r="I46" s="2"/>
      <c r="J46" s="2"/>
    </row>
    <row r="47" customFormat="false" ht="15" hidden="false" customHeight="false" outlineLevel="0" collapsed="false">
      <c r="A47" s="2" t="s">
        <v>735</v>
      </c>
      <c r="B47" s="42" t="n">
        <f aca="false">Pricing!$C$6*(Assumptions!$D$153+Assumptions!$D$154)*Pricing!$C$33</f>
        <v>265.341176470588</v>
      </c>
      <c r="C47" s="42" t="n">
        <f aca="false">IF(B47=0,0,$B$38*60/B47)</f>
        <v>14.2458100558659</v>
      </c>
      <c r="D47" s="2"/>
      <c r="E47" s="2"/>
      <c r="F47" s="2"/>
      <c r="G47" s="2"/>
      <c r="H47" s="2"/>
      <c r="I47" s="2"/>
      <c r="J47" s="2"/>
    </row>
    <row r="48" customFormat="false" ht="15" hidden="false" customHeight="false" outlineLevel="0" collapsed="false">
      <c r="A48" s="2" t="s">
        <v>736</v>
      </c>
      <c r="B48" s="42" t="n">
        <f aca="false">Pricing!$D$6*(Assumptions!$D$153+Assumptions!$D$154)*Pricing!$D$33</f>
        <v>354.611764705882</v>
      </c>
      <c r="C48" s="42" t="n">
        <f aca="false">IF(B48=0,0,$B$38*60/B48)</f>
        <v>10.6595448211797</v>
      </c>
      <c r="D48" s="2"/>
      <c r="E48" s="2"/>
      <c r="F48" s="2"/>
      <c r="G48" s="2"/>
      <c r="H48" s="2"/>
      <c r="I48" s="2"/>
      <c r="J48" s="2"/>
    </row>
    <row r="49" customFormat="false" ht="15" hidden="false" customHeight="false" outlineLevel="0" collapsed="false">
      <c r="A49" s="2" t="s">
        <v>737</v>
      </c>
      <c r="B49" s="42" t="n">
        <f aca="false">Pricing!$E$6*(Assumptions!$D$153+Assumptions!$D$154)*Pricing!$E$33</f>
        <v>1344.74117647059</v>
      </c>
      <c r="C49" s="42" t="n">
        <f aca="false">IF(B49=0,0,$B$38*60/B49)</f>
        <v>2.81094984383612</v>
      </c>
      <c r="D49" s="2"/>
      <c r="E49" s="2"/>
      <c r="F49" s="2"/>
      <c r="G49" s="2"/>
      <c r="H49" s="2"/>
      <c r="I49" s="2"/>
      <c r="J49" s="2"/>
    </row>
    <row r="50" customFormat="false" ht="57.75" hidden="false" customHeight="true" outlineLevel="0" collapsed="false">
      <c r="A50" s="7" t="s">
        <v>738</v>
      </c>
      <c r="B50" s="7"/>
      <c r="C50" s="7"/>
      <c r="D50" s="7"/>
      <c r="E50" s="7"/>
      <c r="F50" s="7"/>
      <c r="G50" s="7"/>
      <c r="H50" s="7"/>
      <c r="I50" s="7"/>
      <c r="J50" s="7"/>
    </row>
    <row r="51" customFormat="false" ht="15" hidden="false" customHeight="false" outlineLevel="0" collapsed="false">
      <c r="A51" s="2"/>
      <c r="B51" s="2"/>
      <c r="C51" s="2"/>
      <c r="D51" s="2"/>
      <c r="E51" s="2"/>
      <c r="F51" s="2"/>
      <c r="G51" s="2"/>
      <c r="H51" s="2"/>
      <c r="I51" s="2"/>
      <c r="J51" s="2"/>
    </row>
    <row r="52" customFormat="false" ht="15" hidden="false" customHeight="false" outlineLevel="0" collapsed="false">
      <c r="A52" s="5" t="s">
        <v>739</v>
      </c>
      <c r="B52" s="6"/>
      <c r="C52" s="6"/>
      <c r="D52" s="6"/>
      <c r="E52" s="6"/>
      <c r="F52" s="2"/>
      <c r="G52" s="2"/>
      <c r="H52" s="2"/>
      <c r="I52" s="2"/>
      <c r="J52" s="2"/>
    </row>
    <row r="53" customFormat="false" ht="15" hidden="false" customHeight="false" outlineLevel="0" collapsed="false">
      <c r="A53" s="8" t="s">
        <v>308</v>
      </c>
      <c r="B53" s="8" t="s">
        <v>740</v>
      </c>
      <c r="C53" s="8" t="s">
        <v>741</v>
      </c>
      <c r="D53" s="8" t="s">
        <v>742</v>
      </c>
      <c r="E53" s="8" t="s">
        <v>743</v>
      </c>
      <c r="F53" s="2"/>
      <c r="G53" s="2"/>
      <c r="H53" s="2"/>
      <c r="I53" s="2"/>
      <c r="J53" s="2"/>
    </row>
    <row r="54" customFormat="false" ht="15" hidden="false" customHeight="false" outlineLevel="0" collapsed="false">
      <c r="A54" s="2" t="s">
        <v>319</v>
      </c>
      <c r="B54" s="32" t="n">
        <f aca="false">Pricing!$B$28</f>
        <v>0.57905985458613</v>
      </c>
      <c r="C54" s="32" t="n">
        <f aca="false">Pricing!$B$29</f>
        <v>0.711533049776286</v>
      </c>
      <c r="D54" s="32" t="n">
        <f aca="false">Pricing!$B$38</f>
        <v>0.157901599552573</v>
      </c>
      <c r="E54" s="31" t="n">
        <f aca="false">Pricing!$B$30</f>
        <v>1.08453330128205</v>
      </c>
      <c r="F54" s="2"/>
      <c r="G54" s="2"/>
      <c r="H54" s="2"/>
      <c r="I54" s="2"/>
      <c r="J54" s="2"/>
    </row>
    <row r="55" customFormat="false" ht="15" hidden="false" customHeight="false" outlineLevel="0" collapsed="false">
      <c r="A55" s="2" t="s">
        <v>320</v>
      </c>
      <c r="B55" s="32" t="n">
        <f aca="false">Pricing!$C$28</f>
        <v>0.537286070179575</v>
      </c>
      <c r="C55" s="32" t="n">
        <f aca="false">Pricing!$C$29</f>
        <v>0.681413475676844</v>
      </c>
      <c r="D55" s="32" t="n">
        <f aca="false">Pricing!$C$38</f>
        <v>0.00882744600311725</v>
      </c>
      <c r="E55" s="31" t="n">
        <f aca="false">Pricing!$C$30</f>
        <v>1.00727696559016</v>
      </c>
      <c r="F55" s="2"/>
      <c r="G55" s="2"/>
      <c r="H55" s="2"/>
      <c r="I55" s="2"/>
      <c r="J55" s="2"/>
    </row>
    <row r="56" customFormat="false" ht="15" hidden="false" customHeight="false" outlineLevel="0" collapsed="false">
      <c r="A56" s="2" t="s">
        <v>321</v>
      </c>
      <c r="B56" s="32" t="n">
        <f aca="false">Pricing!$D$28</f>
        <v>0.725273927716517</v>
      </c>
      <c r="C56" s="32" t="n">
        <f aca="false">Pricing!$D$29</f>
        <v>0.806675226131146</v>
      </c>
      <c r="D56" s="32" t="n">
        <f aca="false">Pricing!$D$38</f>
        <v>0.328959977021718</v>
      </c>
      <c r="E56" s="31" t="n">
        <f aca="false">Pricing!$D$30</f>
        <v>0.785203000794913</v>
      </c>
      <c r="F56" s="2"/>
      <c r="G56" s="2"/>
      <c r="H56" s="2"/>
      <c r="I56" s="2"/>
      <c r="J56" s="2"/>
    </row>
    <row r="57" customFormat="false" ht="15" hidden="false" customHeight="false" outlineLevel="0" collapsed="false">
      <c r="A57" s="2" t="s">
        <v>322</v>
      </c>
      <c r="B57" s="32" t="n">
        <f aca="false">Pricing!$E$28</f>
        <v>0.646723655490196</v>
      </c>
      <c r="C57" s="32" t="n">
        <f aca="false">Pricing!$E$29</f>
        <v>0.749671901068628</v>
      </c>
      <c r="D57" s="32" t="n">
        <f aca="false">Pricing!$E$38</f>
        <v>0.172380303888889</v>
      </c>
      <c r="E57" s="31" t="n">
        <f aca="false">Pricing!$E$30</f>
        <v>0.784786137966392</v>
      </c>
      <c r="F57" s="2"/>
      <c r="G57" s="2"/>
      <c r="H57" s="2"/>
      <c r="I57" s="2"/>
      <c r="J57" s="2"/>
    </row>
  </sheetData>
  <mergeCells count="1">
    <mergeCell ref="A50:J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2026-10-20T00:36:26Z</dcterms:created>
  <dc:creator>openpyxl</dc:creator>
  <dc:description/>
  <dc:language>en-US</dc:language>
  <cp:lastModifiedBy/>
  <dcterms:modified xsi:type="dcterms:W3CDTF">2026-10-20T00:36:26Z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